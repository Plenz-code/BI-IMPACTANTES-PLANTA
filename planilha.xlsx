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persons/person.xml" ContentType="application/vnd.ms-excel.person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131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Julho/"/>
    </mc:Choice>
  </mc:AlternateContent>
  <xr:revisionPtr revIDLastSave="781" documentId="8_{AF585B22-221D-4780-BB9C-493D365A6A02}" xr6:coauthVersionLast="47" xr6:coauthVersionMax="47" xr10:uidLastSave="{9D121C97-48A9-41B3-B299-312B691F5A29}"/>
  <bookViews>
    <workbookView xWindow="-28920" yWindow="-60" windowWidth="29040" windowHeight="15720" tabRatio="500" firstSheet="2" activeTab="4" xr2:uid="{00000000-000D-0000-FFFF-FFFF00000000}"/>
  </bookViews>
  <sheets>
    <sheet name="Resumo" sheetId="1" r:id="rId1"/>
    <sheet name="Cadastro" sheetId="2" r:id="rId2"/>
    <sheet name="Britador" sheetId="3" r:id="rId3"/>
    <sheet name="Linha 1" sheetId="4" r:id="rId4"/>
    <sheet name="Linha 2" sheetId="5" r:id="rId5"/>
    <sheet name="Linha 3" sheetId="6" r:id="rId6"/>
  </sheets>
  <definedNames>
    <definedName name="Desc_">Cadastro!$O$1:$O$1</definedName>
    <definedName name="Desc_Corretiva_eletrica">Cadastro!$J$4:$J$75</definedName>
    <definedName name="Desc_Corretiva_mecanica">Cadastro!$K$4:$K$75</definedName>
    <definedName name="Desc_Inspecao">Cadastro!#REF!</definedName>
    <definedName name="Desc_Operacional">Cadastro!$M$4:$M$75</definedName>
    <definedName name="Desc_Preventiva">Cadastro!$I$4:$I$75</definedName>
    <definedName name="Desc_Troca_de_componente_de_desgaste">Cadastro!$L$4:$L$75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M16" i="6" l="1"/>
  <c r="M15" i="5"/>
  <c r="O28" i="4"/>
  <c r="M26" i="5"/>
  <c r="M16" i="5"/>
  <c r="M17" i="5"/>
  <c r="M18" i="5"/>
  <c r="M19" i="5"/>
  <c r="M20" i="5"/>
  <c r="M21" i="5"/>
  <c r="M22" i="5"/>
  <c r="M23" i="5"/>
  <c r="M24" i="5"/>
  <c r="G24" i="3"/>
  <c r="G23" i="4"/>
  <c r="M15" i="4"/>
  <c r="M16" i="4"/>
  <c r="M17" i="4"/>
  <c r="M18" i="4"/>
  <c r="M19" i="4"/>
  <c r="M20" i="4"/>
  <c r="M21" i="4"/>
  <c r="M22" i="4"/>
  <c r="M23" i="4"/>
  <c r="M24" i="4"/>
  <c r="M25" i="4"/>
  <c r="G16" i="3"/>
  <c r="G17" i="3"/>
  <c r="G18" i="3"/>
  <c r="G19" i="3"/>
  <c r="G20" i="3"/>
  <c r="G21" i="3"/>
  <c r="G22" i="3"/>
  <c r="G23" i="3"/>
  <c r="G25" i="3"/>
  <c r="G26" i="3"/>
  <c r="G26" i="4"/>
  <c r="G17" i="4"/>
  <c r="G18" i="4"/>
  <c r="G19" i="4"/>
  <c r="G20" i="4"/>
  <c r="G21" i="4"/>
  <c r="G22" i="4"/>
  <c r="G24" i="4"/>
  <c r="G25" i="4"/>
  <c r="G16" i="4"/>
  <c r="G15" i="3"/>
  <c r="G27" i="3"/>
  <c r="G9" i="4"/>
  <c r="G10" i="4"/>
  <c r="G11" i="4"/>
  <c r="G12" i="4"/>
  <c r="G13" i="4"/>
  <c r="M2" i="3"/>
  <c r="F810" i="3"/>
  <c r="G809" i="3"/>
  <c r="G808" i="3"/>
  <c r="G807" i="3"/>
  <c r="G806" i="3"/>
  <c r="G805" i="3"/>
  <c r="G804" i="3"/>
  <c r="G803" i="3"/>
  <c r="G802" i="3"/>
  <c r="G801" i="3"/>
  <c r="G797" i="3"/>
  <c r="F797" i="3"/>
  <c r="F811" i="3" s="1"/>
  <c r="F783" i="3"/>
  <c r="G782" i="3"/>
  <c r="G781" i="3"/>
  <c r="G780" i="3"/>
  <c r="G779" i="3"/>
  <c r="G778" i="3"/>
  <c r="G777" i="3"/>
  <c r="G776" i="3"/>
  <c r="G775" i="3"/>
  <c r="G774" i="3"/>
  <c r="G773" i="3"/>
  <c r="G772" i="3"/>
  <c r="G771" i="3"/>
  <c r="F770" i="3"/>
  <c r="F784" i="3" s="1"/>
  <c r="G769" i="3"/>
  <c r="G768" i="3"/>
  <c r="G767" i="3"/>
  <c r="G766" i="3"/>
  <c r="G765" i="3"/>
  <c r="G764" i="3"/>
  <c r="G763" i="3"/>
  <c r="G762" i="3"/>
  <c r="G761" i="3"/>
  <c r="G760" i="3"/>
  <c r="G759" i="3"/>
  <c r="G758" i="3"/>
  <c r="G770" i="3" s="1"/>
  <c r="F756" i="3"/>
  <c r="G755" i="3"/>
  <c r="G754" i="3"/>
  <c r="G753" i="3"/>
  <c r="G752" i="3"/>
  <c r="G751" i="3"/>
  <c r="G750" i="3"/>
  <c r="G749" i="3"/>
  <c r="G748" i="3"/>
  <c r="G747" i="3"/>
  <c r="G746" i="3"/>
  <c r="G745" i="3"/>
  <c r="G744" i="3"/>
  <c r="G756" i="3" s="1"/>
  <c r="F743" i="3"/>
  <c r="G742" i="3"/>
  <c r="G741" i="3"/>
  <c r="G740" i="3"/>
  <c r="G739" i="3"/>
  <c r="G738" i="3"/>
  <c r="G737" i="3"/>
  <c r="G736" i="3"/>
  <c r="G735" i="3"/>
  <c r="G734" i="3"/>
  <c r="G733" i="3"/>
  <c r="G732" i="3"/>
  <c r="G731" i="3"/>
  <c r="F729" i="3"/>
  <c r="G728" i="3"/>
  <c r="G727" i="3"/>
  <c r="G726" i="3"/>
  <c r="G725" i="3"/>
  <c r="G724" i="3"/>
  <c r="G723" i="3"/>
  <c r="G722" i="3"/>
  <c r="G721" i="3"/>
  <c r="G720" i="3"/>
  <c r="G719" i="3"/>
  <c r="G718" i="3"/>
  <c r="G717" i="3"/>
  <c r="G729" i="3" s="1"/>
  <c r="F716" i="3"/>
  <c r="F730" i="3" s="1"/>
  <c r="G715" i="3"/>
  <c r="G714" i="3"/>
  <c r="G713" i="3"/>
  <c r="G712" i="3"/>
  <c r="G711" i="3"/>
  <c r="G710" i="3"/>
  <c r="G709" i="3"/>
  <c r="G708" i="3"/>
  <c r="G707" i="3"/>
  <c r="G706" i="3"/>
  <c r="G705" i="3"/>
  <c r="G704" i="3"/>
  <c r="G716" i="3" s="1"/>
  <c r="G730" i="3" s="1"/>
  <c r="F702" i="3"/>
  <c r="G701" i="3"/>
  <c r="G700" i="3"/>
  <c r="G699" i="3"/>
  <c r="G698" i="3"/>
  <c r="G697" i="3"/>
  <c r="G696" i="3"/>
  <c r="G695" i="3"/>
  <c r="G694" i="3"/>
  <c r="G693" i="3"/>
  <c r="G692" i="3"/>
  <c r="G691" i="3"/>
  <c r="G690" i="3"/>
  <c r="F689" i="3"/>
  <c r="G688" i="3"/>
  <c r="G687" i="3"/>
  <c r="G686" i="3"/>
  <c r="G685" i="3"/>
  <c r="G684" i="3"/>
  <c r="G683" i="3"/>
  <c r="G682" i="3"/>
  <c r="G681" i="3"/>
  <c r="G680" i="3"/>
  <c r="G679" i="3"/>
  <c r="G678" i="3"/>
  <c r="G677" i="3"/>
  <c r="G689" i="3" s="1"/>
  <c r="F675" i="3"/>
  <c r="G674" i="3"/>
  <c r="G673" i="3"/>
  <c r="G672" i="3"/>
  <c r="G671" i="3"/>
  <c r="G670" i="3"/>
  <c r="G669" i="3"/>
  <c r="G668" i="3"/>
  <c r="G667" i="3"/>
  <c r="G666" i="3"/>
  <c r="G665" i="3"/>
  <c r="G664" i="3"/>
  <c r="G663" i="3"/>
  <c r="G675" i="3" s="1"/>
  <c r="F662" i="3"/>
  <c r="F676" i="3" s="1"/>
  <c r="G661" i="3"/>
  <c r="G660" i="3"/>
  <c r="G659" i="3"/>
  <c r="G658" i="3"/>
  <c r="G657" i="3"/>
  <c r="G656" i="3"/>
  <c r="G655" i="3"/>
  <c r="G654" i="3"/>
  <c r="G653" i="3"/>
  <c r="G652" i="3"/>
  <c r="G651" i="3"/>
  <c r="G650" i="3"/>
  <c r="F648" i="3"/>
  <c r="G647" i="3"/>
  <c r="G646" i="3"/>
  <c r="G645" i="3"/>
  <c r="G644" i="3"/>
  <c r="G643" i="3"/>
  <c r="G642" i="3"/>
  <c r="G641" i="3"/>
  <c r="G640" i="3"/>
  <c r="G639" i="3"/>
  <c r="G638" i="3"/>
  <c r="G637" i="3"/>
  <c r="G636" i="3"/>
  <c r="G648" i="3" s="1"/>
  <c r="F635" i="3"/>
  <c r="G634" i="3"/>
  <c r="G633" i="3"/>
  <c r="G632" i="3"/>
  <c r="G631" i="3"/>
  <c r="G630" i="3"/>
  <c r="G629" i="3"/>
  <c r="G628" i="3"/>
  <c r="G627" i="3"/>
  <c r="G626" i="3"/>
  <c r="G625" i="3"/>
  <c r="G624" i="3"/>
  <c r="G623" i="3"/>
  <c r="G635" i="3" s="1"/>
  <c r="G649" i="3" s="1"/>
  <c r="F621" i="3"/>
  <c r="G620" i="3"/>
  <c r="G619" i="3"/>
  <c r="G618" i="3"/>
  <c r="G617" i="3"/>
  <c r="G616" i="3"/>
  <c r="G614" i="3"/>
  <c r="G613" i="3"/>
  <c r="G612" i="3"/>
  <c r="G611" i="3"/>
  <c r="G610" i="3"/>
  <c r="G609" i="3"/>
  <c r="F608" i="3"/>
  <c r="F622" i="3" s="1"/>
  <c r="G607" i="3"/>
  <c r="G606" i="3"/>
  <c r="G605" i="3"/>
  <c r="G604" i="3"/>
  <c r="G603" i="3"/>
  <c r="G602" i="3"/>
  <c r="G601" i="3"/>
  <c r="G600" i="3"/>
  <c r="G599" i="3"/>
  <c r="G598" i="3"/>
  <c r="G597" i="3"/>
  <c r="G596" i="3"/>
  <c r="G608" i="3" s="1"/>
  <c r="F594" i="3"/>
  <c r="G593" i="3"/>
  <c r="G592" i="3"/>
  <c r="G591" i="3"/>
  <c r="G590" i="3"/>
  <c r="G589" i="3"/>
  <c r="G588" i="3"/>
  <c r="G587" i="3"/>
  <c r="G586" i="3"/>
  <c r="G585" i="3"/>
  <c r="G584" i="3"/>
  <c r="G583" i="3"/>
  <c r="G582" i="3"/>
  <c r="G594" i="3" s="1"/>
  <c r="F581" i="3"/>
  <c r="F595" i="3" s="1"/>
  <c r="G580" i="3"/>
  <c r="G579" i="3"/>
  <c r="G578" i="3"/>
  <c r="G577" i="3"/>
  <c r="G576" i="3"/>
  <c r="G575" i="3"/>
  <c r="G574" i="3"/>
  <c r="G573" i="3"/>
  <c r="G572" i="3"/>
  <c r="G571" i="3"/>
  <c r="G570" i="3"/>
  <c r="G569" i="3"/>
  <c r="F567" i="3"/>
  <c r="G566" i="3"/>
  <c r="G565" i="3"/>
  <c r="G564" i="3"/>
  <c r="G563" i="3"/>
  <c r="G562" i="3"/>
  <c r="G561" i="3"/>
  <c r="G560" i="3"/>
  <c r="G559" i="3"/>
  <c r="G558" i="3"/>
  <c r="G557" i="3"/>
  <c r="G556" i="3"/>
  <c r="G555" i="3"/>
  <c r="F554" i="3"/>
  <c r="G553" i="3"/>
  <c r="G552" i="3"/>
  <c r="G551" i="3"/>
  <c r="G550" i="3"/>
  <c r="G549" i="3"/>
  <c r="G548" i="3"/>
  <c r="G547" i="3"/>
  <c r="G546" i="3"/>
  <c r="G545" i="3"/>
  <c r="G544" i="3"/>
  <c r="G543" i="3"/>
  <c r="G542" i="3"/>
  <c r="G554" i="3" s="1"/>
  <c r="F540" i="3"/>
  <c r="G539" i="3"/>
  <c r="G538" i="3"/>
  <c r="G537" i="3"/>
  <c r="G536" i="3"/>
  <c r="G535" i="3"/>
  <c r="G534" i="3"/>
  <c r="G533" i="3"/>
  <c r="G532" i="3"/>
  <c r="G531" i="3"/>
  <c r="G530" i="3"/>
  <c r="G529" i="3"/>
  <c r="G528" i="3"/>
  <c r="G540" i="3" s="1"/>
  <c r="F527" i="3"/>
  <c r="F541" i="3" s="1"/>
  <c r="G526" i="3"/>
  <c r="G525" i="3"/>
  <c r="G524" i="3"/>
  <c r="G523" i="3"/>
  <c r="G522" i="3"/>
  <c r="G521" i="3"/>
  <c r="G520" i="3"/>
  <c r="G519" i="3"/>
  <c r="G518" i="3"/>
  <c r="G517" i="3"/>
  <c r="G516" i="3"/>
  <c r="G515" i="3"/>
  <c r="F513" i="3"/>
  <c r="G512" i="3"/>
  <c r="G511" i="3"/>
  <c r="G510" i="3"/>
  <c r="G509" i="3"/>
  <c r="G508" i="3"/>
  <c r="G507" i="3"/>
  <c r="G506" i="3"/>
  <c r="G505" i="3"/>
  <c r="G504" i="3"/>
  <c r="G503" i="3"/>
  <c r="G502" i="3"/>
  <c r="G501" i="3"/>
  <c r="G513" i="3" s="1"/>
  <c r="F500" i="3"/>
  <c r="F514" i="3" s="1"/>
  <c r="G499" i="3"/>
  <c r="G498" i="3"/>
  <c r="G497" i="3"/>
  <c r="G496" i="3"/>
  <c r="G495" i="3"/>
  <c r="G494" i="3"/>
  <c r="G493" i="3"/>
  <c r="G492" i="3"/>
  <c r="G491" i="3"/>
  <c r="G490" i="3"/>
  <c r="G489" i="3"/>
  <c r="G488" i="3"/>
  <c r="G500" i="3" s="1"/>
  <c r="G514" i="3" s="1"/>
  <c r="F486" i="3"/>
  <c r="G485" i="3"/>
  <c r="G484" i="3"/>
  <c r="G483" i="3"/>
  <c r="G482" i="3"/>
  <c r="G481" i="3"/>
  <c r="G480" i="3"/>
  <c r="G479" i="3"/>
  <c r="G478" i="3"/>
  <c r="G477" i="3"/>
  <c r="G476" i="3"/>
  <c r="G475" i="3"/>
  <c r="G474" i="3"/>
  <c r="F473" i="3"/>
  <c r="F487" i="3" s="1"/>
  <c r="G472" i="3"/>
  <c r="G471" i="3"/>
  <c r="G470" i="3"/>
  <c r="G469" i="3"/>
  <c r="G468" i="3"/>
  <c r="G467" i="3"/>
  <c r="G466" i="3"/>
  <c r="G465" i="3"/>
  <c r="G464" i="3"/>
  <c r="G463" i="3"/>
  <c r="G462" i="3"/>
  <c r="G461" i="3"/>
  <c r="G473" i="3" s="1"/>
  <c r="F459" i="3"/>
  <c r="G458" i="3"/>
  <c r="G457" i="3"/>
  <c r="G456" i="3"/>
  <c r="G455" i="3"/>
  <c r="G454" i="3"/>
  <c r="G453" i="3"/>
  <c r="G452" i="3"/>
  <c r="G451" i="3"/>
  <c r="G450" i="3"/>
  <c r="G449" i="3"/>
  <c r="G448" i="3"/>
  <c r="G447" i="3"/>
  <c r="F446" i="3"/>
  <c r="F460" i="3" s="1"/>
  <c r="G445" i="3"/>
  <c r="G444" i="3"/>
  <c r="G443" i="3"/>
  <c r="G442" i="3"/>
  <c r="G441" i="3"/>
  <c r="G440" i="3"/>
  <c r="G439" i="3"/>
  <c r="G438" i="3"/>
  <c r="G437" i="3"/>
  <c r="G436" i="3"/>
  <c r="G435" i="3"/>
  <c r="G434" i="3"/>
  <c r="F432" i="3"/>
  <c r="G431" i="3"/>
  <c r="G430" i="3"/>
  <c r="G429" i="3"/>
  <c r="G428" i="3"/>
  <c r="G427" i="3"/>
  <c r="G426" i="3"/>
  <c r="G425" i="3"/>
  <c r="G424" i="3"/>
  <c r="G423" i="3"/>
  <c r="G422" i="3"/>
  <c r="G421" i="3"/>
  <c r="G420" i="3"/>
  <c r="F419" i="3"/>
  <c r="F433" i="3" s="1"/>
  <c r="G418" i="3"/>
  <c r="G417" i="3"/>
  <c r="G416" i="3"/>
  <c r="G415" i="3"/>
  <c r="G414" i="3"/>
  <c r="G413" i="3"/>
  <c r="G412" i="3"/>
  <c r="G411" i="3"/>
  <c r="G410" i="3"/>
  <c r="G409" i="3"/>
  <c r="G408" i="3"/>
  <c r="G407" i="3"/>
  <c r="F405" i="3"/>
  <c r="G404" i="3"/>
  <c r="G403" i="3"/>
  <c r="G402" i="3"/>
  <c r="G401" i="3"/>
  <c r="G400" i="3"/>
  <c r="G399" i="3"/>
  <c r="G398" i="3"/>
  <c r="G397" i="3"/>
  <c r="G396" i="3"/>
  <c r="G395" i="3"/>
  <c r="G394" i="3"/>
  <c r="G393" i="3"/>
  <c r="F392" i="3"/>
  <c r="G391" i="3"/>
  <c r="G390" i="3"/>
  <c r="G389" i="3"/>
  <c r="G388" i="3"/>
  <c r="G387" i="3"/>
  <c r="G386" i="3"/>
  <c r="G385" i="3"/>
  <c r="G384" i="3"/>
  <c r="G383" i="3"/>
  <c r="G382" i="3"/>
  <c r="G381" i="3"/>
  <c r="G380" i="3"/>
  <c r="F378" i="3"/>
  <c r="G377" i="3"/>
  <c r="G376" i="3"/>
  <c r="G375" i="3"/>
  <c r="G374" i="3"/>
  <c r="G373" i="3"/>
  <c r="G372" i="3"/>
  <c r="G371" i="3"/>
  <c r="G370" i="3"/>
  <c r="G369" i="3"/>
  <c r="G368" i="3"/>
  <c r="G367" i="3"/>
  <c r="G366" i="3"/>
  <c r="G378" i="3" s="1"/>
  <c r="F365" i="3"/>
  <c r="F379" i="3" s="1"/>
  <c r="G364" i="3"/>
  <c r="G363" i="3"/>
  <c r="G362" i="3"/>
  <c r="G361" i="3"/>
  <c r="G360" i="3"/>
  <c r="G359" i="3"/>
  <c r="G358" i="3"/>
  <c r="G357" i="3"/>
  <c r="G356" i="3"/>
  <c r="G355" i="3"/>
  <c r="G354" i="3"/>
  <c r="G353" i="3"/>
  <c r="F351" i="3"/>
  <c r="G350" i="3"/>
  <c r="G349" i="3"/>
  <c r="G348" i="3"/>
  <c r="G347" i="3"/>
  <c r="G346" i="3"/>
  <c r="G345" i="3"/>
  <c r="G344" i="3"/>
  <c r="G343" i="3"/>
  <c r="G342" i="3"/>
  <c r="G341" i="3"/>
  <c r="G340" i="3"/>
  <c r="G339" i="3"/>
  <c r="G351" i="3" s="1"/>
  <c r="F338" i="3"/>
  <c r="G337" i="3"/>
  <c r="G336" i="3"/>
  <c r="G335" i="3"/>
  <c r="G334" i="3"/>
  <c r="G333" i="3"/>
  <c r="G332" i="3"/>
  <c r="G331" i="3"/>
  <c r="G330" i="3"/>
  <c r="G329" i="3"/>
  <c r="G328" i="3"/>
  <c r="G327" i="3"/>
  <c r="G326" i="3"/>
  <c r="G338" i="3" s="1"/>
  <c r="G352" i="3" s="1"/>
  <c r="F324" i="3"/>
  <c r="G323" i="3"/>
  <c r="G322" i="3"/>
  <c r="G321" i="3"/>
  <c r="G320" i="3"/>
  <c r="G319" i="3"/>
  <c r="G318" i="3"/>
  <c r="G317" i="3"/>
  <c r="G316" i="3"/>
  <c r="G315" i="3"/>
  <c r="G314" i="3"/>
  <c r="G313" i="3"/>
  <c r="G312" i="3"/>
  <c r="F311" i="3"/>
  <c r="G310" i="3"/>
  <c r="G309" i="3"/>
  <c r="G308" i="3"/>
  <c r="G307" i="3"/>
  <c r="G306" i="3"/>
  <c r="G305" i="3"/>
  <c r="G304" i="3"/>
  <c r="G303" i="3"/>
  <c r="G302" i="3"/>
  <c r="G301" i="3"/>
  <c r="G300" i="3"/>
  <c r="G299" i="3"/>
  <c r="G311" i="3" s="1"/>
  <c r="F297" i="3"/>
  <c r="G296" i="3"/>
  <c r="G295" i="3"/>
  <c r="G294" i="3"/>
  <c r="G293" i="3"/>
  <c r="G292" i="3"/>
  <c r="G291" i="3"/>
  <c r="G290" i="3"/>
  <c r="G289" i="3"/>
  <c r="G288" i="3"/>
  <c r="G287" i="3"/>
  <c r="G286" i="3"/>
  <c r="G285" i="3"/>
  <c r="G297" i="3" s="1"/>
  <c r="F284" i="3"/>
  <c r="F298" i="3" s="1"/>
  <c r="G283" i="3"/>
  <c r="G282" i="3"/>
  <c r="G281" i="3"/>
  <c r="G280" i="3"/>
  <c r="G279" i="3"/>
  <c r="G278" i="3"/>
  <c r="G277" i="3"/>
  <c r="G276" i="3"/>
  <c r="G275" i="3"/>
  <c r="G274" i="3"/>
  <c r="G273" i="3"/>
  <c r="G272" i="3"/>
  <c r="F270" i="3"/>
  <c r="G269" i="3"/>
  <c r="G268" i="3"/>
  <c r="G267" i="3"/>
  <c r="G266" i="3"/>
  <c r="G265" i="3"/>
  <c r="G264" i="3"/>
  <c r="G263" i="3"/>
  <c r="G262" i="3"/>
  <c r="G261" i="3"/>
  <c r="G260" i="3"/>
  <c r="G259" i="3"/>
  <c r="G258" i="3"/>
  <c r="F257" i="3"/>
  <c r="G256" i="3"/>
  <c r="G255" i="3"/>
  <c r="G254" i="3"/>
  <c r="G253" i="3"/>
  <c r="G252" i="3"/>
  <c r="G251" i="3"/>
  <c r="G250" i="3"/>
  <c r="G249" i="3"/>
  <c r="G248" i="3"/>
  <c r="G247" i="3"/>
  <c r="G246" i="3"/>
  <c r="G245" i="3"/>
  <c r="G257" i="3" s="1"/>
  <c r="F243" i="3"/>
  <c r="G242" i="3"/>
  <c r="G241" i="3"/>
  <c r="G240" i="3"/>
  <c r="G239" i="3"/>
  <c r="G238" i="3"/>
  <c r="G237" i="3"/>
  <c r="G236" i="3"/>
  <c r="G235" i="3"/>
  <c r="G234" i="3"/>
  <c r="G233" i="3"/>
  <c r="G232" i="3"/>
  <c r="G231" i="3"/>
  <c r="G243" i="3" s="1"/>
  <c r="F230" i="3"/>
  <c r="F244" i="3" s="1"/>
  <c r="G229" i="3"/>
  <c r="G228" i="3"/>
  <c r="G227" i="3"/>
  <c r="G226" i="3"/>
  <c r="G225" i="3"/>
  <c r="G224" i="3"/>
  <c r="G223" i="3"/>
  <c r="G222" i="3"/>
  <c r="G221" i="3"/>
  <c r="G220" i="3"/>
  <c r="G219" i="3"/>
  <c r="G218" i="3"/>
  <c r="F216" i="3"/>
  <c r="G215" i="3"/>
  <c r="G214" i="3"/>
  <c r="G213" i="3"/>
  <c r="G212" i="3"/>
  <c r="G211" i="3"/>
  <c r="G210" i="3"/>
  <c r="G209" i="3"/>
  <c r="G208" i="3"/>
  <c r="G207" i="3"/>
  <c r="G206" i="3"/>
  <c r="G205" i="3"/>
  <c r="G204" i="3"/>
  <c r="G216" i="3" s="1"/>
  <c r="F203" i="3"/>
  <c r="F217" i="3" s="1"/>
  <c r="G202" i="3"/>
  <c r="G201" i="3"/>
  <c r="G200" i="3"/>
  <c r="G199" i="3"/>
  <c r="G198" i="3"/>
  <c r="G197" i="3"/>
  <c r="G196" i="3"/>
  <c r="G195" i="3"/>
  <c r="G194" i="3"/>
  <c r="G193" i="3"/>
  <c r="G192" i="3"/>
  <c r="G191" i="3"/>
  <c r="G203" i="3" s="1"/>
  <c r="G217" i="3" s="1"/>
  <c r="F189" i="3"/>
  <c r="G188" i="3"/>
  <c r="G187" i="3"/>
  <c r="G186" i="3"/>
  <c r="G185" i="3"/>
  <c r="G184" i="3"/>
  <c r="G183" i="3"/>
  <c r="G182" i="3"/>
  <c r="G181" i="3"/>
  <c r="G180" i="3"/>
  <c r="G179" i="3"/>
  <c r="G178" i="3"/>
  <c r="G177" i="3"/>
  <c r="F176" i="3"/>
  <c r="F190" i="3" s="1"/>
  <c r="G175" i="3"/>
  <c r="G174" i="3"/>
  <c r="G173" i="3"/>
  <c r="G172" i="3"/>
  <c r="G171" i="3"/>
  <c r="G170" i="3"/>
  <c r="G169" i="3"/>
  <c r="G168" i="3"/>
  <c r="G167" i="3"/>
  <c r="G166" i="3"/>
  <c r="G165" i="3"/>
  <c r="G164" i="3"/>
  <c r="G176" i="3" s="1"/>
  <c r="F162" i="3"/>
  <c r="G161" i="3"/>
  <c r="G160" i="3"/>
  <c r="G159" i="3"/>
  <c r="G158" i="3"/>
  <c r="G157" i="3"/>
  <c r="G156" i="3"/>
  <c r="G155" i="3"/>
  <c r="G154" i="3"/>
  <c r="G153" i="3"/>
  <c r="G152" i="3"/>
  <c r="G151" i="3"/>
  <c r="G150" i="3"/>
  <c r="F149" i="3"/>
  <c r="F163" i="3" s="1"/>
  <c r="G148" i="3"/>
  <c r="G147" i="3"/>
  <c r="G146" i="3"/>
  <c r="G145" i="3"/>
  <c r="G144" i="3"/>
  <c r="G143" i="3"/>
  <c r="G142" i="3"/>
  <c r="G141" i="3"/>
  <c r="G140" i="3"/>
  <c r="G139" i="3"/>
  <c r="G138" i="3"/>
  <c r="G137" i="3"/>
  <c r="F135" i="3"/>
  <c r="G134" i="3"/>
  <c r="G133" i="3"/>
  <c r="G132" i="3"/>
  <c r="G131" i="3"/>
  <c r="G130" i="3"/>
  <c r="G129" i="3"/>
  <c r="G128" i="3"/>
  <c r="G127" i="3"/>
  <c r="G126" i="3"/>
  <c r="G125" i="3"/>
  <c r="G124" i="3"/>
  <c r="G123" i="3"/>
  <c r="F122" i="3"/>
  <c r="F136" i="3" s="1"/>
  <c r="G121" i="3"/>
  <c r="G120" i="3"/>
  <c r="G119" i="3"/>
  <c r="G118" i="3"/>
  <c r="G117" i="3"/>
  <c r="G116" i="3"/>
  <c r="G115" i="3"/>
  <c r="G114" i="3"/>
  <c r="G113" i="3"/>
  <c r="G112" i="3"/>
  <c r="G111" i="3"/>
  <c r="G110" i="3"/>
  <c r="F108" i="3"/>
  <c r="G107" i="3"/>
  <c r="G106" i="3"/>
  <c r="G105" i="3"/>
  <c r="G104" i="3"/>
  <c r="G103" i="3"/>
  <c r="G102" i="3"/>
  <c r="G101" i="3"/>
  <c r="G100" i="3"/>
  <c r="G99" i="3"/>
  <c r="G98" i="3"/>
  <c r="G97" i="3"/>
  <c r="G96" i="3"/>
  <c r="F95" i="3"/>
  <c r="G94" i="3"/>
  <c r="G93" i="3"/>
  <c r="G92" i="3"/>
  <c r="G91" i="3"/>
  <c r="G90" i="3"/>
  <c r="G89" i="3"/>
  <c r="G88" i="3"/>
  <c r="G87" i="3"/>
  <c r="G86" i="3"/>
  <c r="G85" i="3"/>
  <c r="G84" i="3"/>
  <c r="G83" i="3"/>
  <c r="F81" i="3"/>
  <c r="G80" i="3"/>
  <c r="G79" i="3"/>
  <c r="G78" i="3"/>
  <c r="G77" i="3"/>
  <c r="G76" i="3"/>
  <c r="G75" i="3"/>
  <c r="G74" i="3"/>
  <c r="G73" i="3"/>
  <c r="G72" i="3"/>
  <c r="G71" i="3"/>
  <c r="G70" i="3"/>
  <c r="G69" i="3"/>
  <c r="G81" i="3" s="1"/>
  <c r="F68" i="3"/>
  <c r="F82" i="3" s="1"/>
  <c r="G67" i="3"/>
  <c r="G66" i="3"/>
  <c r="G65" i="3"/>
  <c r="G64" i="3"/>
  <c r="G63" i="3"/>
  <c r="G62" i="3"/>
  <c r="G61" i="3"/>
  <c r="G60" i="3"/>
  <c r="G59" i="3"/>
  <c r="G58" i="3"/>
  <c r="G57" i="3"/>
  <c r="G56" i="3"/>
  <c r="F54" i="3"/>
  <c r="G53" i="3"/>
  <c r="G52" i="3"/>
  <c r="G51" i="3"/>
  <c r="G50" i="3"/>
  <c r="G49" i="3"/>
  <c r="G48" i="3"/>
  <c r="G47" i="3"/>
  <c r="G46" i="3"/>
  <c r="G45" i="3"/>
  <c r="G44" i="3"/>
  <c r="G43" i="3"/>
  <c r="G42" i="3"/>
  <c r="G54" i="3" s="1"/>
  <c r="F41" i="3"/>
  <c r="G40" i="3"/>
  <c r="G39" i="3"/>
  <c r="G38" i="3"/>
  <c r="G37" i="3"/>
  <c r="G36" i="3"/>
  <c r="G35" i="3"/>
  <c r="G34" i="3"/>
  <c r="G33" i="3"/>
  <c r="G32" i="3"/>
  <c r="G31" i="3"/>
  <c r="G30" i="3"/>
  <c r="G29" i="3"/>
  <c r="G41" i="3" s="1"/>
  <c r="G55" i="3" s="1"/>
  <c r="F27" i="3"/>
  <c r="F14" i="3"/>
  <c r="G13" i="3"/>
  <c r="G12" i="3"/>
  <c r="G11" i="3"/>
  <c r="G10" i="3"/>
  <c r="G9" i="3"/>
  <c r="G8" i="3"/>
  <c r="G7" i="3"/>
  <c r="G6" i="3"/>
  <c r="G5" i="3"/>
  <c r="G4" i="3"/>
  <c r="G3" i="3"/>
  <c r="G2" i="3"/>
  <c r="F810" i="4"/>
  <c r="G809" i="4"/>
  <c r="G808" i="4"/>
  <c r="G807" i="4"/>
  <c r="G806" i="4"/>
  <c r="G805" i="4"/>
  <c r="G804" i="4"/>
  <c r="G803" i="4"/>
  <c r="G802" i="4"/>
  <c r="G801" i="4"/>
  <c r="G810" i="4" s="1"/>
  <c r="G797" i="4"/>
  <c r="G811" i="4" s="1"/>
  <c r="F797" i="4"/>
  <c r="F811" i="4" s="1"/>
  <c r="F783" i="4"/>
  <c r="G782" i="4"/>
  <c r="G781" i="4"/>
  <c r="G780" i="4"/>
  <c r="G779" i="4"/>
  <c r="G778" i="4"/>
  <c r="G777" i="4"/>
  <c r="G776" i="4"/>
  <c r="G775" i="4"/>
  <c r="G774" i="4"/>
  <c r="G773" i="4"/>
  <c r="G772" i="4"/>
  <c r="G771" i="4"/>
  <c r="G783" i="4" s="1"/>
  <c r="F770" i="4"/>
  <c r="F784" i="4" s="1"/>
  <c r="G769" i="4"/>
  <c r="G768" i="4"/>
  <c r="G767" i="4"/>
  <c r="G766" i="4"/>
  <c r="G765" i="4"/>
  <c r="G764" i="4"/>
  <c r="G763" i="4"/>
  <c r="G762" i="4"/>
  <c r="G761" i="4"/>
  <c r="G760" i="4"/>
  <c r="G759" i="4"/>
  <c r="G758" i="4"/>
  <c r="F756" i="4"/>
  <c r="G755" i="4"/>
  <c r="G754" i="4"/>
  <c r="G753" i="4"/>
  <c r="G752" i="4"/>
  <c r="G751" i="4"/>
  <c r="G750" i="4"/>
  <c r="G749" i="4"/>
  <c r="G748" i="4"/>
  <c r="G747" i="4"/>
  <c r="G746" i="4"/>
  <c r="G745" i="4"/>
  <c r="G744" i="4"/>
  <c r="G756" i="4" s="1"/>
  <c r="F743" i="4"/>
  <c r="F757" i="4" s="1"/>
  <c r="G742" i="4"/>
  <c r="G741" i="4"/>
  <c r="G740" i="4"/>
  <c r="G739" i="4"/>
  <c r="G738" i="4"/>
  <c r="G737" i="4"/>
  <c r="G736" i="4"/>
  <c r="G735" i="4"/>
  <c r="G734" i="4"/>
  <c r="G733" i="4"/>
  <c r="G732" i="4"/>
  <c r="G731" i="4"/>
  <c r="G743" i="4" s="1"/>
  <c r="G757" i="4" s="1"/>
  <c r="F729" i="4"/>
  <c r="G728" i="4"/>
  <c r="G727" i="4"/>
  <c r="G726" i="4"/>
  <c r="G725" i="4"/>
  <c r="G724" i="4"/>
  <c r="G723" i="4"/>
  <c r="G722" i="4"/>
  <c r="G721" i="4"/>
  <c r="G720" i="4"/>
  <c r="G719" i="4"/>
  <c r="G718" i="4"/>
  <c r="G717" i="4"/>
  <c r="F716" i="4"/>
  <c r="G715" i="4"/>
  <c r="G714" i="4"/>
  <c r="G713" i="4"/>
  <c r="G712" i="4"/>
  <c r="G711" i="4"/>
  <c r="G710" i="4"/>
  <c r="G709" i="4"/>
  <c r="G708" i="4"/>
  <c r="G707" i="4"/>
  <c r="G706" i="4"/>
  <c r="G705" i="4"/>
  <c r="G704" i="4"/>
  <c r="G716" i="4" s="1"/>
  <c r="F702" i="4"/>
  <c r="G701" i="4"/>
  <c r="G700" i="4"/>
  <c r="G699" i="4"/>
  <c r="G698" i="4"/>
  <c r="G697" i="4"/>
  <c r="G696" i="4"/>
  <c r="G695" i="4"/>
  <c r="G694" i="4"/>
  <c r="G693" i="4"/>
  <c r="G692" i="4"/>
  <c r="G691" i="4"/>
  <c r="G690" i="4"/>
  <c r="G702" i="4" s="1"/>
  <c r="F689" i="4"/>
  <c r="F703" i="4" s="1"/>
  <c r="G688" i="4"/>
  <c r="G687" i="4"/>
  <c r="G686" i="4"/>
  <c r="G685" i="4"/>
  <c r="G684" i="4"/>
  <c r="G683" i="4"/>
  <c r="G682" i="4"/>
  <c r="G681" i="4"/>
  <c r="G680" i="4"/>
  <c r="G679" i="4"/>
  <c r="G678" i="4"/>
  <c r="G677" i="4"/>
  <c r="F675" i="4"/>
  <c r="G674" i="4"/>
  <c r="G673" i="4"/>
  <c r="G672" i="4"/>
  <c r="G671" i="4"/>
  <c r="G670" i="4"/>
  <c r="G669" i="4"/>
  <c r="G668" i="4"/>
  <c r="G667" i="4"/>
  <c r="G666" i="4"/>
  <c r="G665" i="4"/>
  <c r="G664" i="4"/>
  <c r="G663" i="4"/>
  <c r="G675" i="4" s="1"/>
  <c r="F662" i="4"/>
  <c r="F676" i="4" s="1"/>
  <c r="G661" i="4"/>
  <c r="G660" i="4"/>
  <c r="G659" i="4"/>
  <c r="G658" i="4"/>
  <c r="G657" i="4"/>
  <c r="G656" i="4"/>
  <c r="G655" i="4"/>
  <c r="G654" i="4"/>
  <c r="G653" i="4"/>
  <c r="G652" i="4"/>
  <c r="G651" i="4"/>
  <c r="G650" i="4"/>
  <c r="G662" i="4" s="1"/>
  <c r="G676" i="4" s="1"/>
  <c r="F648" i="4"/>
  <c r="G647" i="4"/>
  <c r="G646" i="4"/>
  <c r="G645" i="4"/>
  <c r="G644" i="4"/>
  <c r="G643" i="4"/>
  <c r="G642" i="4"/>
  <c r="G641" i="4"/>
  <c r="G640" i="4"/>
  <c r="G639" i="4"/>
  <c r="G638" i="4"/>
  <c r="G637" i="4"/>
  <c r="G636" i="4"/>
  <c r="F635" i="4"/>
  <c r="G634" i="4"/>
  <c r="G633" i="4"/>
  <c r="G632" i="4"/>
  <c r="G631" i="4"/>
  <c r="G630" i="4"/>
  <c r="G629" i="4"/>
  <c r="G628" i="4"/>
  <c r="G627" i="4"/>
  <c r="G626" i="4"/>
  <c r="G625" i="4"/>
  <c r="G624" i="4"/>
  <c r="G623" i="4"/>
  <c r="G635" i="4" s="1"/>
  <c r="F621" i="4"/>
  <c r="G620" i="4"/>
  <c r="G619" i="4"/>
  <c r="G618" i="4"/>
  <c r="G617" i="4"/>
  <c r="G616" i="4"/>
  <c r="G614" i="4"/>
  <c r="G613" i="4"/>
  <c r="G612" i="4"/>
  <c r="G611" i="4"/>
  <c r="G610" i="4"/>
  <c r="G609" i="4"/>
  <c r="G621" i="4" s="1"/>
  <c r="F608" i="4"/>
  <c r="F622" i="4" s="1"/>
  <c r="G607" i="4"/>
  <c r="G606" i="4"/>
  <c r="G605" i="4"/>
  <c r="G604" i="4"/>
  <c r="G603" i="4"/>
  <c r="G602" i="4"/>
  <c r="G601" i="4"/>
  <c r="G600" i="4"/>
  <c r="G599" i="4"/>
  <c r="G598" i="4"/>
  <c r="G597" i="4"/>
  <c r="G596" i="4"/>
  <c r="F594" i="4"/>
  <c r="G593" i="4"/>
  <c r="G592" i="4"/>
  <c r="G591" i="4"/>
  <c r="G590" i="4"/>
  <c r="G589" i="4"/>
  <c r="G588" i="4"/>
  <c r="G587" i="4"/>
  <c r="G586" i="4"/>
  <c r="G585" i="4"/>
  <c r="G584" i="4"/>
  <c r="G583" i="4"/>
  <c r="G582" i="4"/>
  <c r="G594" i="4" s="1"/>
  <c r="F581" i="4"/>
  <c r="F595" i="4" s="1"/>
  <c r="G580" i="4"/>
  <c r="G579" i="4"/>
  <c r="G578" i="4"/>
  <c r="G577" i="4"/>
  <c r="G576" i="4"/>
  <c r="G575" i="4"/>
  <c r="G574" i="4"/>
  <c r="G573" i="4"/>
  <c r="G572" i="4"/>
  <c r="G571" i="4"/>
  <c r="G570" i="4"/>
  <c r="G569" i="4"/>
  <c r="G581" i="4" s="1"/>
  <c r="G595" i="4" s="1"/>
  <c r="F567" i="4"/>
  <c r="G566" i="4"/>
  <c r="G565" i="4"/>
  <c r="G564" i="4"/>
  <c r="G563" i="4"/>
  <c r="G562" i="4"/>
  <c r="G561" i="4"/>
  <c r="G560" i="4"/>
  <c r="G559" i="4"/>
  <c r="G558" i="4"/>
  <c r="G557" i="4"/>
  <c r="G556" i="4"/>
  <c r="G555" i="4"/>
  <c r="F554" i="4"/>
  <c r="G553" i="4"/>
  <c r="G552" i="4"/>
  <c r="G551" i="4"/>
  <c r="G550" i="4"/>
  <c r="G549" i="4"/>
  <c r="G548" i="4"/>
  <c r="G547" i="4"/>
  <c r="G546" i="4"/>
  <c r="G545" i="4"/>
  <c r="G544" i="4"/>
  <c r="G543" i="4"/>
  <c r="G542" i="4"/>
  <c r="G554" i="4" s="1"/>
  <c r="F540" i="4"/>
  <c r="G539" i="4"/>
  <c r="G538" i="4"/>
  <c r="G537" i="4"/>
  <c r="G536" i="4"/>
  <c r="G535" i="4"/>
  <c r="G534" i="4"/>
  <c r="G533" i="4"/>
  <c r="G532" i="4"/>
  <c r="G531" i="4"/>
  <c r="G530" i="4"/>
  <c r="G529" i="4"/>
  <c r="G528" i="4"/>
  <c r="G540" i="4" s="1"/>
  <c r="F527" i="4"/>
  <c r="F541" i="4" s="1"/>
  <c r="G526" i="4"/>
  <c r="G525" i="4"/>
  <c r="G524" i="4"/>
  <c r="G523" i="4"/>
  <c r="G522" i="4"/>
  <c r="G521" i="4"/>
  <c r="G520" i="4"/>
  <c r="G519" i="4"/>
  <c r="G518" i="4"/>
  <c r="G517" i="4"/>
  <c r="G516" i="4"/>
  <c r="G515" i="4"/>
  <c r="F513" i="4"/>
  <c r="G512" i="4"/>
  <c r="G511" i="4"/>
  <c r="G510" i="4"/>
  <c r="G509" i="4"/>
  <c r="G508" i="4"/>
  <c r="G507" i="4"/>
  <c r="G506" i="4"/>
  <c r="G505" i="4"/>
  <c r="G504" i="4"/>
  <c r="G503" i="4"/>
  <c r="G502" i="4"/>
  <c r="G501" i="4"/>
  <c r="G513" i="4" s="1"/>
  <c r="F500" i="4"/>
  <c r="G499" i="4"/>
  <c r="G498" i="4"/>
  <c r="G497" i="4"/>
  <c r="G496" i="4"/>
  <c r="G495" i="4"/>
  <c r="G494" i="4"/>
  <c r="G493" i="4"/>
  <c r="G492" i="4"/>
  <c r="G491" i="4"/>
  <c r="G490" i="4"/>
  <c r="G489" i="4"/>
  <c r="G488" i="4"/>
  <c r="G500" i="4" s="1"/>
  <c r="G514" i="4" s="1"/>
  <c r="F486" i="4"/>
  <c r="G485" i="4"/>
  <c r="G484" i="4"/>
  <c r="G483" i="4"/>
  <c r="G482" i="4"/>
  <c r="G481" i="4"/>
  <c r="G480" i="4"/>
  <c r="G479" i="4"/>
  <c r="G478" i="4"/>
  <c r="G477" i="4"/>
  <c r="G476" i="4"/>
  <c r="G475" i="4"/>
  <c r="G474" i="4"/>
  <c r="G486" i="4" s="1"/>
  <c r="F473" i="4"/>
  <c r="F487" i="4" s="1"/>
  <c r="G472" i="4"/>
  <c r="G471" i="4"/>
  <c r="G470" i="4"/>
  <c r="G469" i="4"/>
  <c r="G468" i="4"/>
  <c r="G467" i="4"/>
  <c r="G466" i="4"/>
  <c r="G465" i="4"/>
  <c r="G464" i="4"/>
  <c r="G463" i="4"/>
  <c r="G462" i="4"/>
  <c r="G461" i="4"/>
  <c r="G473" i="4" s="1"/>
  <c r="G487" i="4" s="1"/>
  <c r="F459" i="4"/>
  <c r="G458" i="4"/>
  <c r="G457" i="4"/>
  <c r="G456" i="4"/>
  <c r="G455" i="4"/>
  <c r="G454" i="4"/>
  <c r="G453" i="4"/>
  <c r="G452" i="4"/>
  <c r="G451" i="4"/>
  <c r="G450" i="4"/>
  <c r="G449" i="4"/>
  <c r="G448" i="4"/>
  <c r="G447" i="4"/>
  <c r="G459" i="4" s="1"/>
  <c r="F446" i="4"/>
  <c r="F460" i="4" s="1"/>
  <c r="G445" i="4"/>
  <c r="G444" i="4"/>
  <c r="G443" i="4"/>
  <c r="G442" i="4"/>
  <c r="G441" i="4"/>
  <c r="G440" i="4"/>
  <c r="G439" i="4"/>
  <c r="G438" i="4"/>
  <c r="G437" i="4"/>
  <c r="G436" i="4"/>
  <c r="G435" i="4"/>
  <c r="G434" i="4"/>
  <c r="G446" i="4" s="1"/>
  <c r="G460" i="4" s="1"/>
  <c r="F432" i="4"/>
  <c r="G431" i="4"/>
  <c r="G430" i="4"/>
  <c r="G429" i="4"/>
  <c r="G428" i="4"/>
  <c r="G427" i="4"/>
  <c r="G426" i="4"/>
  <c r="G425" i="4"/>
  <c r="G424" i="4"/>
  <c r="G423" i="4"/>
  <c r="G422" i="4"/>
  <c r="G421" i="4"/>
  <c r="G420" i="4"/>
  <c r="F419" i="4"/>
  <c r="G418" i="4"/>
  <c r="G417" i="4"/>
  <c r="G416" i="4"/>
  <c r="G415" i="4"/>
  <c r="G414" i="4"/>
  <c r="G413" i="4"/>
  <c r="G412" i="4"/>
  <c r="G411" i="4"/>
  <c r="G410" i="4"/>
  <c r="G409" i="4"/>
  <c r="G408" i="4"/>
  <c r="G407" i="4"/>
  <c r="G419" i="4" s="1"/>
  <c r="F405" i="4"/>
  <c r="G404" i="4"/>
  <c r="G403" i="4"/>
  <c r="G402" i="4"/>
  <c r="G401" i="4"/>
  <c r="G400" i="4"/>
  <c r="G399" i="4"/>
  <c r="G398" i="4"/>
  <c r="G397" i="4"/>
  <c r="G396" i="4"/>
  <c r="G395" i="4"/>
  <c r="G394" i="4"/>
  <c r="G393" i="4"/>
  <c r="G405" i="4" s="1"/>
  <c r="F392" i="4"/>
  <c r="F406" i="4" s="1"/>
  <c r="G391" i="4"/>
  <c r="G390" i="4"/>
  <c r="G389" i="4"/>
  <c r="G388" i="4"/>
  <c r="G387" i="4"/>
  <c r="G386" i="4"/>
  <c r="G385" i="4"/>
  <c r="G384" i="4"/>
  <c r="G383" i="4"/>
  <c r="G382" i="4"/>
  <c r="G381" i="4"/>
  <c r="G380" i="4"/>
  <c r="F378" i="4"/>
  <c r="G377" i="4"/>
  <c r="G376" i="4"/>
  <c r="G375" i="4"/>
  <c r="G374" i="4"/>
  <c r="G373" i="4"/>
  <c r="G372" i="4"/>
  <c r="G371" i="4"/>
  <c r="G370" i="4"/>
  <c r="G369" i="4"/>
  <c r="G368" i="4"/>
  <c r="G367" i="4"/>
  <c r="G366" i="4"/>
  <c r="F365" i="4"/>
  <c r="F379" i="4" s="1"/>
  <c r="G364" i="4"/>
  <c r="G363" i="4"/>
  <c r="G362" i="4"/>
  <c r="G361" i="4"/>
  <c r="G360" i="4"/>
  <c r="G359" i="4"/>
  <c r="G358" i="4"/>
  <c r="G357" i="4"/>
  <c r="G356" i="4"/>
  <c r="G355" i="4"/>
  <c r="G354" i="4"/>
  <c r="G353" i="4"/>
  <c r="G365" i="4" s="1"/>
  <c r="F351" i="4"/>
  <c r="G350" i="4"/>
  <c r="G349" i="4"/>
  <c r="G348" i="4"/>
  <c r="G347" i="4"/>
  <c r="G346" i="4"/>
  <c r="G345" i="4"/>
  <c r="G344" i="4"/>
  <c r="G343" i="4"/>
  <c r="G342" i="4"/>
  <c r="G341" i="4"/>
  <c r="G340" i="4"/>
  <c r="G339" i="4"/>
  <c r="F338" i="4"/>
  <c r="G337" i="4"/>
  <c r="G336" i="4"/>
  <c r="G335" i="4"/>
  <c r="G334" i="4"/>
  <c r="G333" i="4"/>
  <c r="G332" i="4"/>
  <c r="G331" i="4"/>
  <c r="G330" i="4"/>
  <c r="G329" i="4"/>
  <c r="G328" i="4"/>
  <c r="G327" i="4"/>
  <c r="G326" i="4"/>
  <c r="F324" i="4"/>
  <c r="G323" i="4"/>
  <c r="G322" i="4"/>
  <c r="G321" i="4"/>
  <c r="G320" i="4"/>
  <c r="G319" i="4"/>
  <c r="G318" i="4"/>
  <c r="G317" i="4"/>
  <c r="G316" i="4"/>
  <c r="G315" i="4"/>
  <c r="G314" i="4"/>
  <c r="G313" i="4"/>
  <c r="G312" i="4"/>
  <c r="G324" i="4" s="1"/>
  <c r="F311" i="4"/>
  <c r="F325" i="4" s="1"/>
  <c r="G310" i="4"/>
  <c r="G309" i="4"/>
  <c r="G308" i="4"/>
  <c r="G307" i="4"/>
  <c r="G306" i="4"/>
  <c r="G305" i="4"/>
  <c r="G304" i="4"/>
  <c r="G303" i="4"/>
  <c r="G302" i="4"/>
  <c r="G301" i="4"/>
  <c r="G300" i="4"/>
  <c r="G299" i="4"/>
  <c r="F297" i="4"/>
  <c r="G296" i="4"/>
  <c r="G295" i="4"/>
  <c r="G294" i="4"/>
  <c r="G293" i="4"/>
  <c r="G292" i="4"/>
  <c r="G291" i="4"/>
  <c r="G290" i="4"/>
  <c r="G289" i="4"/>
  <c r="G288" i="4"/>
  <c r="G287" i="4"/>
  <c r="G286" i="4"/>
  <c r="G285" i="4"/>
  <c r="G297" i="4" s="1"/>
  <c r="F284" i="4"/>
  <c r="F298" i="4" s="1"/>
  <c r="G283" i="4"/>
  <c r="G282" i="4"/>
  <c r="G281" i="4"/>
  <c r="G280" i="4"/>
  <c r="G279" i="4"/>
  <c r="G278" i="4"/>
  <c r="G277" i="4"/>
  <c r="G276" i="4"/>
  <c r="G275" i="4"/>
  <c r="G274" i="4"/>
  <c r="G273" i="4"/>
  <c r="G272" i="4"/>
  <c r="G284" i="4" s="1"/>
  <c r="G298" i="4" s="1"/>
  <c r="F270" i="4"/>
  <c r="G269" i="4"/>
  <c r="G268" i="4"/>
  <c r="G267" i="4"/>
  <c r="G266" i="4"/>
  <c r="G265" i="4"/>
  <c r="G264" i="4"/>
  <c r="G263" i="4"/>
  <c r="G262" i="4"/>
  <c r="G261" i="4"/>
  <c r="G260" i="4"/>
  <c r="G259" i="4"/>
  <c r="G258" i="4"/>
  <c r="F257" i="4"/>
  <c r="G256" i="4"/>
  <c r="G255" i="4"/>
  <c r="G254" i="4"/>
  <c r="G253" i="4"/>
  <c r="G252" i="4"/>
  <c r="G251" i="4"/>
  <c r="G250" i="4"/>
  <c r="G249" i="4"/>
  <c r="G248" i="4"/>
  <c r="G247" i="4"/>
  <c r="G246" i="4"/>
  <c r="G245" i="4"/>
  <c r="G257" i="4" s="1"/>
  <c r="F243" i="4"/>
  <c r="G242" i="4"/>
  <c r="G241" i="4"/>
  <c r="G240" i="4"/>
  <c r="G239" i="4"/>
  <c r="G238" i="4"/>
  <c r="G237" i="4"/>
  <c r="G236" i="4"/>
  <c r="G235" i="4"/>
  <c r="G234" i="4"/>
  <c r="G233" i="4"/>
  <c r="G232" i="4"/>
  <c r="G231" i="4"/>
  <c r="G243" i="4" s="1"/>
  <c r="F230" i="4"/>
  <c r="F244" i="4" s="1"/>
  <c r="G229" i="4"/>
  <c r="G228" i="4"/>
  <c r="G227" i="4"/>
  <c r="G226" i="4"/>
  <c r="G225" i="4"/>
  <c r="G224" i="4"/>
  <c r="G223" i="4"/>
  <c r="G222" i="4"/>
  <c r="G221" i="4"/>
  <c r="G220" i="4"/>
  <c r="G219" i="4"/>
  <c r="G218" i="4"/>
  <c r="F216" i="4"/>
  <c r="G215" i="4"/>
  <c r="G214" i="4"/>
  <c r="G213" i="4"/>
  <c r="G212" i="4"/>
  <c r="G211" i="4"/>
  <c r="G210" i="4"/>
  <c r="G209" i="4"/>
  <c r="G208" i="4"/>
  <c r="G207" i="4"/>
  <c r="G206" i="4"/>
  <c r="G205" i="4"/>
  <c r="G204" i="4"/>
  <c r="G216" i="4" s="1"/>
  <c r="F203" i="4"/>
  <c r="G202" i="4"/>
  <c r="G201" i="4"/>
  <c r="G200" i="4"/>
  <c r="G199" i="4"/>
  <c r="G198" i="4"/>
  <c r="G197" i="4"/>
  <c r="G196" i="4"/>
  <c r="G195" i="4"/>
  <c r="G194" i="4"/>
  <c r="G193" i="4"/>
  <c r="G192" i="4"/>
  <c r="G191" i="4"/>
  <c r="G203" i="4" s="1"/>
  <c r="G217" i="4" s="1"/>
  <c r="F189" i="4"/>
  <c r="G188" i="4"/>
  <c r="G187" i="4"/>
  <c r="G186" i="4"/>
  <c r="G185" i="4"/>
  <c r="G184" i="4"/>
  <c r="G183" i="4"/>
  <c r="G182" i="4"/>
  <c r="G181" i="4"/>
  <c r="G180" i="4"/>
  <c r="G179" i="4"/>
  <c r="G178" i="4"/>
  <c r="G177" i="4"/>
  <c r="G189" i="4" s="1"/>
  <c r="F176" i="4"/>
  <c r="F190" i="4" s="1"/>
  <c r="G175" i="4"/>
  <c r="G174" i="4"/>
  <c r="G173" i="4"/>
  <c r="G172" i="4"/>
  <c r="G171" i="4"/>
  <c r="G170" i="4"/>
  <c r="G169" i="4"/>
  <c r="G168" i="4"/>
  <c r="G167" i="4"/>
  <c r="G166" i="4"/>
  <c r="G165" i="4"/>
  <c r="G164" i="4"/>
  <c r="G176" i="4" s="1"/>
  <c r="G190" i="4" s="1"/>
  <c r="F162" i="4"/>
  <c r="G161" i="4"/>
  <c r="G160" i="4"/>
  <c r="G159" i="4"/>
  <c r="G158" i="4"/>
  <c r="G157" i="4"/>
  <c r="G156" i="4"/>
  <c r="G155" i="4"/>
  <c r="G154" i="4"/>
  <c r="G153" i="4"/>
  <c r="G152" i="4"/>
  <c r="G151" i="4"/>
  <c r="G150" i="4"/>
  <c r="G162" i="4" s="1"/>
  <c r="F149" i="4"/>
  <c r="F163" i="4" s="1"/>
  <c r="G148" i="4"/>
  <c r="G147" i="4"/>
  <c r="G146" i="4"/>
  <c r="G145" i="4"/>
  <c r="G144" i="4"/>
  <c r="G143" i="4"/>
  <c r="G142" i="4"/>
  <c r="G141" i="4"/>
  <c r="G140" i="4"/>
  <c r="G139" i="4"/>
  <c r="G138" i="4"/>
  <c r="G137" i="4"/>
  <c r="G149" i="4" s="1"/>
  <c r="G163" i="4" s="1"/>
  <c r="F135" i="4"/>
  <c r="G134" i="4"/>
  <c r="G133" i="4"/>
  <c r="G132" i="4"/>
  <c r="G131" i="4"/>
  <c r="G130" i="4"/>
  <c r="G129" i="4"/>
  <c r="G128" i="4"/>
  <c r="G127" i="4"/>
  <c r="G126" i="4"/>
  <c r="G125" i="4"/>
  <c r="G124" i="4"/>
  <c r="G123" i="4"/>
  <c r="F122" i="4"/>
  <c r="G121" i="4"/>
  <c r="G120" i="4"/>
  <c r="G119" i="4"/>
  <c r="G118" i="4"/>
  <c r="G117" i="4"/>
  <c r="G116" i="4"/>
  <c r="G115" i="4"/>
  <c r="G114" i="4"/>
  <c r="G113" i="4"/>
  <c r="G112" i="4"/>
  <c r="G111" i="4"/>
  <c r="G110" i="4"/>
  <c r="G122" i="4" s="1"/>
  <c r="F108" i="4"/>
  <c r="G107" i="4"/>
  <c r="G106" i="4"/>
  <c r="G105" i="4"/>
  <c r="G104" i="4"/>
  <c r="G103" i="4"/>
  <c r="G102" i="4"/>
  <c r="G101" i="4"/>
  <c r="G100" i="4"/>
  <c r="G99" i="4"/>
  <c r="G98" i="4"/>
  <c r="G97" i="4"/>
  <c r="G96" i="4"/>
  <c r="G108" i="4" s="1"/>
  <c r="F95" i="4"/>
  <c r="F109" i="4" s="1"/>
  <c r="G94" i="4"/>
  <c r="G93" i="4"/>
  <c r="G92" i="4"/>
  <c r="G91" i="4"/>
  <c r="G90" i="4"/>
  <c r="G89" i="4"/>
  <c r="G88" i="4"/>
  <c r="G87" i="4"/>
  <c r="G86" i="4"/>
  <c r="G85" i="4"/>
  <c r="G84" i="4"/>
  <c r="G83" i="4"/>
  <c r="F81" i="4"/>
  <c r="G80" i="4"/>
  <c r="G79" i="4"/>
  <c r="G78" i="4"/>
  <c r="G77" i="4"/>
  <c r="G76" i="4"/>
  <c r="G75" i="4"/>
  <c r="G74" i="4"/>
  <c r="G73" i="4"/>
  <c r="G72" i="4"/>
  <c r="G71" i="4"/>
  <c r="G70" i="4"/>
  <c r="G69" i="4"/>
  <c r="F68" i="4"/>
  <c r="F82" i="4" s="1"/>
  <c r="G67" i="4"/>
  <c r="G66" i="4"/>
  <c r="G65" i="4"/>
  <c r="G64" i="4"/>
  <c r="G63" i="4"/>
  <c r="G62" i="4"/>
  <c r="G61" i="4"/>
  <c r="G60" i="4"/>
  <c r="G59" i="4"/>
  <c r="G58" i="4"/>
  <c r="G57" i="4"/>
  <c r="G56" i="4"/>
  <c r="G68" i="4" s="1"/>
  <c r="F54" i="4"/>
  <c r="G53" i="4"/>
  <c r="G52" i="4"/>
  <c r="G51" i="4"/>
  <c r="G50" i="4"/>
  <c r="G49" i="4"/>
  <c r="G48" i="4"/>
  <c r="G47" i="4"/>
  <c r="G46" i="4"/>
  <c r="G45" i="4"/>
  <c r="G44" i="4"/>
  <c r="G43" i="4"/>
  <c r="G42" i="4"/>
  <c r="F41" i="4"/>
  <c r="G40" i="4"/>
  <c r="G39" i="4"/>
  <c r="G38" i="4"/>
  <c r="G37" i="4"/>
  <c r="G36" i="4"/>
  <c r="G35" i="4"/>
  <c r="G34" i="4"/>
  <c r="G33" i="4"/>
  <c r="G32" i="4"/>
  <c r="G31" i="4"/>
  <c r="G30" i="4"/>
  <c r="G29" i="4"/>
  <c r="F27" i="4"/>
  <c r="G15" i="4"/>
  <c r="G27" i="4" s="1"/>
  <c r="F14" i="4"/>
  <c r="F28" i="4" s="1"/>
  <c r="G8" i="4"/>
  <c r="G7" i="4"/>
  <c r="G6" i="4"/>
  <c r="G5" i="4"/>
  <c r="G4" i="4"/>
  <c r="G3" i="4"/>
  <c r="G2" i="4"/>
  <c r="F810" i="5"/>
  <c r="G809" i="5"/>
  <c r="G808" i="5"/>
  <c r="G807" i="5"/>
  <c r="G806" i="5"/>
  <c r="G805" i="5"/>
  <c r="G804" i="5"/>
  <c r="G803" i="5"/>
  <c r="G802" i="5"/>
  <c r="G801" i="5"/>
  <c r="G810" i="5" s="1"/>
  <c r="G797" i="5"/>
  <c r="G811" i="5" s="1"/>
  <c r="F797" i="5"/>
  <c r="F811" i="5" s="1"/>
  <c r="F783" i="5"/>
  <c r="F784" i="5" s="1"/>
  <c r="G782" i="5"/>
  <c r="G781" i="5"/>
  <c r="G783" i="5" s="1"/>
  <c r="G780" i="5"/>
  <c r="G779" i="5"/>
  <c r="G778" i="5"/>
  <c r="G777" i="5"/>
  <c r="G776" i="5"/>
  <c r="G775" i="5"/>
  <c r="G774" i="5"/>
  <c r="G773" i="5"/>
  <c r="G772" i="5"/>
  <c r="G771" i="5"/>
  <c r="F770" i="5"/>
  <c r="G769" i="5"/>
  <c r="G768" i="5"/>
  <c r="G767" i="5"/>
  <c r="G766" i="5"/>
  <c r="G765" i="5"/>
  <c r="G764" i="5"/>
  <c r="G763" i="5"/>
  <c r="G762" i="5"/>
  <c r="G761" i="5"/>
  <c r="G760" i="5"/>
  <c r="G759" i="5"/>
  <c r="G770" i="5" s="1"/>
  <c r="G784" i="5" s="1"/>
  <c r="G758" i="5"/>
  <c r="F756" i="5"/>
  <c r="G755" i="5"/>
  <c r="G754" i="5"/>
  <c r="G753" i="5"/>
  <c r="G752" i="5"/>
  <c r="G751" i="5"/>
  <c r="G750" i="5"/>
  <c r="G749" i="5"/>
  <c r="G748" i="5"/>
  <c r="G747" i="5"/>
  <c r="G746" i="5"/>
  <c r="G745" i="5"/>
  <c r="G744" i="5"/>
  <c r="G756" i="5" s="1"/>
  <c r="F743" i="5"/>
  <c r="F757" i="5" s="1"/>
  <c r="G742" i="5"/>
  <c r="G741" i="5"/>
  <c r="G740" i="5"/>
  <c r="G743" i="5" s="1"/>
  <c r="G757" i="5" s="1"/>
  <c r="G739" i="5"/>
  <c r="G738" i="5"/>
  <c r="G737" i="5"/>
  <c r="G736" i="5"/>
  <c r="G735" i="5"/>
  <c r="G734" i="5"/>
  <c r="G733" i="5"/>
  <c r="G732" i="5"/>
  <c r="G731" i="5"/>
  <c r="F729" i="5"/>
  <c r="G728" i="5"/>
  <c r="G727" i="5"/>
  <c r="G726" i="5"/>
  <c r="G725" i="5"/>
  <c r="G724" i="5"/>
  <c r="G723" i="5"/>
  <c r="G722" i="5"/>
  <c r="G721" i="5"/>
  <c r="G720" i="5"/>
  <c r="G729" i="5" s="1"/>
  <c r="G719" i="5"/>
  <c r="G718" i="5"/>
  <c r="G717" i="5"/>
  <c r="F716" i="5"/>
  <c r="F730" i="5" s="1"/>
  <c r="G715" i="5"/>
  <c r="G714" i="5"/>
  <c r="G713" i="5"/>
  <c r="G712" i="5"/>
  <c r="G711" i="5"/>
  <c r="G710" i="5"/>
  <c r="G709" i="5"/>
  <c r="G708" i="5"/>
  <c r="G707" i="5"/>
  <c r="G706" i="5"/>
  <c r="G705" i="5"/>
  <c r="G704" i="5"/>
  <c r="G716" i="5" s="1"/>
  <c r="G730" i="5" s="1"/>
  <c r="F702" i="5"/>
  <c r="F703" i="5" s="1"/>
  <c r="G701" i="5"/>
  <c r="G702" i="5" s="1"/>
  <c r="G700" i="5"/>
  <c r="G699" i="5"/>
  <c r="G698" i="5"/>
  <c r="G697" i="5"/>
  <c r="G696" i="5"/>
  <c r="G695" i="5"/>
  <c r="G694" i="5"/>
  <c r="G693" i="5"/>
  <c r="G692" i="5"/>
  <c r="G691" i="5"/>
  <c r="G690" i="5"/>
  <c r="F689" i="5"/>
  <c r="G688" i="5"/>
  <c r="G687" i="5"/>
  <c r="G686" i="5"/>
  <c r="G685" i="5"/>
  <c r="G684" i="5"/>
  <c r="G683" i="5"/>
  <c r="G682" i="5"/>
  <c r="G681" i="5"/>
  <c r="G680" i="5"/>
  <c r="G689" i="5" s="1"/>
  <c r="G679" i="5"/>
  <c r="G678" i="5"/>
  <c r="G677" i="5"/>
  <c r="F675" i="5"/>
  <c r="G674" i="5"/>
  <c r="G673" i="5"/>
  <c r="G672" i="5"/>
  <c r="G671" i="5"/>
  <c r="G670" i="5"/>
  <c r="G669" i="5"/>
  <c r="G668" i="5"/>
  <c r="G667" i="5"/>
  <c r="G666" i="5"/>
  <c r="G665" i="5"/>
  <c r="G664" i="5"/>
  <c r="G663" i="5"/>
  <c r="G675" i="5" s="1"/>
  <c r="F662" i="5"/>
  <c r="F676" i="5" s="1"/>
  <c r="G661" i="5"/>
  <c r="G662" i="5" s="1"/>
  <c r="G676" i="5" s="1"/>
  <c r="G660" i="5"/>
  <c r="G659" i="5"/>
  <c r="G658" i="5"/>
  <c r="G657" i="5"/>
  <c r="G656" i="5"/>
  <c r="G655" i="5"/>
  <c r="G654" i="5"/>
  <c r="G653" i="5"/>
  <c r="G652" i="5"/>
  <c r="G651" i="5"/>
  <c r="G650" i="5"/>
  <c r="F648" i="5"/>
  <c r="F649" i="5" s="1"/>
  <c r="G647" i="5"/>
  <c r="G646" i="5"/>
  <c r="G645" i="5"/>
  <c r="G644" i="5"/>
  <c r="G643" i="5"/>
  <c r="G642" i="5"/>
  <c r="G641" i="5"/>
  <c r="G648" i="5" s="1"/>
  <c r="G640" i="5"/>
  <c r="G639" i="5"/>
  <c r="G638" i="5"/>
  <c r="G637" i="5"/>
  <c r="G636" i="5"/>
  <c r="F635" i="5"/>
  <c r="G634" i="5"/>
  <c r="G633" i="5"/>
  <c r="G632" i="5"/>
  <c r="G631" i="5"/>
  <c r="G630" i="5"/>
  <c r="G629" i="5"/>
  <c r="G628" i="5"/>
  <c r="G627" i="5"/>
  <c r="G626" i="5"/>
  <c r="G625" i="5"/>
  <c r="G624" i="5"/>
  <c r="G623" i="5"/>
  <c r="G635" i="5" s="1"/>
  <c r="F622" i="5"/>
  <c r="G621" i="5"/>
  <c r="F621" i="5"/>
  <c r="G620" i="5"/>
  <c r="G619" i="5"/>
  <c r="G618" i="5"/>
  <c r="G617" i="5"/>
  <c r="G616" i="5"/>
  <c r="G614" i="5"/>
  <c r="G613" i="5"/>
  <c r="G612" i="5"/>
  <c r="G611" i="5"/>
  <c r="G610" i="5"/>
  <c r="G609" i="5"/>
  <c r="F608" i="5"/>
  <c r="G607" i="5"/>
  <c r="G606" i="5"/>
  <c r="G605" i="5"/>
  <c r="G604" i="5"/>
  <c r="G603" i="5"/>
  <c r="G602" i="5"/>
  <c r="G601" i="5"/>
  <c r="G600" i="5"/>
  <c r="G608" i="5" s="1"/>
  <c r="G622" i="5" s="1"/>
  <c r="G599" i="5"/>
  <c r="G598" i="5"/>
  <c r="G597" i="5"/>
  <c r="G596" i="5"/>
  <c r="F594" i="5"/>
  <c r="G593" i="5"/>
  <c r="G592" i="5"/>
  <c r="G591" i="5"/>
  <c r="G590" i="5"/>
  <c r="G589" i="5"/>
  <c r="G588" i="5"/>
  <c r="G587" i="5"/>
  <c r="G586" i="5"/>
  <c r="G585" i="5"/>
  <c r="G584" i="5"/>
  <c r="G583" i="5"/>
  <c r="G582" i="5"/>
  <c r="G594" i="5" s="1"/>
  <c r="G581" i="5"/>
  <c r="G595" i="5" s="1"/>
  <c r="F581" i="5"/>
  <c r="F595" i="5" s="1"/>
  <c r="G580" i="5"/>
  <c r="G579" i="5"/>
  <c r="G578" i="5"/>
  <c r="G577" i="5"/>
  <c r="G576" i="5"/>
  <c r="G575" i="5"/>
  <c r="G574" i="5"/>
  <c r="G573" i="5"/>
  <c r="G572" i="5"/>
  <c r="G571" i="5"/>
  <c r="G570" i="5"/>
  <c r="G569" i="5"/>
  <c r="F567" i="5"/>
  <c r="F568" i="5" s="1"/>
  <c r="G566" i="5"/>
  <c r="G565" i="5"/>
  <c r="G564" i="5"/>
  <c r="G563" i="5"/>
  <c r="G562" i="5"/>
  <c r="G561" i="5"/>
  <c r="G567" i="5" s="1"/>
  <c r="G560" i="5"/>
  <c r="G559" i="5"/>
  <c r="G558" i="5"/>
  <c r="G557" i="5"/>
  <c r="G556" i="5"/>
  <c r="G555" i="5"/>
  <c r="F554" i="5"/>
  <c r="G553" i="5"/>
  <c r="G552" i="5"/>
  <c r="G551" i="5"/>
  <c r="G550" i="5"/>
  <c r="G549" i="5"/>
  <c r="G548" i="5"/>
  <c r="G547" i="5"/>
  <c r="G546" i="5"/>
  <c r="G545" i="5"/>
  <c r="G544" i="5"/>
  <c r="G543" i="5"/>
  <c r="G542" i="5"/>
  <c r="G554" i="5" s="1"/>
  <c r="F541" i="5"/>
  <c r="F540" i="5"/>
  <c r="G539" i="5"/>
  <c r="G538" i="5"/>
  <c r="G537" i="5"/>
  <c r="G536" i="5"/>
  <c r="G535" i="5"/>
  <c r="G534" i="5"/>
  <c r="G533" i="5"/>
  <c r="G532" i="5"/>
  <c r="G531" i="5"/>
  <c r="G530" i="5"/>
  <c r="G529" i="5"/>
  <c r="G528" i="5"/>
  <c r="G540" i="5" s="1"/>
  <c r="F527" i="5"/>
  <c r="G526" i="5"/>
  <c r="G525" i="5"/>
  <c r="G524" i="5"/>
  <c r="G523" i="5"/>
  <c r="G522" i="5"/>
  <c r="G521" i="5"/>
  <c r="G527" i="5" s="1"/>
  <c r="G520" i="5"/>
  <c r="G519" i="5"/>
  <c r="G518" i="5"/>
  <c r="G517" i="5"/>
  <c r="G516" i="5"/>
  <c r="G515" i="5"/>
  <c r="F513" i="5"/>
  <c r="F514" i="5" s="1"/>
  <c r="G512" i="5"/>
  <c r="G511" i="5"/>
  <c r="G510" i="5"/>
  <c r="G509" i="5"/>
  <c r="G508" i="5"/>
  <c r="G507" i="5"/>
  <c r="G506" i="5"/>
  <c r="G505" i="5"/>
  <c r="G504" i="5"/>
  <c r="G503" i="5"/>
  <c r="G502" i="5"/>
  <c r="G501" i="5"/>
  <c r="G513" i="5" s="1"/>
  <c r="F500" i="5"/>
  <c r="G499" i="5"/>
  <c r="G498" i="5"/>
  <c r="G497" i="5"/>
  <c r="G496" i="5"/>
  <c r="G495" i="5"/>
  <c r="G494" i="5"/>
  <c r="G493" i="5"/>
  <c r="G492" i="5"/>
  <c r="G491" i="5"/>
  <c r="G490" i="5"/>
  <c r="G489" i="5"/>
  <c r="G488" i="5"/>
  <c r="G500" i="5" s="1"/>
  <c r="G514" i="5" s="1"/>
  <c r="F486" i="5"/>
  <c r="F487" i="5" s="1"/>
  <c r="G485" i="5"/>
  <c r="G484" i="5"/>
  <c r="G483" i="5"/>
  <c r="G482" i="5"/>
  <c r="G486" i="5" s="1"/>
  <c r="G481" i="5"/>
  <c r="G480" i="5"/>
  <c r="G479" i="5"/>
  <c r="G478" i="5"/>
  <c r="G477" i="5"/>
  <c r="G476" i="5"/>
  <c r="G475" i="5"/>
  <c r="G474" i="5"/>
  <c r="F473" i="5"/>
  <c r="G472" i="5"/>
  <c r="G471" i="5"/>
  <c r="G470" i="5"/>
  <c r="G469" i="5"/>
  <c r="G468" i="5"/>
  <c r="G467" i="5"/>
  <c r="G466" i="5"/>
  <c r="G465" i="5"/>
  <c r="G464" i="5"/>
  <c r="G463" i="5"/>
  <c r="G462" i="5"/>
  <c r="G461" i="5"/>
  <c r="G473" i="5" s="1"/>
  <c r="F459" i="5"/>
  <c r="G458" i="5"/>
  <c r="G457" i="5"/>
  <c r="G456" i="5"/>
  <c r="G455" i="5"/>
  <c r="G454" i="5"/>
  <c r="G453" i="5"/>
  <c r="G452" i="5"/>
  <c r="G451" i="5"/>
  <c r="G450" i="5"/>
  <c r="G449" i="5"/>
  <c r="G448" i="5"/>
  <c r="G447" i="5"/>
  <c r="G459" i="5" s="1"/>
  <c r="F446" i="5"/>
  <c r="F460" i="5" s="1"/>
  <c r="G445" i="5"/>
  <c r="G444" i="5"/>
  <c r="G443" i="5"/>
  <c r="G442" i="5"/>
  <c r="G446" i="5" s="1"/>
  <c r="G460" i="5" s="1"/>
  <c r="G441" i="5"/>
  <c r="G440" i="5"/>
  <c r="G439" i="5"/>
  <c r="G438" i="5"/>
  <c r="G437" i="5"/>
  <c r="G436" i="5"/>
  <c r="G435" i="5"/>
  <c r="G434" i="5"/>
  <c r="F432" i="5"/>
  <c r="G431" i="5"/>
  <c r="G430" i="5"/>
  <c r="G429" i="5"/>
  <c r="G428" i="5"/>
  <c r="G427" i="5"/>
  <c r="G426" i="5"/>
  <c r="G425" i="5"/>
  <c r="G424" i="5"/>
  <c r="G423" i="5"/>
  <c r="G422" i="5"/>
  <c r="G432" i="5" s="1"/>
  <c r="G421" i="5"/>
  <c r="G420" i="5"/>
  <c r="F419" i="5"/>
  <c r="F433" i="5" s="1"/>
  <c r="G418" i="5"/>
  <c r="G417" i="5"/>
  <c r="G416" i="5"/>
  <c r="G415" i="5"/>
  <c r="G414" i="5"/>
  <c r="G413" i="5"/>
  <c r="G412" i="5"/>
  <c r="G411" i="5"/>
  <c r="G410" i="5"/>
  <c r="G409" i="5"/>
  <c r="G408" i="5"/>
  <c r="G407" i="5"/>
  <c r="G419" i="5" s="1"/>
  <c r="G433" i="5" s="1"/>
  <c r="F405" i="5"/>
  <c r="F406" i="5" s="1"/>
  <c r="G404" i="5"/>
  <c r="G403" i="5"/>
  <c r="G405" i="5" s="1"/>
  <c r="G402" i="5"/>
  <c r="G401" i="5"/>
  <c r="G400" i="5"/>
  <c r="G399" i="5"/>
  <c r="G398" i="5"/>
  <c r="G397" i="5"/>
  <c r="G396" i="5"/>
  <c r="G395" i="5"/>
  <c r="G394" i="5"/>
  <c r="G393" i="5"/>
  <c r="F392" i="5"/>
  <c r="G391" i="5"/>
  <c r="G390" i="5"/>
  <c r="G389" i="5"/>
  <c r="G388" i="5"/>
  <c r="G387" i="5"/>
  <c r="G386" i="5"/>
  <c r="G385" i="5"/>
  <c r="G384" i="5"/>
  <c r="G383" i="5"/>
  <c r="G382" i="5"/>
  <c r="G392" i="5" s="1"/>
  <c r="G381" i="5"/>
  <c r="G380" i="5"/>
  <c r="F378" i="5"/>
  <c r="G377" i="5"/>
  <c r="G376" i="5"/>
  <c r="G375" i="5"/>
  <c r="G374" i="5"/>
  <c r="G373" i="5"/>
  <c r="G372" i="5"/>
  <c r="G371" i="5"/>
  <c r="G370" i="5"/>
  <c r="G369" i="5"/>
  <c r="G368" i="5"/>
  <c r="G367" i="5"/>
  <c r="G366" i="5"/>
  <c r="G378" i="5" s="1"/>
  <c r="F365" i="5"/>
  <c r="F379" i="5" s="1"/>
  <c r="G364" i="5"/>
  <c r="G363" i="5"/>
  <c r="G365" i="5" s="1"/>
  <c r="G362" i="5"/>
  <c r="G361" i="5"/>
  <c r="G360" i="5"/>
  <c r="G359" i="5"/>
  <c r="G358" i="5"/>
  <c r="G357" i="5"/>
  <c r="G356" i="5"/>
  <c r="G355" i="5"/>
  <c r="G354" i="5"/>
  <c r="G353" i="5"/>
  <c r="F351" i="5"/>
  <c r="F352" i="5" s="1"/>
  <c r="G350" i="5"/>
  <c r="G349" i="5"/>
  <c r="G348" i="5"/>
  <c r="G347" i="5"/>
  <c r="G346" i="5"/>
  <c r="G345" i="5"/>
  <c r="G344" i="5"/>
  <c r="G343" i="5"/>
  <c r="G351" i="5" s="1"/>
  <c r="G342" i="5"/>
  <c r="G341" i="5"/>
  <c r="G340" i="5"/>
  <c r="G339" i="5"/>
  <c r="F338" i="5"/>
  <c r="G337" i="5"/>
  <c r="G336" i="5"/>
  <c r="G335" i="5"/>
  <c r="G334" i="5"/>
  <c r="G333" i="5"/>
  <c r="G332" i="5"/>
  <c r="G331" i="5"/>
  <c r="G330" i="5"/>
  <c r="G329" i="5"/>
  <c r="G328" i="5"/>
  <c r="G327" i="5"/>
  <c r="G326" i="5"/>
  <c r="G338" i="5" s="1"/>
  <c r="G324" i="5"/>
  <c r="F324" i="5"/>
  <c r="F325" i="5" s="1"/>
  <c r="G323" i="5"/>
  <c r="G322" i="5"/>
  <c r="G321" i="5"/>
  <c r="G320" i="5"/>
  <c r="G319" i="5"/>
  <c r="G318" i="5"/>
  <c r="G317" i="5"/>
  <c r="G316" i="5"/>
  <c r="G315" i="5"/>
  <c r="G314" i="5"/>
  <c r="G313" i="5"/>
  <c r="G312" i="5"/>
  <c r="F311" i="5"/>
  <c r="G310" i="5"/>
  <c r="G309" i="5"/>
  <c r="G308" i="5"/>
  <c r="G307" i="5"/>
  <c r="G306" i="5"/>
  <c r="G305" i="5"/>
  <c r="G304" i="5"/>
  <c r="G303" i="5"/>
  <c r="G311" i="5" s="1"/>
  <c r="G325" i="5" s="1"/>
  <c r="G302" i="5"/>
  <c r="G301" i="5"/>
  <c r="G300" i="5"/>
  <c r="G299" i="5"/>
  <c r="F297" i="5"/>
  <c r="G296" i="5"/>
  <c r="G295" i="5"/>
  <c r="G294" i="5"/>
  <c r="G293" i="5"/>
  <c r="G292" i="5"/>
  <c r="G291" i="5"/>
  <c r="G290" i="5"/>
  <c r="G289" i="5"/>
  <c r="G288" i="5"/>
  <c r="G287" i="5"/>
  <c r="G286" i="5"/>
  <c r="G285" i="5"/>
  <c r="G297" i="5" s="1"/>
  <c r="G284" i="5"/>
  <c r="G298" i="5" s="1"/>
  <c r="F284" i="5"/>
  <c r="F298" i="5" s="1"/>
  <c r="G283" i="5"/>
  <c r="G282" i="5"/>
  <c r="G281" i="5"/>
  <c r="G280" i="5"/>
  <c r="G279" i="5"/>
  <c r="G278" i="5"/>
  <c r="G277" i="5"/>
  <c r="G276" i="5"/>
  <c r="G275" i="5"/>
  <c r="G274" i="5"/>
  <c r="G273" i="5"/>
  <c r="G272" i="5"/>
  <c r="F270" i="5"/>
  <c r="F271" i="5" s="1"/>
  <c r="G269" i="5"/>
  <c r="G268" i="5"/>
  <c r="G267" i="5"/>
  <c r="G266" i="5"/>
  <c r="G265" i="5"/>
  <c r="G264" i="5"/>
  <c r="G270" i="5" s="1"/>
  <c r="G263" i="5"/>
  <c r="G262" i="5"/>
  <c r="G261" i="5"/>
  <c r="G260" i="5"/>
  <c r="G259" i="5"/>
  <c r="G258" i="5"/>
  <c r="F257" i="5"/>
  <c r="G256" i="5"/>
  <c r="G255" i="5"/>
  <c r="G254" i="5"/>
  <c r="G253" i="5"/>
  <c r="G252" i="5"/>
  <c r="G251" i="5"/>
  <c r="G250" i="5"/>
  <c r="G249" i="5"/>
  <c r="G248" i="5"/>
  <c r="G247" i="5"/>
  <c r="G246" i="5"/>
  <c r="G245" i="5"/>
  <c r="G257" i="5" s="1"/>
  <c r="F244" i="5"/>
  <c r="F243" i="5"/>
  <c r="G242" i="5"/>
  <c r="G241" i="5"/>
  <c r="G240" i="5"/>
  <c r="G239" i="5"/>
  <c r="G238" i="5"/>
  <c r="G237" i="5"/>
  <c r="G236" i="5"/>
  <c r="G235" i="5"/>
  <c r="G234" i="5"/>
  <c r="G233" i="5"/>
  <c r="G232" i="5"/>
  <c r="G231" i="5"/>
  <c r="G243" i="5" s="1"/>
  <c r="F230" i="5"/>
  <c r="G229" i="5"/>
  <c r="G228" i="5"/>
  <c r="G227" i="5"/>
  <c r="G226" i="5"/>
  <c r="G225" i="5"/>
  <c r="G224" i="5"/>
  <c r="G230" i="5" s="1"/>
  <c r="G244" i="5" s="1"/>
  <c r="G223" i="5"/>
  <c r="G222" i="5"/>
  <c r="G221" i="5"/>
  <c r="G220" i="5"/>
  <c r="G219" i="5"/>
  <c r="G218" i="5"/>
  <c r="F216" i="5"/>
  <c r="F217" i="5" s="1"/>
  <c r="G215" i="5"/>
  <c r="G214" i="5"/>
  <c r="G213" i="5"/>
  <c r="G212" i="5"/>
  <c r="G211" i="5"/>
  <c r="G210" i="5"/>
  <c r="G209" i="5"/>
  <c r="G208" i="5"/>
  <c r="G207" i="5"/>
  <c r="G206" i="5"/>
  <c r="G205" i="5"/>
  <c r="G204" i="5"/>
  <c r="G216" i="5" s="1"/>
  <c r="F203" i="5"/>
  <c r="G202" i="5"/>
  <c r="G201" i="5"/>
  <c r="G200" i="5"/>
  <c r="G199" i="5"/>
  <c r="G198" i="5"/>
  <c r="G197" i="5"/>
  <c r="G196" i="5"/>
  <c r="G195" i="5"/>
  <c r="G194" i="5"/>
  <c r="G193" i="5"/>
  <c r="G192" i="5"/>
  <c r="G191" i="5"/>
  <c r="G203" i="5" s="1"/>
  <c r="G217" i="5" s="1"/>
  <c r="F190" i="5"/>
  <c r="F189" i="5"/>
  <c r="G188" i="5"/>
  <c r="G187" i="5"/>
  <c r="G186" i="5"/>
  <c r="G185" i="5"/>
  <c r="G189" i="5" s="1"/>
  <c r="G184" i="5"/>
  <c r="G183" i="5"/>
  <c r="G182" i="5"/>
  <c r="G181" i="5"/>
  <c r="G180" i="5"/>
  <c r="G179" i="5"/>
  <c r="G178" i="5"/>
  <c r="G177" i="5"/>
  <c r="F176" i="5"/>
  <c r="G175" i="5"/>
  <c r="G174" i="5"/>
  <c r="G173" i="5"/>
  <c r="G172" i="5"/>
  <c r="G171" i="5"/>
  <c r="G170" i="5"/>
  <c r="G169" i="5"/>
  <c r="G168" i="5"/>
  <c r="G167" i="5"/>
  <c r="G166" i="5"/>
  <c r="G165" i="5"/>
  <c r="G164" i="5"/>
  <c r="G176" i="5" s="1"/>
  <c r="F162" i="5"/>
  <c r="G161" i="5"/>
  <c r="G160" i="5"/>
  <c r="G159" i="5"/>
  <c r="G158" i="5"/>
  <c r="G157" i="5"/>
  <c r="G156" i="5"/>
  <c r="G155" i="5"/>
  <c r="G154" i="5"/>
  <c r="G153" i="5"/>
  <c r="G152" i="5"/>
  <c r="G151" i="5"/>
  <c r="G150" i="5"/>
  <c r="G162" i="5" s="1"/>
  <c r="F149" i="5"/>
  <c r="F163" i="5" s="1"/>
  <c r="G148" i="5"/>
  <c r="G147" i="5"/>
  <c r="G146" i="5"/>
  <c r="G145" i="5"/>
  <c r="G149" i="5" s="1"/>
  <c r="G163" i="5" s="1"/>
  <c r="G144" i="5"/>
  <c r="G143" i="5"/>
  <c r="G142" i="5"/>
  <c r="G141" i="5"/>
  <c r="G140" i="5"/>
  <c r="G139" i="5"/>
  <c r="G138" i="5"/>
  <c r="G137" i="5"/>
  <c r="F135" i="5"/>
  <c r="G134" i="5"/>
  <c r="G133" i="5"/>
  <c r="G132" i="5"/>
  <c r="G131" i="5"/>
  <c r="G130" i="5"/>
  <c r="G129" i="5"/>
  <c r="G128" i="5"/>
  <c r="G127" i="5"/>
  <c r="G126" i="5"/>
  <c r="G125" i="5"/>
  <c r="G135" i="5" s="1"/>
  <c r="G124" i="5"/>
  <c r="G123" i="5"/>
  <c r="F122" i="5"/>
  <c r="F136" i="5" s="1"/>
  <c r="G121" i="5"/>
  <c r="G120" i="5"/>
  <c r="G119" i="5"/>
  <c r="G118" i="5"/>
  <c r="G117" i="5"/>
  <c r="G116" i="5"/>
  <c r="G115" i="5"/>
  <c r="G114" i="5"/>
  <c r="G113" i="5"/>
  <c r="G112" i="5"/>
  <c r="G111" i="5"/>
  <c r="G110" i="5"/>
  <c r="G122" i="5" s="1"/>
  <c r="F108" i="5"/>
  <c r="F109" i="5" s="1"/>
  <c r="G107" i="5"/>
  <c r="G106" i="5"/>
  <c r="G108" i="5" s="1"/>
  <c r="G105" i="5"/>
  <c r="G104" i="5"/>
  <c r="G103" i="5"/>
  <c r="G102" i="5"/>
  <c r="G101" i="5"/>
  <c r="G100" i="5"/>
  <c r="G99" i="5"/>
  <c r="G98" i="5"/>
  <c r="G97" i="5"/>
  <c r="G96" i="5"/>
  <c r="F95" i="5"/>
  <c r="G94" i="5"/>
  <c r="G93" i="5"/>
  <c r="G92" i="5"/>
  <c r="G91" i="5"/>
  <c r="G90" i="5"/>
  <c r="G89" i="5"/>
  <c r="G88" i="5"/>
  <c r="G87" i="5"/>
  <c r="G86" i="5"/>
  <c r="G85" i="5"/>
  <c r="G95" i="5" s="1"/>
  <c r="G84" i="5"/>
  <c r="G83" i="5"/>
  <c r="F81" i="5"/>
  <c r="G80" i="5"/>
  <c r="G79" i="5"/>
  <c r="G78" i="5"/>
  <c r="G77" i="5"/>
  <c r="G76" i="5"/>
  <c r="G75" i="5"/>
  <c r="G74" i="5"/>
  <c r="G73" i="5"/>
  <c r="G72" i="5"/>
  <c r="G71" i="5"/>
  <c r="G70" i="5"/>
  <c r="G69" i="5"/>
  <c r="G81" i="5" s="1"/>
  <c r="F68" i="5"/>
  <c r="F82" i="5" s="1"/>
  <c r="G67" i="5"/>
  <c r="G66" i="5"/>
  <c r="G68" i="5" s="1"/>
  <c r="G65" i="5"/>
  <c r="G64" i="5"/>
  <c r="G63" i="5"/>
  <c r="G62" i="5"/>
  <c r="G61" i="5"/>
  <c r="G60" i="5"/>
  <c r="G59" i="5"/>
  <c r="G58" i="5"/>
  <c r="G57" i="5"/>
  <c r="G56" i="5"/>
  <c r="F54" i="5"/>
  <c r="F55" i="5" s="1"/>
  <c r="G53" i="5"/>
  <c r="G52" i="5"/>
  <c r="G51" i="5"/>
  <c r="G50" i="5"/>
  <c r="G49" i="5"/>
  <c r="G48" i="5"/>
  <c r="G47" i="5"/>
  <c r="G46" i="5"/>
  <c r="G54" i="5" s="1"/>
  <c r="G45" i="5"/>
  <c r="G44" i="5"/>
  <c r="G43" i="5"/>
  <c r="G42" i="5"/>
  <c r="F41" i="5"/>
  <c r="G40" i="5"/>
  <c r="G39" i="5"/>
  <c r="G38" i="5"/>
  <c r="G37" i="5"/>
  <c r="G36" i="5"/>
  <c r="G35" i="5"/>
  <c r="G34" i="5"/>
  <c r="G33" i="5"/>
  <c r="G32" i="5"/>
  <c r="G31" i="5"/>
  <c r="G30" i="5"/>
  <c r="G29" i="5"/>
  <c r="G41" i="5" s="1"/>
  <c r="G55" i="5" s="1"/>
  <c r="F27" i="5"/>
  <c r="G26" i="5"/>
  <c r="G25" i="5"/>
  <c r="G24" i="5"/>
  <c r="G23" i="5"/>
  <c r="G22" i="5"/>
  <c r="G21" i="5"/>
  <c r="G20" i="5"/>
  <c r="G19" i="5"/>
  <c r="G18" i="5"/>
  <c r="G17" i="5"/>
  <c r="G16" i="5"/>
  <c r="G15" i="5"/>
  <c r="G27" i="5" s="1"/>
  <c r="F14" i="5"/>
  <c r="G13" i="5"/>
  <c r="G12" i="5"/>
  <c r="G11" i="5"/>
  <c r="G10" i="5"/>
  <c r="G9" i="5"/>
  <c r="G8" i="5"/>
  <c r="G7" i="5"/>
  <c r="G6" i="5"/>
  <c r="G5" i="5"/>
  <c r="G4" i="5"/>
  <c r="G3" i="5"/>
  <c r="G2" i="5"/>
  <c r="E810" i="3"/>
  <c r="B799" i="3"/>
  <c r="B800" i="3" s="1"/>
  <c r="B801" i="3" s="1"/>
  <c r="B802" i="3" s="1"/>
  <c r="B803" i="3" s="1"/>
  <c r="B804" i="3" s="1"/>
  <c r="B805" i="3" s="1"/>
  <c r="B806" i="3" s="1"/>
  <c r="B807" i="3" s="1"/>
  <c r="B808" i="3" s="1"/>
  <c r="B809" i="3" s="1"/>
  <c r="E797" i="3"/>
  <c r="E811" i="3" s="1"/>
  <c r="B786" i="3"/>
  <c r="B787" i="3" s="1"/>
  <c r="B788" i="3" s="1"/>
  <c r="B789" i="3" s="1"/>
  <c r="B790" i="3" s="1"/>
  <c r="B791" i="3" s="1"/>
  <c r="B792" i="3" s="1"/>
  <c r="B793" i="3" s="1"/>
  <c r="B794" i="3" s="1"/>
  <c r="B795" i="3" s="1"/>
  <c r="B796" i="3" s="1"/>
  <c r="E783" i="3"/>
  <c r="B772" i="3"/>
  <c r="B773" i="3" s="1"/>
  <c r="B774" i="3" s="1"/>
  <c r="B775" i="3" s="1"/>
  <c r="B776" i="3" s="1"/>
  <c r="B777" i="3" s="1"/>
  <c r="B778" i="3" s="1"/>
  <c r="B779" i="3" s="1"/>
  <c r="B780" i="3" s="1"/>
  <c r="B781" i="3" s="1"/>
  <c r="B782" i="3" s="1"/>
  <c r="E770" i="3"/>
  <c r="B759" i="3"/>
  <c r="B760" i="3" s="1"/>
  <c r="B761" i="3" s="1"/>
  <c r="B762" i="3" s="1"/>
  <c r="B763" i="3" s="1"/>
  <c r="B764" i="3" s="1"/>
  <c r="B765" i="3" s="1"/>
  <c r="B766" i="3" s="1"/>
  <c r="B767" i="3" s="1"/>
  <c r="B768" i="3" s="1"/>
  <c r="B769" i="3" s="1"/>
  <c r="E756" i="3"/>
  <c r="B745" i="3"/>
  <c r="B746" i="3" s="1"/>
  <c r="B747" i="3" s="1"/>
  <c r="B748" i="3" s="1"/>
  <c r="B749" i="3" s="1"/>
  <c r="B750" i="3" s="1"/>
  <c r="B751" i="3" s="1"/>
  <c r="B752" i="3" s="1"/>
  <c r="B753" i="3" s="1"/>
  <c r="B754" i="3" s="1"/>
  <c r="B755" i="3" s="1"/>
  <c r="E743" i="3"/>
  <c r="E757" i="3" s="1"/>
  <c r="B732" i="3"/>
  <c r="B733" i="3" s="1"/>
  <c r="B734" i="3" s="1"/>
  <c r="B735" i="3" s="1"/>
  <c r="B736" i="3" s="1"/>
  <c r="B737" i="3" s="1"/>
  <c r="B738" i="3" s="1"/>
  <c r="B739" i="3" s="1"/>
  <c r="B740" i="3" s="1"/>
  <c r="B741" i="3" s="1"/>
  <c r="B742" i="3" s="1"/>
  <c r="E729" i="3"/>
  <c r="B718" i="3"/>
  <c r="B719" i="3" s="1"/>
  <c r="B720" i="3" s="1"/>
  <c r="B721" i="3" s="1"/>
  <c r="B722" i="3" s="1"/>
  <c r="B723" i="3" s="1"/>
  <c r="B724" i="3" s="1"/>
  <c r="B725" i="3" s="1"/>
  <c r="B726" i="3" s="1"/>
  <c r="B727" i="3" s="1"/>
  <c r="B728" i="3" s="1"/>
  <c r="E716" i="3"/>
  <c r="B705" i="3"/>
  <c r="B706" i="3" s="1"/>
  <c r="B707" i="3" s="1"/>
  <c r="B708" i="3" s="1"/>
  <c r="B709" i="3" s="1"/>
  <c r="B710" i="3" s="1"/>
  <c r="B711" i="3" s="1"/>
  <c r="B712" i="3" s="1"/>
  <c r="B713" i="3" s="1"/>
  <c r="B714" i="3" s="1"/>
  <c r="B715" i="3" s="1"/>
  <c r="E702" i="3"/>
  <c r="B691" i="3"/>
  <c r="B692" i="3" s="1"/>
  <c r="B693" i="3" s="1"/>
  <c r="B694" i="3" s="1"/>
  <c r="B695" i="3" s="1"/>
  <c r="B696" i="3" s="1"/>
  <c r="B697" i="3" s="1"/>
  <c r="B698" i="3" s="1"/>
  <c r="B699" i="3" s="1"/>
  <c r="B700" i="3" s="1"/>
  <c r="B701" i="3" s="1"/>
  <c r="E689" i="3"/>
  <c r="B678" i="3"/>
  <c r="B679" i="3" s="1"/>
  <c r="B680" i="3" s="1"/>
  <c r="B681" i="3" s="1"/>
  <c r="B682" i="3" s="1"/>
  <c r="B683" i="3" s="1"/>
  <c r="B684" i="3" s="1"/>
  <c r="B685" i="3" s="1"/>
  <c r="B686" i="3" s="1"/>
  <c r="B687" i="3" s="1"/>
  <c r="B688" i="3" s="1"/>
  <c r="E675" i="3"/>
  <c r="B664" i="3"/>
  <c r="B665" i="3" s="1"/>
  <c r="B666" i="3" s="1"/>
  <c r="B667" i="3" s="1"/>
  <c r="B668" i="3" s="1"/>
  <c r="B669" i="3" s="1"/>
  <c r="B670" i="3" s="1"/>
  <c r="B671" i="3" s="1"/>
  <c r="B672" i="3" s="1"/>
  <c r="B673" i="3" s="1"/>
  <c r="B674" i="3" s="1"/>
  <c r="E662" i="3"/>
  <c r="B651" i="3"/>
  <c r="B652" i="3" s="1"/>
  <c r="B653" i="3" s="1"/>
  <c r="B654" i="3" s="1"/>
  <c r="B655" i="3" s="1"/>
  <c r="B656" i="3" s="1"/>
  <c r="B657" i="3" s="1"/>
  <c r="B658" i="3" s="1"/>
  <c r="B659" i="3" s="1"/>
  <c r="B660" i="3" s="1"/>
  <c r="B661" i="3" s="1"/>
  <c r="E648" i="3"/>
  <c r="B637" i="3"/>
  <c r="B638" i="3" s="1"/>
  <c r="B639" i="3" s="1"/>
  <c r="B640" i="3" s="1"/>
  <c r="B641" i="3" s="1"/>
  <c r="B642" i="3" s="1"/>
  <c r="B643" i="3" s="1"/>
  <c r="B644" i="3" s="1"/>
  <c r="B645" i="3" s="1"/>
  <c r="B646" i="3" s="1"/>
  <c r="B647" i="3" s="1"/>
  <c r="E635" i="3"/>
  <c r="E649" i="3" s="1"/>
  <c r="B624" i="3"/>
  <c r="B625" i="3" s="1"/>
  <c r="B626" i="3" s="1"/>
  <c r="B627" i="3" s="1"/>
  <c r="B628" i="3" s="1"/>
  <c r="B629" i="3" s="1"/>
  <c r="B630" i="3" s="1"/>
  <c r="B631" i="3" s="1"/>
  <c r="B632" i="3" s="1"/>
  <c r="B633" i="3" s="1"/>
  <c r="B634" i="3" s="1"/>
  <c r="E621" i="3"/>
  <c r="B610" i="3"/>
  <c r="B611" i="3" s="1"/>
  <c r="B612" i="3" s="1"/>
  <c r="B613" i="3" s="1"/>
  <c r="B614" i="3" s="1"/>
  <c r="B615" i="3" s="1"/>
  <c r="B616" i="3" s="1"/>
  <c r="B617" i="3" s="1"/>
  <c r="B618" i="3" s="1"/>
  <c r="B619" i="3" s="1"/>
  <c r="B620" i="3" s="1"/>
  <c r="E608" i="3"/>
  <c r="E622" i="3" s="1"/>
  <c r="B597" i="3"/>
  <c r="B598" i="3" s="1"/>
  <c r="B599" i="3" s="1"/>
  <c r="B600" i="3" s="1"/>
  <c r="B601" i="3" s="1"/>
  <c r="B602" i="3" s="1"/>
  <c r="B603" i="3" s="1"/>
  <c r="B604" i="3" s="1"/>
  <c r="B605" i="3" s="1"/>
  <c r="B606" i="3" s="1"/>
  <c r="B607" i="3" s="1"/>
  <c r="E594" i="3"/>
  <c r="B583" i="3"/>
  <c r="B584" i="3" s="1"/>
  <c r="B585" i="3" s="1"/>
  <c r="B586" i="3" s="1"/>
  <c r="B587" i="3" s="1"/>
  <c r="B588" i="3" s="1"/>
  <c r="B589" i="3" s="1"/>
  <c r="B590" i="3" s="1"/>
  <c r="B591" i="3" s="1"/>
  <c r="B592" i="3" s="1"/>
  <c r="B593" i="3" s="1"/>
  <c r="E581" i="3"/>
  <c r="E595" i="3" s="1"/>
  <c r="B570" i="3"/>
  <c r="B571" i="3" s="1"/>
  <c r="B572" i="3" s="1"/>
  <c r="B573" i="3" s="1"/>
  <c r="B574" i="3" s="1"/>
  <c r="B575" i="3" s="1"/>
  <c r="B576" i="3" s="1"/>
  <c r="B577" i="3" s="1"/>
  <c r="B578" i="3" s="1"/>
  <c r="B579" i="3" s="1"/>
  <c r="B580" i="3" s="1"/>
  <c r="E567" i="3"/>
  <c r="B556" i="3"/>
  <c r="B557" i="3" s="1"/>
  <c r="B558" i="3" s="1"/>
  <c r="B559" i="3" s="1"/>
  <c r="B560" i="3" s="1"/>
  <c r="B561" i="3" s="1"/>
  <c r="B562" i="3" s="1"/>
  <c r="B563" i="3" s="1"/>
  <c r="B564" i="3" s="1"/>
  <c r="B565" i="3" s="1"/>
  <c r="B566" i="3" s="1"/>
  <c r="E554" i="3"/>
  <c r="E568" i="3" s="1"/>
  <c r="B543" i="3"/>
  <c r="B544" i="3" s="1"/>
  <c r="B545" i="3" s="1"/>
  <c r="B546" i="3" s="1"/>
  <c r="B547" i="3" s="1"/>
  <c r="B548" i="3" s="1"/>
  <c r="B549" i="3" s="1"/>
  <c r="B550" i="3" s="1"/>
  <c r="B551" i="3" s="1"/>
  <c r="B552" i="3" s="1"/>
  <c r="B553" i="3" s="1"/>
  <c r="E540" i="3"/>
  <c r="B529" i="3"/>
  <c r="B530" i="3" s="1"/>
  <c r="B531" i="3" s="1"/>
  <c r="B532" i="3" s="1"/>
  <c r="B533" i="3" s="1"/>
  <c r="B534" i="3" s="1"/>
  <c r="B535" i="3" s="1"/>
  <c r="B536" i="3" s="1"/>
  <c r="B537" i="3" s="1"/>
  <c r="B538" i="3" s="1"/>
  <c r="B539" i="3" s="1"/>
  <c r="E527" i="3"/>
  <c r="B516" i="3"/>
  <c r="B517" i="3" s="1"/>
  <c r="B518" i="3" s="1"/>
  <c r="B519" i="3" s="1"/>
  <c r="B520" i="3" s="1"/>
  <c r="B521" i="3" s="1"/>
  <c r="B522" i="3" s="1"/>
  <c r="B523" i="3" s="1"/>
  <c r="B524" i="3" s="1"/>
  <c r="B525" i="3" s="1"/>
  <c r="B526" i="3" s="1"/>
  <c r="E513" i="3"/>
  <c r="B502" i="3"/>
  <c r="B503" i="3" s="1"/>
  <c r="B504" i="3" s="1"/>
  <c r="B505" i="3" s="1"/>
  <c r="B506" i="3" s="1"/>
  <c r="B507" i="3" s="1"/>
  <c r="B508" i="3" s="1"/>
  <c r="B509" i="3" s="1"/>
  <c r="B510" i="3" s="1"/>
  <c r="B511" i="3" s="1"/>
  <c r="B512" i="3" s="1"/>
  <c r="E500" i="3"/>
  <c r="B489" i="3"/>
  <c r="B490" i="3" s="1"/>
  <c r="B491" i="3" s="1"/>
  <c r="B492" i="3" s="1"/>
  <c r="B493" i="3" s="1"/>
  <c r="B494" i="3" s="1"/>
  <c r="B495" i="3" s="1"/>
  <c r="B496" i="3" s="1"/>
  <c r="B497" i="3" s="1"/>
  <c r="B498" i="3" s="1"/>
  <c r="B499" i="3" s="1"/>
  <c r="E486" i="3"/>
  <c r="B475" i="3"/>
  <c r="B476" i="3" s="1"/>
  <c r="B477" i="3" s="1"/>
  <c r="B478" i="3" s="1"/>
  <c r="B479" i="3" s="1"/>
  <c r="B480" i="3" s="1"/>
  <c r="B481" i="3" s="1"/>
  <c r="B482" i="3" s="1"/>
  <c r="B483" i="3" s="1"/>
  <c r="B484" i="3" s="1"/>
  <c r="B485" i="3" s="1"/>
  <c r="E473" i="3"/>
  <c r="B462" i="3"/>
  <c r="B463" i="3" s="1"/>
  <c r="B464" i="3" s="1"/>
  <c r="B465" i="3" s="1"/>
  <c r="B466" i="3" s="1"/>
  <c r="B467" i="3" s="1"/>
  <c r="B468" i="3" s="1"/>
  <c r="B469" i="3" s="1"/>
  <c r="B470" i="3" s="1"/>
  <c r="B471" i="3" s="1"/>
  <c r="B472" i="3" s="1"/>
  <c r="E459" i="3"/>
  <c r="B448" i="3"/>
  <c r="B449" i="3" s="1"/>
  <c r="B450" i="3" s="1"/>
  <c r="B451" i="3" s="1"/>
  <c r="B452" i="3" s="1"/>
  <c r="B453" i="3" s="1"/>
  <c r="B454" i="3" s="1"/>
  <c r="B455" i="3" s="1"/>
  <c r="B456" i="3" s="1"/>
  <c r="B457" i="3" s="1"/>
  <c r="B458" i="3" s="1"/>
  <c r="E446" i="3"/>
  <c r="B435" i="3"/>
  <c r="B436" i="3" s="1"/>
  <c r="B437" i="3" s="1"/>
  <c r="B438" i="3" s="1"/>
  <c r="B439" i="3" s="1"/>
  <c r="B440" i="3" s="1"/>
  <c r="B441" i="3" s="1"/>
  <c r="B442" i="3" s="1"/>
  <c r="B443" i="3" s="1"/>
  <c r="B444" i="3" s="1"/>
  <c r="B445" i="3" s="1"/>
  <c r="E432" i="3"/>
  <c r="B421" i="3"/>
  <c r="B422" i="3" s="1"/>
  <c r="B423" i="3" s="1"/>
  <c r="B424" i="3" s="1"/>
  <c r="B425" i="3" s="1"/>
  <c r="B426" i="3" s="1"/>
  <c r="B427" i="3" s="1"/>
  <c r="B428" i="3" s="1"/>
  <c r="B429" i="3" s="1"/>
  <c r="B430" i="3" s="1"/>
  <c r="B431" i="3" s="1"/>
  <c r="E419" i="3"/>
  <c r="E433" i="3" s="1"/>
  <c r="B408" i="3"/>
  <c r="B409" i="3" s="1"/>
  <c r="B410" i="3" s="1"/>
  <c r="B411" i="3" s="1"/>
  <c r="B412" i="3" s="1"/>
  <c r="B413" i="3" s="1"/>
  <c r="B414" i="3" s="1"/>
  <c r="B415" i="3" s="1"/>
  <c r="B416" i="3" s="1"/>
  <c r="B417" i="3" s="1"/>
  <c r="B418" i="3" s="1"/>
  <c r="E405" i="3"/>
  <c r="B394" i="3"/>
  <c r="B395" i="3" s="1"/>
  <c r="B396" i="3" s="1"/>
  <c r="B397" i="3" s="1"/>
  <c r="B398" i="3" s="1"/>
  <c r="B399" i="3" s="1"/>
  <c r="B400" i="3" s="1"/>
  <c r="B401" i="3" s="1"/>
  <c r="B402" i="3" s="1"/>
  <c r="B403" i="3" s="1"/>
  <c r="B404" i="3" s="1"/>
  <c r="E392" i="3"/>
  <c r="E406" i="3" s="1"/>
  <c r="B381" i="3"/>
  <c r="B382" i="3" s="1"/>
  <c r="B383" i="3" s="1"/>
  <c r="B384" i="3" s="1"/>
  <c r="B385" i="3" s="1"/>
  <c r="B386" i="3" s="1"/>
  <c r="B387" i="3" s="1"/>
  <c r="B388" i="3" s="1"/>
  <c r="B389" i="3" s="1"/>
  <c r="B390" i="3" s="1"/>
  <c r="B391" i="3" s="1"/>
  <c r="E378" i="3"/>
  <c r="B367" i="3"/>
  <c r="B368" i="3" s="1"/>
  <c r="B369" i="3" s="1"/>
  <c r="B370" i="3" s="1"/>
  <c r="B371" i="3" s="1"/>
  <c r="B372" i="3" s="1"/>
  <c r="B373" i="3" s="1"/>
  <c r="B374" i="3" s="1"/>
  <c r="B375" i="3" s="1"/>
  <c r="B376" i="3" s="1"/>
  <c r="B377" i="3" s="1"/>
  <c r="E365" i="3"/>
  <c r="E379" i="3" s="1"/>
  <c r="B354" i="3"/>
  <c r="B355" i="3" s="1"/>
  <c r="B356" i="3" s="1"/>
  <c r="B357" i="3" s="1"/>
  <c r="B358" i="3" s="1"/>
  <c r="B359" i="3" s="1"/>
  <c r="B360" i="3" s="1"/>
  <c r="B361" i="3" s="1"/>
  <c r="B362" i="3" s="1"/>
  <c r="B363" i="3" s="1"/>
  <c r="B364" i="3" s="1"/>
  <c r="E351" i="3"/>
  <c r="B340" i="3"/>
  <c r="B341" i="3" s="1"/>
  <c r="B342" i="3" s="1"/>
  <c r="B343" i="3" s="1"/>
  <c r="B344" i="3" s="1"/>
  <c r="B345" i="3" s="1"/>
  <c r="B346" i="3" s="1"/>
  <c r="B347" i="3" s="1"/>
  <c r="B348" i="3" s="1"/>
  <c r="B349" i="3" s="1"/>
  <c r="B350" i="3" s="1"/>
  <c r="E338" i="3"/>
  <c r="E352" i="3" s="1"/>
  <c r="B327" i="3"/>
  <c r="B328" i="3" s="1"/>
  <c r="B329" i="3" s="1"/>
  <c r="B330" i="3" s="1"/>
  <c r="B331" i="3" s="1"/>
  <c r="B332" i="3" s="1"/>
  <c r="B333" i="3" s="1"/>
  <c r="B334" i="3" s="1"/>
  <c r="B335" i="3" s="1"/>
  <c r="B336" i="3" s="1"/>
  <c r="B337" i="3" s="1"/>
  <c r="E324" i="3"/>
  <c r="B313" i="3"/>
  <c r="B314" i="3" s="1"/>
  <c r="B315" i="3" s="1"/>
  <c r="B316" i="3" s="1"/>
  <c r="B317" i="3" s="1"/>
  <c r="B318" i="3" s="1"/>
  <c r="B319" i="3" s="1"/>
  <c r="B320" i="3" s="1"/>
  <c r="B321" i="3" s="1"/>
  <c r="B322" i="3" s="1"/>
  <c r="B323" i="3" s="1"/>
  <c r="E311" i="3"/>
  <c r="E325" i="3" s="1"/>
  <c r="B300" i="3"/>
  <c r="B301" i="3" s="1"/>
  <c r="B302" i="3" s="1"/>
  <c r="B303" i="3" s="1"/>
  <c r="B304" i="3" s="1"/>
  <c r="B305" i="3" s="1"/>
  <c r="B306" i="3" s="1"/>
  <c r="B307" i="3" s="1"/>
  <c r="B308" i="3" s="1"/>
  <c r="B309" i="3" s="1"/>
  <c r="B310" i="3" s="1"/>
  <c r="E297" i="3"/>
  <c r="B286" i="3"/>
  <c r="B287" i="3" s="1"/>
  <c r="B288" i="3" s="1"/>
  <c r="B289" i="3" s="1"/>
  <c r="B290" i="3" s="1"/>
  <c r="B291" i="3" s="1"/>
  <c r="B292" i="3" s="1"/>
  <c r="B293" i="3" s="1"/>
  <c r="B294" i="3" s="1"/>
  <c r="B295" i="3" s="1"/>
  <c r="B296" i="3" s="1"/>
  <c r="E284" i="3"/>
  <c r="E298" i="3" s="1"/>
  <c r="B273" i="3"/>
  <c r="B274" i="3" s="1"/>
  <c r="B275" i="3" s="1"/>
  <c r="B276" i="3" s="1"/>
  <c r="B277" i="3" s="1"/>
  <c r="B278" i="3" s="1"/>
  <c r="B279" i="3" s="1"/>
  <c r="B280" i="3" s="1"/>
  <c r="B281" i="3" s="1"/>
  <c r="B282" i="3" s="1"/>
  <c r="B283" i="3" s="1"/>
  <c r="E270" i="3"/>
  <c r="B259" i="3"/>
  <c r="B260" i="3" s="1"/>
  <c r="B261" i="3" s="1"/>
  <c r="B262" i="3" s="1"/>
  <c r="B263" i="3" s="1"/>
  <c r="B264" i="3" s="1"/>
  <c r="B265" i="3" s="1"/>
  <c r="B266" i="3" s="1"/>
  <c r="B267" i="3" s="1"/>
  <c r="B268" i="3" s="1"/>
  <c r="B269" i="3" s="1"/>
  <c r="E257" i="3"/>
  <c r="E271" i="3" s="1"/>
  <c r="B246" i="3"/>
  <c r="B247" i="3" s="1"/>
  <c r="B248" i="3" s="1"/>
  <c r="B249" i="3" s="1"/>
  <c r="B250" i="3" s="1"/>
  <c r="B251" i="3" s="1"/>
  <c r="B252" i="3" s="1"/>
  <c r="B253" i="3" s="1"/>
  <c r="B254" i="3" s="1"/>
  <c r="B255" i="3" s="1"/>
  <c r="B256" i="3" s="1"/>
  <c r="E243" i="3"/>
  <c r="B232" i="3"/>
  <c r="B233" i="3" s="1"/>
  <c r="B234" i="3" s="1"/>
  <c r="B235" i="3" s="1"/>
  <c r="B236" i="3" s="1"/>
  <c r="B237" i="3" s="1"/>
  <c r="B238" i="3" s="1"/>
  <c r="B239" i="3" s="1"/>
  <c r="B240" i="3" s="1"/>
  <c r="B241" i="3" s="1"/>
  <c r="B242" i="3" s="1"/>
  <c r="E230" i="3"/>
  <c r="E244" i="3" s="1"/>
  <c r="B219" i="3"/>
  <c r="B220" i="3" s="1"/>
  <c r="B221" i="3" s="1"/>
  <c r="B222" i="3" s="1"/>
  <c r="B223" i="3" s="1"/>
  <c r="B224" i="3" s="1"/>
  <c r="B225" i="3" s="1"/>
  <c r="B226" i="3" s="1"/>
  <c r="B227" i="3" s="1"/>
  <c r="B228" i="3" s="1"/>
  <c r="B229" i="3" s="1"/>
  <c r="E216" i="3"/>
  <c r="B205" i="3"/>
  <c r="B206" i="3" s="1"/>
  <c r="B207" i="3" s="1"/>
  <c r="B208" i="3" s="1"/>
  <c r="B209" i="3" s="1"/>
  <c r="B210" i="3" s="1"/>
  <c r="B211" i="3" s="1"/>
  <c r="B212" i="3" s="1"/>
  <c r="B213" i="3" s="1"/>
  <c r="B214" i="3" s="1"/>
  <c r="B215" i="3" s="1"/>
  <c r="E203" i="3"/>
  <c r="E217" i="3" s="1"/>
  <c r="B192" i="3"/>
  <c r="B193" i="3" s="1"/>
  <c r="B194" i="3" s="1"/>
  <c r="B195" i="3" s="1"/>
  <c r="B196" i="3" s="1"/>
  <c r="B197" i="3" s="1"/>
  <c r="B198" i="3" s="1"/>
  <c r="B199" i="3" s="1"/>
  <c r="B200" i="3" s="1"/>
  <c r="B201" i="3" s="1"/>
  <c r="B202" i="3" s="1"/>
  <c r="E189" i="3"/>
  <c r="B178" i="3"/>
  <c r="B179" i="3" s="1"/>
  <c r="B180" i="3" s="1"/>
  <c r="B181" i="3" s="1"/>
  <c r="B182" i="3" s="1"/>
  <c r="B183" i="3" s="1"/>
  <c r="B184" i="3" s="1"/>
  <c r="B185" i="3" s="1"/>
  <c r="B186" i="3" s="1"/>
  <c r="B187" i="3" s="1"/>
  <c r="B188" i="3" s="1"/>
  <c r="E176" i="3"/>
  <c r="E190" i="3" s="1"/>
  <c r="B165" i="3"/>
  <c r="B166" i="3" s="1"/>
  <c r="B167" i="3" s="1"/>
  <c r="B168" i="3" s="1"/>
  <c r="B169" i="3" s="1"/>
  <c r="B170" i="3" s="1"/>
  <c r="B171" i="3" s="1"/>
  <c r="B172" i="3" s="1"/>
  <c r="B173" i="3" s="1"/>
  <c r="B174" i="3" s="1"/>
  <c r="B175" i="3" s="1"/>
  <c r="E162" i="3"/>
  <c r="B151" i="3"/>
  <c r="B152" i="3" s="1"/>
  <c r="B153" i="3" s="1"/>
  <c r="B154" i="3" s="1"/>
  <c r="B155" i="3" s="1"/>
  <c r="B156" i="3" s="1"/>
  <c r="B157" i="3" s="1"/>
  <c r="B158" i="3" s="1"/>
  <c r="B159" i="3" s="1"/>
  <c r="B160" i="3" s="1"/>
  <c r="B161" i="3" s="1"/>
  <c r="E149" i="3"/>
  <c r="E163" i="3" s="1"/>
  <c r="B138" i="3"/>
  <c r="B139" i="3" s="1"/>
  <c r="B140" i="3" s="1"/>
  <c r="B141" i="3" s="1"/>
  <c r="B142" i="3" s="1"/>
  <c r="B143" i="3" s="1"/>
  <c r="B144" i="3" s="1"/>
  <c r="B145" i="3" s="1"/>
  <c r="B146" i="3" s="1"/>
  <c r="B147" i="3" s="1"/>
  <c r="B148" i="3" s="1"/>
  <c r="E135" i="3"/>
  <c r="B124" i="3"/>
  <c r="B125" i="3" s="1"/>
  <c r="B126" i="3" s="1"/>
  <c r="B127" i="3" s="1"/>
  <c r="B128" i="3" s="1"/>
  <c r="B129" i="3" s="1"/>
  <c r="B130" i="3" s="1"/>
  <c r="B131" i="3" s="1"/>
  <c r="B132" i="3" s="1"/>
  <c r="B133" i="3" s="1"/>
  <c r="B134" i="3" s="1"/>
  <c r="E122" i="3"/>
  <c r="B111" i="3"/>
  <c r="B112" i="3" s="1"/>
  <c r="B113" i="3" s="1"/>
  <c r="B114" i="3" s="1"/>
  <c r="B115" i="3" s="1"/>
  <c r="B116" i="3" s="1"/>
  <c r="B117" i="3" s="1"/>
  <c r="B118" i="3" s="1"/>
  <c r="B119" i="3" s="1"/>
  <c r="B120" i="3" s="1"/>
  <c r="B121" i="3" s="1"/>
  <c r="E108" i="3"/>
  <c r="B97" i="3"/>
  <c r="B98" i="3" s="1"/>
  <c r="B99" i="3" s="1"/>
  <c r="B100" i="3" s="1"/>
  <c r="B101" i="3" s="1"/>
  <c r="B102" i="3" s="1"/>
  <c r="B103" i="3" s="1"/>
  <c r="B104" i="3" s="1"/>
  <c r="B105" i="3" s="1"/>
  <c r="B106" i="3" s="1"/>
  <c r="B107" i="3" s="1"/>
  <c r="E95" i="3"/>
  <c r="B84" i="3"/>
  <c r="B85" i="3" s="1"/>
  <c r="B86" i="3" s="1"/>
  <c r="B87" i="3" s="1"/>
  <c r="B88" i="3" s="1"/>
  <c r="B89" i="3" s="1"/>
  <c r="B90" i="3" s="1"/>
  <c r="B91" i="3" s="1"/>
  <c r="B92" i="3" s="1"/>
  <c r="B93" i="3" s="1"/>
  <c r="B94" i="3" s="1"/>
  <c r="E81" i="3"/>
  <c r="B70" i="3"/>
  <c r="B71" i="3" s="1"/>
  <c r="B72" i="3" s="1"/>
  <c r="B73" i="3" s="1"/>
  <c r="B74" i="3" s="1"/>
  <c r="B75" i="3" s="1"/>
  <c r="B76" i="3" s="1"/>
  <c r="B77" i="3" s="1"/>
  <c r="B78" i="3" s="1"/>
  <c r="B79" i="3" s="1"/>
  <c r="B80" i="3" s="1"/>
  <c r="E68" i="3"/>
  <c r="B57" i="3"/>
  <c r="B58" i="3" s="1"/>
  <c r="B59" i="3" s="1"/>
  <c r="B60" i="3" s="1"/>
  <c r="B61" i="3" s="1"/>
  <c r="B62" i="3" s="1"/>
  <c r="B63" i="3" s="1"/>
  <c r="B64" i="3" s="1"/>
  <c r="B65" i="3" s="1"/>
  <c r="B66" i="3" s="1"/>
  <c r="B67" i="3" s="1"/>
  <c r="E54" i="3"/>
  <c r="B43" i="3"/>
  <c r="B44" i="3" s="1"/>
  <c r="B45" i="3" s="1"/>
  <c r="B46" i="3" s="1"/>
  <c r="B47" i="3" s="1"/>
  <c r="B48" i="3" s="1"/>
  <c r="B49" i="3" s="1"/>
  <c r="B50" i="3" s="1"/>
  <c r="B51" i="3" s="1"/>
  <c r="B52" i="3" s="1"/>
  <c r="B53" i="3" s="1"/>
  <c r="E41" i="3"/>
  <c r="E55" i="3" s="1"/>
  <c r="B30" i="3"/>
  <c r="B31" i="3" s="1"/>
  <c r="B32" i="3" s="1"/>
  <c r="B33" i="3" s="1"/>
  <c r="B34" i="3" s="1"/>
  <c r="B35" i="3" s="1"/>
  <c r="B36" i="3" s="1"/>
  <c r="B37" i="3" s="1"/>
  <c r="B38" i="3" s="1"/>
  <c r="B39" i="3" s="1"/>
  <c r="B40" i="3" s="1"/>
  <c r="B16" i="3"/>
  <c r="B17" i="3" s="1"/>
  <c r="B18" i="3" s="1"/>
  <c r="B19" i="3" s="1"/>
  <c r="B20" i="3" s="1"/>
  <c r="B21" i="3" s="1"/>
  <c r="B22" i="3" s="1"/>
  <c r="B23" i="3" s="1"/>
  <c r="B24" i="3" s="1"/>
  <c r="B25" i="3" s="1"/>
  <c r="B26" i="3" s="1"/>
  <c r="B3" i="3"/>
  <c r="B4" i="3" s="1"/>
  <c r="B5" i="3" s="1"/>
  <c r="B6" i="3" s="1"/>
  <c r="B7" i="3" s="1"/>
  <c r="B8" i="3" s="1"/>
  <c r="B9" i="3" s="1"/>
  <c r="B10" i="3" s="1"/>
  <c r="B11" i="3" s="1"/>
  <c r="B12" i="3" s="1"/>
  <c r="B13" i="3" s="1"/>
  <c r="E810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E797" i="4"/>
  <c r="E811" i="4" s="1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E783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E770" i="4"/>
  <c r="E784" i="4" s="1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E756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E743" i="4"/>
  <c r="E757" i="4" s="1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E729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E716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E702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E689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E675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E662" i="4"/>
  <c r="E676" i="4" s="1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E648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E635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E621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E608" i="4"/>
  <c r="E622" i="4" s="1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E594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E581" i="4"/>
  <c r="E595" i="4" s="1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E567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E554" i="4"/>
  <c r="E568" i="4" s="1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E540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E527" i="4"/>
  <c r="E541" i="4" s="1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E513" i="4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E500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E486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E473" i="4"/>
  <c r="E487" i="4" s="1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E459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E446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E432" i="4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E419" i="4"/>
  <c r="E433" i="4" s="1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E405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E392" i="4"/>
  <c r="E406" i="4" s="1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E378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E365" i="4"/>
  <c r="E379" i="4" s="1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E351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E338" i="4"/>
  <c r="E352" i="4" s="1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E324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E311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E297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E284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E270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E257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E243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E230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E216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E203" i="4"/>
  <c r="E217" i="4" s="1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E189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E176" i="4"/>
  <c r="E190" i="4" s="1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E162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E149" i="4"/>
  <c r="E163" i="4" s="1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E135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E122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E108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E95" i="4"/>
  <c r="E109" i="4" s="1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E81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E68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E54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E41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E810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E797" i="5"/>
  <c r="E811" i="5" s="1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E783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E770" i="5"/>
  <c r="B760" i="5"/>
  <c r="B761" i="5" s="1"/>
  <c r="B762" i="5" s="1"/>
  <c r="B763" i="5" s="1"/>
  <c r="B764" i="5" s="1"/>
  <c r="B765" i="5" s="1"/>
  <c r="B766" i="5" s="1"/>
  <c r="B767" i="5" s="1"/>
  <c r="B768" i="5" s="1"/>
  <c r="B769" i="5" s="1"/>
  <c r="B759" i="5"/>
  <c r="E757" i="5"/>
  <c r="E756" i="5"/>
  <c r="B746" i="5"/>
  <c r="B747" i="5" s="1"/>
  <c r="B748" i="5" s="1"/>
  <c r="B749" i="5" s="1"/>
  <c r="B750" i="5" s="1"/>
  <c r="B751" i="5" s="1"/>
  <c r="B752" i="5" s="1"/>
  <c r="B753" i="5" s="1"/>
  <c r="B754" i="5" s="1"/>
  <c r="B755" i="5" s="1"/>
  <c r="B745" i="5"/>
  <c r="E743" i="5"/>
  <c r="B734" i="5"/>
  <c r="B735" i="5" s="1"/>
  <c r="B736" i="5" s="1"/>
  <c r="B737" i="5" s="1"/>
  <c r="B738" i="5" s="1"/>
  <c r="B739" i="5" s="1"/>
  <c r="B740" i="5" s="1"/>
  <c r="B741" i="5" s="1"/>
  <c r="B742" i="5" s="1"/>
  <c r="B732" i="5"/>
  <c r="B733" i="5" s="1"/>
  <c r="E729" i="5"/>
  <c r="E730" i="5" s="1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E716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E702" i="5"/>
  <c r="E703" i="5" s="1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E689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E675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E662" i="5"/>
  <c r="E676" i="5" s="1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E648" i="5"/>
  <c r="E649" i="5" s="1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E635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E622" i="5"/>
  <c r="E621" i="5"/>
  <c r="B616" i="5"/>
  <c r="B617" i="5" s="1"/>
  <c r="B618" i="5" s="1"/>
  <c r="B619" i="5" s="1"/>
  <c r="B620" i="5" s="1"/>
  <c r="B610" i="5"/>
  <c r="B611" i="5" s="1"/>
  <c r="B612" i="5" s="1"/>
  <c r="B613" i="5" s="1"/>
  <c r="B614" i="5" s="1"/>
  <c r="B615" i="5" s="1"/>
  <c r="E608" i="5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E594" i="5"/>
  <c r="B585" i="5"/>
  <c r="B586" i="5" s="1"/>
  <c r="B587" i="5" s="1"/>
  <c r="B588" i="5" s="1"/>
  <c r="B589" i="5" s="1"/>
  <c r="B590" i="5" s="1"/>
  <c r="B591" i="5" s="1"/>
  <c r="B592" i="5" s="1"/>
  <c r="B593" i="5" s="1"/>
  <c r="B584" i="5"/>
  <c r="B583" i="5"/>
  <c r="E581" i="5"/>
  <c r="E595" i="5" s="1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E567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E554" i="5"/>
  <c r="E568" i="5" s="1"/>
  <c r="B544" i="5"/>
  <c r="B545" i="5" s="1"/>
  <c r="B546" i="5" s="1"/>
  <c r="B547" i="5" s="1"/>
  <c r="B548" i="5" s="1"/>
  <c r="B549" i="5" s="1"/>
  <c r="B550" i="5" s="1"/>
  <c r="B551" i="5" s="1"/>
  <c r="B552" i="5" s="1"/>
  <c r="B553" i="5" s="1"/>
  <c r="B543" i="5"/>
  <c r="E540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E527" i="5"/>
  <c r="E541" i="5" s="1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E513" i="5"/>
  <c r="E514" i="5" s="1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E500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E486" i="5"/>
  <c r="E487" i="5" s="1"/>
  <c r="B480" i="5"/>
  <c r="B481" i="5" s="1"/>
  <c r="B482" i="5" s="1"/>
  <c r="B483" i="5" s="1"/>
  <c r="B484" i="5" s="1"/>
  <c r="B485" i="5" s="1"/>
  <c r="B475" i="5"/>
  <c r="B476" i="5" s="1"/>
  <c r="B477" i="5" s="1"/>
  <c r="B478" i="5" s="1"/>
  <c r="B479" i="5" s="1"/>
  <c r="E473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E459" i="5"/>
  <c r="E460" i="5" s="1"/>
  <c r="B449" i="5"/>
  <c r="B450" i="5" s="1"/>
  <c r="B451" i="5" s="1"/>
  <c r="B452" i="5" s="1"/>
  <c r="B453" i="5" s="1"/>
  <c r="B454" i="5" s="1"/>
  <c r="B455" i="5" s="1"/>
  <c r="B456" i="5" s="1"/>
  <c r="B457" i="5" s="1"/>
  <c r="B458" i="5" s="1"/>
  <c r="B448" i="5"/>
  <c r="E446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E432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E419" i="5"/>
  <c r="E433" i="5" s="1"/>
  <c r="B409" i="5"/>
  <c r="B410" i="5" s="1"/>
  <c r="B411" i="5" s="1"/>
  <c r="B412" i="5" s="1"/>
  <c r="B413" i="5" s="1"/>
  <c r="B414" i="5" s="1"/>
  <c r="B415" i="5" s="1"/>
  <c r="B416" i="5" s="1"/>
  <c r="B417" i="5" s="1"/>
  <c r="B418" i="5" s="1"/>
  <c r="B408" i="5"/>
  <c r="E405" i="5"/>
  <c r="B395" i="5"/>
  <c r="B396" i="5" s="1"/>
  <c r="B397" i="5" s="1"/>
  <c r="B398" i="5" s="1"/>
  <c r="B399" i="5" s="1"/>
  <c r="B400" i="5" s="1"/>
  <c r="B401" i="5" s="1"/>
  <c r="B402" i="5" s="1"/>
  <c r="B403" i="5" s="1"/>
  <c r="B404" i="5" s="1"/>
  <c r="B394" i="5"/>
  <c r="E392" i="5"/>
  <c r="E406" i="5" s="1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E378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E365" i="5"/>
  <c r="E379" i="5" s="1"/>
  <c r="B355" i="5"/>
  <c r="B356" i="5" s="1"/>
  <c r="B357" i="5" s="1"/>
  <c r="B358" i="5" s="1"/>
  <c r="B359" i="5" s="1"/>
  <c r="B360" i="5" s="1"/>
  <c r="B361" i="5" s="1"/>
  <c r="B362" i="5" s="1"/>
  <c r="B363" i="5" s="1"/>
  <c r="B364" i="5" s="1"/>
  <c r="B354" i="5"/>
  <c r="E351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E338" i="5"/>
  <c r="E352" i="5" s="1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E324" i="5"/>
  <c r="E325" i="5" s="1"/>
  <c r="B315" i="5"/>
  <c r="B316" i="5" s="1"/>
  <c r="B317" i="5" s="1"/>
  <c r="B318" i="5" s="1"/>
  <c r="B319" i="5" s="1"/>
  <c r="B320" i="5" s="1"/>
  <c r="B321" i="5" s="1"/>
  <c r="B322" i="5" s="1"/>
  <c r="B323" i="5" s="1"/>
  <c r="B314" i="5"/>
  <c r="B313" i="5"/>
  <c r="E311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E298" i="5"/>
  <c r="E297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E284" i="5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E270" i="5"/>
  <c r="E271" i="5" s="1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E257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E243" i="5"/>
  <c r="E244" i="5" s="1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E230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E216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E203" i="5"/>
  <c r="E217" i="5" s="1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E189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E176" i="5"/>
  <c r="E190" i="5" s="1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E163" i="5"/>
  <c r="E162" i="5"/>
  <c r="B152" i="5"/>
  <c r="B153" i="5" s="1"/>
  <c r="B154" i="5" s="1"/>
  <c r="B155" i="5" s="1"/>
  <c r="B156" i="5" s="1"/>
  <c r="B157" i="5" s="1"/>
  <c r="B158" i="5" s="1"/>
  <c r="B159" i="5" s="1"/>
  <c r="B160" i="5" s="1"/>
  <c r="B161" i="5" s="1"/>
  <c r="B151" i="5"/>
  <c r="E149" i="5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E135" i="5"/>
  <c r="E136" i="5" s="1"/>
  <c r="B129" i="5"/>
  <c r="B130" i="5" s="1"/>
  <c r="B131" i="5" s="1"/>
  <c r="B132" i="5" s="1"/>
  <c r="B133" i="5" s="1"/>
  <c r="B134" i="5" s="1"/>
  <c r="B124" i="5"/>
  <c r="B125" i="5" s="1"/>
  <c r="B126" i="5" s="1"/>
  <c r="B127" i="5" s="1"/>
  <c r="B128" i="5" s="1"/>
  <c r="E122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E108" i="5"/>
  <c r="E109" i="5" s="1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E95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E81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E68" i="5"/>
  <c r="E82" i="5" s="1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E54" i="5"/>
  <c r="E55" i="5" s="1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E41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B19" i="5"/>
  <c r="B20" i="5" s="1"/>
  <c r="B21" i="5" s="1"/>
  <c r="B22" i="5" s="1"/>
  <c r="B23" i="5" s="1"/>
  <c r="B24" i="5" s="1"/>
  <c r="B25" i="5" s="1"/>
  <c r="B26" i="5" s="1"/>
  <c r="B16" i="5"/>
  <c r="B17" i="5" s="1"/>
  <c r="B18" i="5" s="1"/>
  <c r="B4" i="5"/>
  <c r="B5" i="5" s="1"/>
  <c r="B6" i="5" s="1"/>
  <c r="B7" i="5" s="1"/>
  <c r="B8" i="5" s="1"/>
  <c r="B9" i="5" s="1"/>
  <c r="B10" i="5" s="1"/>
  <c r="B11" i="5" s="1"/>
  <c r="B12" i="5" s="1"/>
  <c r="B13" i="5" s="1"/>
  <c r="B3" i="5"/>
  <c r="O811" i="5"/>
  <c r="M809" i="5"/>
  <c r="M808" i="5"/>
  <c r="M807" i="5"/>
  <c r="M806" i="5"/>
  <c r="M805" i="5"/>
  <c r="M804" i="5"/>
  <c r="M803" i="5"/>
  <c r="M802" i="5"/>
  <c r="M801" i="5"/>
  <c r="M800" i="5"/>
  <c r="M799" i="5"/>
  <c r="M798" i="5"/>
  <c r="M796" i="5"/>
  <c r="M795" i="5"/>
  <c r="M794" i="5"/>
  <c r="M793" i="5"/>
  <c r="M792" i="5"/>
  <c r="M791" i="5"/>
  <c r="M790" i="5"/>
  <c r="M789" i="5"/>
  <c r="M788" i="5"/>
  <c r="M787" i="5"/>
  <c r="M786" i="5"/>
  <c r="M785" i="5"/>
  <c r="O784" i="5"/>
  <c r="M782" i="5"/>
  <c r="M781" i="5"/>
  <c r="M780" i="5"/>
  <c r="M779" i="5"/>
  <c r="M778" i="5"/>
  <c r="M777" i="5"/>
  <c r="M776" i="5"/>
  <c r="M775" i="5"/>
  <c r="M774" i="5"/>
  <c r="M773" i="5"/>
  <c r="M772" i="5"/>
  <c r="M771" i="5"/>
  <c r="M769" i="5"/>
  <c r="M768" i="5"/>
  <c r="M767" i="5"/>
  <c r="M766" i="5"/>
  <c r="M765" i="5"/>
  <c r="M764" i="5"/>
  <c r="M763" i="5"/>
  <c r="M762" i="5"/>
  <c r="M761" i="5"/>
  <c r="M760" i="5"/>
  <c r="M759" i="5"/>
  <c r="M758" i="5"/>
  <c r="O757" i="5"/>
  <c r="M755" i="5"/>
  <c r="M754" i="5"/>
  <c r="M753" i="5"/>
  <c r="M752" i="5"/>
  <c r="M751" i="5"/>
  <c r="M750" i="5"/>
  <c r="M749" i="5"/>
  <c r="M748" i="5"/>
  <c r="M747" i="5"/>
  <c r="M746" i="5"/>
  <c r="M745" i="5"/>
  <c r="M744" i="5"/>
  <c r="M742" i="5"/>
  <c r="M741" i="5"/>
  <c r="M740" i="5"/>
  <c r="M739" i="5"/>
  <c r="M738" i="5"/>
  <c r="M737" i="5"/>
  <c r="M736" i="5"/>
  <c r="M735" i="5"/>
  <c r="M734" i="5"/>
  <c r="M733" i="5"/>
  <c r="M732" i="5"/>
  <c r="M731" i="5"/>
  <c r="O730" i="5"/>
  <c r="M728" i="5"/>
  <c r="M727" i="5"/>
  <c r="M726" i="5"/>
  <c r="M725" i="5"/>
  <c r="M724" i="5"/>
  <c r="M723" i="5"/>
  <c r="M722" i="5"/>
  <c r="M721" i="5"/>
  <c r="M720" i="5"/>
  <c r="M719" i="5"/>
  <c r="M718" i="5"/>
  <c r="M717" i="5"/>
  <c r="M715" i="5"/>
  <c r="M714" i="5"/>
  <c r="M713" i="5"/>
  <c r="M712" i="5"/>
  <c r="M711" i="5"/>
  <c r="M710" i="5"/>
  <c r="M709" i="5"/>
  <c r="M708" i="5"/>
  <c r="M707" i="5"/>
  <c r="M706" i="5"/>
  <c r="M705" i="5"/>
  <c r="M704" i="5"/>
  <c r="O703" i="5"/>
  <c r="M701" i="5"/>
  <c r="M700" i="5"/>
  <c r="M699" i="5"/>
  <c r="M698" i="5"/>
  <c r="M697" i="5"/>
  <c r="M696" i="5"/>
  <c r="M695" i="5"/>
  <c r="M694" i="5"/>
  <c r="M693" i="5"/>
  <c r="M692" i="5"/>
  <c r="M691" i="5"/>
  <c r="M690" i="5"/>
  <c r="M688" i="5"/>
  <c r="M687" i="5"/>
  <c r="M686" i="5"/>
  <c r="M685" i="5"/>
  <c r="M684" i="5"/>
  <c r="M683" i="5"/>
  <c r="M682" i="5"/>
  <c r="M681" i="5"/>
  <c r="M680" i="5"/>
  <c r="M679" i="5"/>
  <c r="M678" i="5"/>
  <c r="M677" i="5"/>
  <c r="O676" i="5"/>
  <c r="M674" i="5"/>
  <c r="M673" i="5"/>
  <c r="M672" i="5"/>
  <c r="M671" i="5"/>
  <c r="M670" i="5"/>
  <c r="M669" i="5"/>
  <c r="M668" i="5"/>
  <c r="M667" i="5"/>
  <c r="M666" i="5"/>
  <c r="M665" i="5"/>
  <c r="M664" i="5"/>
  <c r="M663" i="5"/>
  <c r="M661" i="5"/>
  <c r="M660" i="5"/>
  <c r="M659" i="5"/>
  <c r="M658" i="5"/>
  <c r="M657" i="5"/>
  <c r="M656" i="5"/>
  <c r="M655" i="5"/>
  <c r="M654" i="5"/>
  <c r="M653" i="5"/>
  <c r="M652" i="5"/>
  <c r="M651" i="5"/>
  <c r="M650" i="5"/>
  <c r="O649" i="5"/>
  <c r="M647" i="5"/>
  <c r="M646" i="5"/>
  <c r="M645" i="5"/>
  <c r="M644" i="5"/>
  <c r="M643" i="5"/>
  <c r="M642" i="5"/>
  <c r="M641" i="5"/>
  <c r="M640" i="5"/>
  <c r="M639" i="5"/>
  <c r="M638" i="5"/>
  <c r="M637" i="5"/>
  <c r="M636" i="5"/>
  <c r="M634" i="5"/>
  <c r="M633" i="5"/>
  <c r="M632" i="5"/>
  <c r="M631" i="5"/>
  <c r="M630" i="5"/>
  <c r="M629" i="5"/>
  <c r="M628" i="5"/>
  <c r="M627" i="5"/>
  <c r="M626" i="5"/>
  <c r="M625" i="5"/>
  <c r="M624" i="5"/>
  <c r="M623" i="5"/>
  <c r="O622" i="5"/>
  <c r="M620" i="5"/>
  <c r="M619" i="5"/>
  <c r="M618" i="5"/>
  <c r="M617" i="5"/>
  <c r="M616" i="5"/>
  <c r="M615" i="5"/>
  <c r="M614" i="5"/>
  <c r="M613" i="5"/>
  <c r="M612" i="5"/>
  <c r="M611" i="5"/>
  <c r="M610" i="5"/>
  <c r="M609" i="5"/>
  <c r="M607" i="5"/>
  <c r="M606" i="5"/>
  <c r="M605" i="5"/>
  <c r="M604" i="5"/>
  <c r="M603" i="5"/>
  <c r="M602" i="5"/>
  <c r="M601" i="5"/>
  <c r="M600" i="5"/>
  <c r="M599" i="5"/>
  <c r="M598" i="5"/>
  <c r="M597" i="5"/>
  <c r="M596" i="5"/>
  <c r="O595" i="5"/>
  <c r="M593" i="5"/>
  <c r="M592" i="5"/>
  <c r="M591" i="5"/>
  <c r="M590" i="5"/>
  <c r="M589" i="5"/>
  <c r="M588" i="5"/>
  <c r="M587" i="5"/>
  <c r="M586" i="5"/>
  <c r="M585" i="5"/>
  <c r="M584" i="5"/>
  <c r="M583" i="5"/>
  <c r="M582" i="5"/>
  <c r="M580" i="5"/>
  <c r="M579" i="5"/>
  <c r="M578" i="5"/>
  <c r="M577" i="5"/>
  <c r="M576" i="5"/>
  <c r="M575" i="5"/>
  <c r="M574" i="5"/>
  <c r="M573" i="5"/>
  <c r="M572" i="5"/>
  <c r="M571" i="5"/>
  <c r="M570" i="5"/>
  <c r="M569" i="5"/>
  <c r="O568" i="5"/>
  <c r="E24" i="1" s="1"/>
  <c r="M566" i="5"/>
  <c r="M565" i="5"/>
  <c r="M564" i="5"/>
  <c r="M563" i="5"/>
  <c r="M562" i="5"/>
  <c r="M561" i="5"/>
  <c r="M560" i="5"/>
  <c r="M559" i="5"/>
  <c r="M558" i="5"/>
  <c r="M557" i="5"/>
  <c r="M556" i="5"/>
  <c r="M555" i="5"/>
  <c r="M553" i="5"/>
  <c r="M552" i="5"/>
  <c r="M551" i="5"/>
  <c r="M550" i="5"/>
  <c r="M549" i="5"/>
  <c r="M548" i="5"/>
  <c r="M547" i="5"/>
  <c r="M546" i="5"/>
  <c r="M545" i="5"/>
  <c r="M544" i="5"/>
  <c r="M543" i="5"/>
  <c r="M542" i="5"/>
  <c r="O541" i="5"/>
  <c r="M539" i="5"/>
  <c r="M538" i="5"/>
  <c r="M537" i="5"/>
  <c r="M536" i="5"/>
  <c r="M535" i="5"/>
  <c r="M534" i="5"/>
  <c r="M533" i="5"/>
  <c r="M532" i="5"/>
  <c r="M531" i="5"/>
  <c r="M530" i="5"/>
  <c r="M529" i="5"/>
  <c r="M528" i="5"/>
  <c r="M526" i="5"/>
  <c r="M525" i="5"/>
  <c r="M524" i="5"/>
  <c r="M523" i="5"/>
  <c r="M522" i="5"/>
  <c r="M521" i="5"/>
  <c r="M520" i="5"/>
  <c r="M519" i="5"/>
  <c r="M518" i="5"/>
  <c r="M517" i="5"/>
  <c r="M516" i="5"/>
  <c r="M515" i="5"/>
  <c r="O514" i="5"/>
  <c r="M512" i="5"/>
  <c r="M511" i="5"/>
  <c r="M510" i="5"/>
  <c r="M509" i="5"/>
  <c r="M508" i="5"/>
  <c r="M507" i="5"/>
  <c r="M506" i="5"/>
  <c r="M505" i="5"/>
  <c r="M504" i="5"/>
  <c r="M503" i="5"/>
  <c r="M502" i="5"/>
  <c r="M501" i="5"/>
  <c r="M499" i="5"/>
  <c r="M498" i="5"/>
  <c r="M497" i="5"/>
  <c r="M496" i="5"/>
  <c r="M495" i="5"/>
  <c r="M494" i="5"/>
  <c r="M493" i="5"/>
  <c r="M492" i="5"/>
  <c r="M491" i="5"/>
  <c r="M490" i="5"/>
  <c r="M489" i="5"/>
  <c r="M488" i="5"/>
  <c r="O487" i="5"/>
  <c r="M485" i="5"/>
  <c r="M484" i="5"/>
  <c r="M483" i="5"/>
  <c r="M482" i="5"/>
  <c r="M481" i="5"/>
  <c r="M480" i="5"/>
  <c r="M479" i="5"/>
  <c r="M478" i="5"/>
  <c r="M477" i="5"/>
  <c r="M476" i="5"/>
  <c r="M475" i="5"/>
  <c r="M474" i="5"/>
  <c r="M472" i="5"/>
  <c r="M471" i="5"/>
  <c r="M470" i="5"/>
  <c r="M469" i="5"/>
  <c r="M468" i="5"/>
  <c r="M467" i="5"/>
  <c r="M466" i="5"/>
  <c r="M465" i="5"/>
  <c r="M464" i="5"/>
  <c r="M463" i="5"/>
  <c r="M462" i="5"/>
  <c r="M461" i="5"/>
  <c r="O460" i="5"/>
  <c r="M458" i="5"/>
  <c r="M457" i="5"/>
  <c r="M456" i="5"/>
  <c r="M455" i="5"/>
  <c r="M454" i="5"/>
  <c r="M453" i="5"/>
  <c r="M452" i="5"/>
  <c r="M451" i="5"/>
  <c r="M450" i="5"/>
  <c r="M449" i="5"/>
  <c r="M448" i="5"/>
  <c r="M447" i="5"/>
  <c r="M445" i="5"/>
  <c r="M444" i="5"/>
  <c r="M443" i="5"/>
  <c r="M442" i="5"/>
  <c r="M441" i="5"/>
  <c r="M440" i="5"/>
  <c r="M439" i="5"/>
  <c r="M438" i="5"/>
  <c r="M437" i="5"/>
  <c r="M436" i="5"/>
  <c r="M435" i="5"/>
  <c r="M434" i="5"/>
  <c r="O433" i="5"/>
  <c r="M431" i="5"/>
  <c r="M430" i="5"/>
  <c r="M429" i="5"/>
  <c r="M428" i="5"/>
  <c r="M427" i="5"/>
  <c r="M426" i="5"/>
  <c r="M425" i="5"/>
  <c r="M424" i="5"/>
  <c r="M423" i="5"/>
  <c r="M422" i="5"/>
  <c r="M421" i="5"/>
  <c r="M420" i="5"/>
  <c r="M418" i="5"/>
  <c r="M417" i="5"/>
  <c r="M416" i="5"/>
  <c r="M415" i="5"/>
  <c r="M414" i="5"/>
  <c r="M413" i="5"/>
  <c r="M412" i="5"/>
  <c r="M411" i="5"/>
  <c r="M410" i="5"/>
  <c r="M409" i="5"/>
  <c r="M408" i="5"/>
  <c r="M407" i="5"/>
  <c r="O406" i="5"/>
  <c r="M404" i="5"/>
  <c r="M403" i="5"/>
  <c r="M402" i="5"/>
  <c r="M401" i="5"/>
  <c r="M400" i="5"/>
  <c r="M399" i="5"/>
  <c r="M398" i="5"/>
  <c r="M397" i="5"/>
  <c r="M396" i="5"/>
  <c r="M395" i="5"/>
  <c r="M394" i="5"/>
  <c r="M393" i="5"/>
  <c r="M391" i="5"/>
  <c r="M390" i="5"/>
  <c r="M389" i="5"/>
  <c r="M388" i="5"/>
  <c r="M387" i="5"/>
  <c r="M386" i="5"/>
  <c r="M385" i="5"/>
  <c r="M384" i="5"/>
  <c r="M383" i="5"/>
  <c r="M382" i="5"/>
  <c r="M381" i="5"/>
  <c r="M380" i="5"/>
  <c r="O379" i="5"/>
  <c r="E17" i="1" s="1"/>
  <c r="M377" i="5"/>
  <c r="M376" i="5"/>
  <c r="M375" i="5"/>
  <c r="M374" i="5"/>
  <c r="M373" i="5"/>
  <c r="M372" i="5"/>
  <c r="M371" i="5"/>
  <c r="M370" i="5"/>
  <c r="M369" i="5"/>
  <c r="M368" i="5"/>
  <c r="M367" i="5"/>
  <c r="M366" i="5"/>
  <c r="M364" i="5"/>
  <c r="M363" i="5"/>
  <c r="M362" i="5"/>
  <c r="M361" i="5"/>
  <c r="M360" i="5"/>
  <c r="M359" i="5"/>
  <c r="M358" i="5"/>
  <c r="M357" i="5"/>
  <c r="M356" i="5"/>
  <c r="M355" i="5"/>
  <c r="M354" i="5"/>
  <c r="M353" i="5"/>
  <c r="O352" i="5"/>
  <c r="E16" i="1" s="1"/>
  <c r="M350" i="5"/>
  <c r="M349" i="5"/>
  <c r="M348" i="5"/>
  <c r="M347" i="5"/>
  <c r="M346" i="5"/>
  <c r="M345" i="5"/>
  <c r="M344" i="5"/>
  <c r="M343" i="5"/>
  <c r="M342" i="5"/>
  <c r="M341" i="5"/>
  <c r="M340" i="5"/>
  <c r="M339" i="5"/>
  <c r="M337" i="5"/>
  <c r="M336" i="5"/>
  <c r="M335" i="5"/>
  <c r="M334" i="5"/>
  <c r="M333" i="5"/>
  <c r="M332" i="5"/>
  <c r="M331" i="5"/>
  <c r="M330" i="5"/>
  <c r="M329" i="5"/>
  <c r="M328" i="5"/>
  <c r="M327" i="5"/>
  <c r="M326" i="5"/>
  <c r="O325" i="5"/>
  <c r="M323" i="5"/>
  <c r="M322" i="5"/>
  <c r="M321" i="5"/>
  <c r="M320" i="5"/>
  <c r="M319" i="5"/>
  <c r="M318" i="5"/>
  <c r="M317" i="5"/>
  <c r="M316" i="5"/>
  <c r="M315" i="5"/>
  <c r="M314" i="5"/>
  <c r="M313" i="5"/>
  <c r="M312" i="5"/>
  <c r="M310" i="5"/>
  <c r="M309" i="5"/>
  <c r="M308" i="5"/>
  <c r="M307" i="5"/>
  <c r="M306" i="5"/>
  <c r="M305" i="5"/>
  <c r="M304" i="5"/>
  <c r="M303" i="5"/>
  <c r="M302" i="5"/>
  <c r="M301" i="5"/>
  <c r="M300" i="5"/>
  <c r="M299" i="5"/>
  <c r="O298" i="5"/>
  <c r="M296" i="5"/>
  <c r="M295" i="5"/>
  <c r="M294" i="5"/>
  <c r="M293" i="5"/>
  <c r="M292" i="5"/>
  <c r="M291" i="5"/>
  <c r="M290" i="5"/>
  <c r="M289" i="5"/>
  <c r="M288" i="5"/>
  <c r="M287" i="5"/>
  <c r="M286" i="5"/>
  <c r="M285" i="5"/>
  <c r="M283" i="5"/>
  <c r="M282" i="5"/>
  <c r="M281" i="5"/>
  <c r="M280" i="5"/>
  <c r="M279" i="5"/>
  <c r="M278" i="5"/>
  <c r="M277" i="5"/>
  <c r="M276" i="5"/>
  <c r="M275" i="5"/>
  <c r="M274" i="5"/>
  <c r="M273" i="5"/>
  <c r="M272" i="5"/>
  <c r="O271" i="5"/>
  <c r="E13" i="1" s="1"/>
  <c r="M269" i="5"/>
  <c r="M268" i="5"/>
  <c r="M267" i="5"/>
  <c r="M266" i="5"/>
  <c r="M265" i="5"/>
  <c r="M264" i="5"/>
  <c r="M263" i="5"/>
  <c r="M262" i="5"/>
  <c r="M261" i="5"/>
  <c r="M260" i="5"/>
  <c r="M259" i="5"/>
  <c r="M258" i="5"/>
  <c r="M256" i="5"/>
  <c r="M255" i="5"/>
  <c r="M254" i="5"/>
  <c r="M253" i="5"/>
  <c r="M252" i="5"/>
  <c r="M251" i="5"/>
  <c r="M250" i="5"/>
  <c r="M249" i="5"/>
  <c r="M248" i="5"/>
  <c r="M247" i="5"/>
  <c r="M246" i="5"/>
  <c r="M245" i="5"/>
  <c r="O244" i="5"/>
  <c r="E12" i="1" s="1"/>
  <c r="M242" i="5"/>
  <c r="M241" i="5"/>
  <c r="M240" i="5"/>
  <c r="M239" i="5"/>
  <c r="M238" i="5"/>
  <c r="M237" i="5"/>
  <c r="M236" i="5"/>
  <c r="M235" i="5"/>
  <c r="M234" i="5"/>
  <c r="M233" i="5"/>
  <c r="M232" i="5"/>
  <c r="M231" i="5"/>
  <c r="M229" i="5"/>
  <c r="M228" i="5"/>
  <c r="M227" i="5"/>
  <c r="M226" i="5"/>
  <c r="M225" i="5"/>
  <c r="M224" i="5"/>
  <c r="M223" i="5"/>
  <c r="M222" i="5"/>
  <c r="M221" i="5"/>
  <c r="M220" i="5"/>
  <c r="M219" i="5"/>
  <c r="M218" i="5"/>
  <c r="O217" i="5"/>
  <c r="E11" i="1" s="1"/>
  <c r="M215" i="5"/>
  <c r="M214" i="5"/>
  <c r="M213" i="5"/>
  <c r="M212" i="5"/>
  <c r="M211" i="5"/>
  <c r="M210" i="5"/>
  <c r="M209" i="5"/>
  <c r="M208" i="5"/>
  <c r="M207" i="5"/>
  <c r="M206" i="5"/>
  <c r="M205" i="5"/>
  <c r="M204" i="5"/>
  <c r="M202" i="5"/>
  <c r="M201" i="5"/>
  <c r="M200" i="5"/>
  <c r="M199" i="5"/>
  <c r="M198" i="5"/>
  <c r="M197" i="5"/>
  <c r="M196" i="5"/>
  <c r="M195" i="5"/>
  <c r="M194" i="5"/>
  <c r="M193" i="5"/>
  <c r="M192" i="5"/>
  <c r="M191" i="5"/>
  <c r="O190" i="5"/>
  <c r="M188" i="5"/>
  <c r="M187" i="5"/>
  <c r="M186" i="5"/>
  <c r="M185" i="5"/>
  <c r="M184" i="5"/>
  <c r="M183" i="5"/>
  <c r="M182" i="5"/>
  <c r="M181" i="5"/>
  <c r="M180" i="5"/>
  <c r="M179" i="5"/>
  <c r="M178" i="5"/>
  <c r="M177" i="5"/>
  <c r="M175" i="5"/>
  <c r="M174" i="5"/>
  <c r="M173" i="5"/>
  <c r="M172" i="5"/>
  <c r="M171" i="5"/>
  <c r="M170" i="5"/>
  <c r="M169" i="5"/>
  <c r="M168" i="5"/>
  <c r="M167" i="5"/>
  <c r="M166" i="5"/>
  <c r="M165" i="5"/>
  <c r="M164" i="5"/>
  <c r="O163" i="5"/>
  <c r="M161" i="5"/>
  <c r="M160" i="5"/>
  <c r="M159" i="5"/>
  <c r="M158" i="5"/>
  <c r="M157" i="5"/>
  <c r="M156" i="5"/>
  <c r="M155" i="5"/>
  <c r="M154" i="5"/>
  <c r="M153" i="5"/>
  <c r="M152" i="5"/>
  <c r="M151" i="5"/>
  <c r="M150" i="5"/>
  <c r="M148" i="5"/>
  <c r="M147" i="5"/>
  <c r="M146" i="5"/>
  <c r="M145" i="5"/>
  <c r="M144" i="5"/>
  <c r="M143" i="5"/>
  <c r="M142" i="5"/>
  <c r="M141" i="5"/>
  <c r="M140" i="5"/>
  <c r="M139" i="5"/>
  <c r="M138" i="5"/>
  <c r="M137" i="5"/>
  <c r="O136" i="5"/>
  <c r="M134" i="5"/>
  <c r="M133" i="5"/>
  <c r="M132" i="5"/>
  <c r="M131" i="5"/>
  <c r="M130" i="5"/>
  <c r="M129" i="5"/>
  <c r="M128" i="5"/>
  <c r="M127" i="5"/>
  <c r="M126" i="5"/>
  <c r="M125" i="5"/>
  <c r="M124" i="5"/>
  <c r="M123" i="5"/>
  <c r="M121" i="5"/>
  <c r="M120" i="5"/>
  <c r="M119" i="5"/>
  <c r="M118" i="5"/>
  <c r="M117" i="5"/>
  <c r="M116" i="5"/>
  <c r="M115" i="5"/>
  <c r="M114" i="5"/>
  <c r="M113" i="5"/>
  <c r="M112" i="5"/>
  <c r="M111" i="5"/>
  <c r="M110" i="5"/>
  <c r="O109" i="5"/>
  <c r="E7" i="1" s="1"/>
  <c r="M107" i="5"/>
  <c r="M106" i="5"/>
  <c r="M105" i="5"/>
  <c r="M104" i="5"/>
  <c r="M103" i="5"/>
  <c r="M102" i="5"/>
  <c r="M101" i="5"/>
  <c r="M100" i="5"/>
  <c r="M99" i="5"/>
  <c r="M98" i="5"/>
  <c r="M97" i="5"/>
  <c r="M96" i="5"/>
  <c r="M94" i="5"/>
  <c r="M93" i="5"/>
  <c r="M92" i="5"/>
  <c r="M91" i="5"/>
  <c r="M90" i="5"/>
  <c r="M89" i="5"/>
  <c r="M88" i="5"/>
  <c r="M87" i="5"/>
  <c r="M86" i="5"/>
  <c r="M85" i="5"/>
  <c r="M84" i="5"/>
  <c r="M83" i="5"/>
  <c r="O82" i="5"/>
  <c r="E6" i="1" s="1"/>
  <c r="M80" i="5"/>
  <c r="M79" i="5"/>
  <c r="M78" i="5"/>
  <c r="M77" i="5"/>
  <c r="M76" i="5"/>
  <c r="M75" i="5"/>
  <c r="M74" i="5"/>
  <c r="M73" i="5"/>
  <c r="M72" i="5"/>
  <c r="M71" i="5"/>
  <c r="M70" i="5"/>
  <c r="M69" i="5"/>
  <c r="M67" i="5"/>
  <c r="M66" i="5"/>
  <c r="M65" i="5"/>
  <c r="M64" i="5"/>
  <c r="M63" i="5"/>
  <c r="M62" i="5"/>
  <c r="M61" i="5"/>
  <c r="M60" i="5"/>
  <c r="M59" i="5"/>
  <c r="M58" i="5"/>
  <c r="M57" i="5"/>
  <c r="M56" i="5"/>
  <c r="O55" i="5"/>
  <c r="M53" i="5"/>
  <c r="M52" i="5"/>
  <c r="M51" i="5"/>
  <c r="M50" i="5"/>
  <c r="M49" i="5"/>
  <c r="M48" i="5"/>
  <c r="M47" i="5"/>
  <c r="M46" i="5"/>
  <c r="M45" i="5"/>
  <c r="M44" i="5"/>
  <c r="M43" i="5"/>
  <c r="M42" i="5"/>
  <c r="M40" i="5"/>
  <c r="M39" i="5"/>
  <c r="M38" i="5"/>
  <c r="M37" i="5"/>
  <c r="M36" i="5"/>
  <c r="M35" i="5"/>
  <c r="M34" i="5"/>
  <c r="M33" i="5"/>
  <c r="M32" i="5"/>
  <c r="M31" i="5"/>
  <c r="M30" i="5"/>
  <c r="M29" i="5"/>
  <c r="O28" i="5"/>
  <c r="M25" i="5"/>
  <c r="M13" i="5"/>
  <c r="M12" i="5"/>
  <c r="M11" i="5"/>
  <c r="M10" i="5"/>
  <c r="M9" i="5"/>
  <c r="M8" i="5"/>
  <c r="M7" i="5"/>
  <c r="M6" i="5"/>
  <c r="M5" i="5"/>
  <c r="M4" i="5"/>
  <c r="M3" i="5"/>
  <c r="M2" i="5"/>
  <c r="O811" i="4"/>
  <c r="M809" i="4"/>
  <c r="M808" i="4"/>
  <c r="M807" i="4"/>
  <c r="M806" i="4"/>
  <c r="M805" i="4"/>
  <c r="M804" i="4"/>
  <c r="M803" i="4"/>
  <c r="M802" i="4"/>
  <c r="M801" i="4"/>
  <c r="M800" i="4"/>
  <c r="M799" i="4"/>
  <c r="M798" i="4"/>
  <c r="M796" i="4"/>
  <c r="M795" i="4"/>
  <c r="M794" i="4"/>
  <c r="M793" i="4"/>
  <c r="M792" i="4"/>
  <c r="M791" i="4"/>
  <c r="M790" i="4"/>
  <c r="M789" i="4"/>
  <c r="M788" i="4"/>
  <c r="M787" i="4"/>
  <c r="M786" i="4"/>
  <c r="M785" i="4"/>
  <c r="O784" i="4"/>
  <c r="M782" i="4"/>
  <c r="M781" i="4"/>
  <c r="M780" i="4"/>
  <c r="M779" i="4"/>
  <c r="M778" i="4"/>
  <c r="M777" i="4"/>
  <c r="M776" i="4"/>
  <c r="M775" i="4"/>
  <c r="M774" i="4"/>
  <c r="M773" i="4"/>
  <c r="M772" i="4"/>
  <c r="M771" i="4"/>
  <c r="M769" i="4"/>
  <c r="M768" i="4"/>
  <c r="M767" i="4"/>
  <c r="M766" i="4"/>
  <c r="M765" i="4"/>
  <c r="M764" i="4"/>
  <c r="M763" i="4"/>
  <c r="M762" i="4"/>
  <c r="M761" i="4"/>
  <c r="M760" i="4"/>
  <c r="M759" i="4"/>
  <c r="M758" i="4"/>
  <c r="O757" i="4"/>
  <c r="M755" i="4"/>
  <c r="M754" i="4"/>
  <c r="M753" i="4"/>
  <c r="M752" i="4"/>
  <c r="M751" i="4"/>
  <c r="M750" i="4"/>
  <c r="M749" i="4"/>
  <c r="M748" i="4"/>
  <c r="M747" i="4"/>
  <c r="M746" i="4"/>
  <c r="M745" i="4"/>
  <c r="M744" i="4"/>
  <c r="M742" i="4"/>
  <c r="M741" i="4"/>
  <c r="M740" i="4"/>
  <c r="M739" i="4"/>
  <c r="M738" i="4"/>
  <c r="M737" i="4"/>
  <c r="M736" i="4"/>
  <c r="M735" i="4"/>
  <c r="M734" i="4"/>
  <c r="M733" i="4"/>
  <c r="M732" i="4"/>
  <c r="M731" i="4"/>
  <c r="O730" i="4"/>
  <c r="D30" i="1" s="1"/>
  <c r="M728" i="4"/>
  <c r="M727" i="4"/>
  <c r="M726" i="4"/>
  <c r="M725" i="4"/>
  <c r="M724" i="4"/>
  <c r="M723" i="4"/>
  <c r="M722" i="4"/>
  <c r="M721" i="4"/>
  <c r="M720" i="4"/>
  <c r="M719" i="4"/>
  <c r="M718" i="4"/>
  <c r="M717" i="4"/>
  <c r="M715" i="4"/>
  <c r="M714" i="4"/>
  <c r="M713" i="4"/>
  <c r="M712" i="4"/>
  <c r="M711" i="4"/>
  <c r="M710" i="4"/>
  <c r="M709" i="4"/>
  <c r="M708" i="4"/>
  <c r="M707" i="4"/>
  <c r="M706" i="4"/>
  <c r="M705" i="4"/>
  <c r="M704" i="4"/>
  <c r="O703" i="4"/>
  <c r="D29" i="1" s="1"/>
  <c r="M701" i="4"/>
  <c r="M700" i="4"/>
  <c r="M699" i="4"/>
  <c r="M698" i="4"/>
  <c r="M697" i="4"/>
  <c r="M696" i="4"/>
  <c r="M695" i="4"/>
  <c r="M694" i="4"/>
  <c r="M693" i="4"/>
  <c r="M692" i="4"/>
  <c r="M691" i="4"/>
  <c r="M690" i="4"/>
  <c r="M688" i="4"/>
  <c r="M687" i="4"/>
  <c r="M686" i="4"/>
  <c r="M685" i="4"/>
  <c r="M684" i="4"/>
  <c r="M683" i="4"/>
  <c r="M682" i="4"/>
  <c r="M681" i="4"/>
  <c r="M680" i="4"/>
  <c r="M679" i="4"/>
  <c r="M678" i="4"/>
  <c r="M677" i="4"/>
  <c r="O676" i="4"/>
  <c r="D28" i="1" s="1"/>
  <c r="M674" i="4"/>
  <c r="M673" i="4"/>
  <c r="M672" i="4"/>
  <c r="M671" i="4"/>
  <c r="M670" i="4"/>
  <c r="M669" i="4"/>
  <c r="M668" i="4"/>
  <c r="M667" i="4"/>
  <c r="M666" i="4"/>
  <c r="M665" i="4"/>
  <c r="M664" i="4"/>
  <c r="M663" i="4"/>
  <c r="M661" i="4"/>
  <c r="M660" i="4"/>
  <c r="M659" i="4"/>
  <c r="M658" i="4"/>
  <c r="M657" i="4"/>
  <c r="M656" i="4"/>
  <c r="M655" i="4"/>
  <c r="M654" i="4"/>
  <c r="M653" i="4"/>
  <c r="M652" i="4"/>
  <c r="M651" i="4"/>
  <c r="M650" i="4"/>
  <c r="O649" i="4"/>
  <c r="D27" i="1" s="1"/>
  <c r="M647" i="4"/>
  <c r="M646" i="4"/>
  <c r="M645" i="4"/>
  <c r="M644" i="4"/>
  <c r="M643" i="4"/>
  <c r="M642" i="4"/>
  <c r="M641" i="4"/>
  <c r="M640" i="4"/>
  <c r="M639" i="4"/>
  <c r="M638" i="4"/>
  <c r="M637" i="4"/>
  <c r="M636" i="4"/>
  <c r="M634" i="4"/>
  <c r="M633" i="4"/>
  <c r="M632" i="4"/>
  <c r="M631" i="4"/>
  <c r="M630" i="4"/>
  <c r="M629" i="4"/>
  <c r="M628" i="4"/>
  <c r="M627" i="4"/>
  <c r="M626" i="4"/>
  <c r="M625" i="4"/>
  <c r="M624" i="4"/>
  <c r="M623" i="4"/>
  <c r="O622" i="4"/>
  <c r="D26" i="1" s="1"/>
  <c r="M620" i="4"/>
  <c r="M619" i="4"/>
  <c r="M618" i="4"/>
  <c r="M617" i="4"/>
  <c r="M616" i="4"/>
  <c r="M615" i="4"/>
  <c r="M614" i="4"/>
  <c r="M613" i="4"/>
  <c r="M612" i="4"/>
  <c r="M611" i="4"/>
  <c r="M610" i="4"/>
  <c r="M609" i="4"/>
  <c r="M607" i="4"/>
  <c r="M606" i="4"/>
  <c r="M605" i="4"/>
  <c r="M604" i="4"/>
  <c r="M603" i="4"/>
  <c r="M602" i="4"/>
  <c r="M601" i="4"/>
  <c r="M600" i="4"/>
  <c r="M599" i="4"/>
  <c r="M598" i="4"/>
  <c r="M597" i="4"/>
  <c r="M596" i="4"/>
  <c r="O595" i="4"/>
  <c r="M593" i="4"/>
  <c r="M592" i="4"/>
  <c r="M591" i="4"/>
  <c r="M590" i="4"/>
  <c r="M589" i="4"/>
  <c r="M588" i="4"/>
  <c r="M587" i="4"/>
  <c r="M586" i="4"/>
  <c r="M585" i="4"/>
  <c r="M584" i="4"/>
  <c r="M583" i="4"/>
  <c r="M582" i="4"/>
  <c r="M580" i="4"/>
  <c r="M579" i="4"/>
  <c r="M578" i="4"/>
  <c r="M577" i="4"/>
  <c r="M576" i="4"/>
  <c r="M575" i="4"/>
  <c r="M574" i="4"/>
  <c r="M573" i="4"/>
  <c r="M572" i="4"/>
  <c r="M571" i="4"/>
  <c r="M570" i="4"/>
  <c r="M569" i="4"/>
  <c r="O568" i="4"/>
  <c r="M566" i="4"/>
  <c r="M565" i="4"/>
  <c r="M564" i="4"/>
  <c r="M563" i="4"/>
  <c r="M562" i="4"/>
  <c r="M561" i="4"/>
  <c r="M560" i="4"/>
  <c r="M559" i="4"/>
  <c r="M558" i="4"/>
  <c r="M557" i="4"/>
  <c r="M556" i="4"/>
  <c r="M555" i="4"/>
  <c r="M553" i="4"/>
  <c r="M552" i="4"/>
  <c r="M551" i="4"/>
  <c r="M550" i="4"/>
  <c r="M549" i="4"/>
  <c r="M548" i="4"/>
  <c r="M547" i="4"/>
  <c r="M546" i="4"/>
  <c r="M545" i="4"/>
  <c r="M544" i="4"/>
  <c r="M543" i="4"/>
  <c r="M542" i="4"/>
  <c r="O541" i="4"/>
  <c r="D23" i="1" s="1"/>
  <c r="M539" i="4"/>
  <c r="M538" i="4"/>
  <c r="M537" i="4"/>
  <c r="M536" i="4"/>
  <c r="M535" i="4"/>
  <c r="M534" i="4"/>
  <c r="M533" i="4"/>
  <c r="M532" i="4"/>
  <c r="M531" i="4"/>
  <c r="M530" i="4"/>
  <c r="M529" i="4"/>
  <c r="M528" i="4"/>
  <c r="M526" i="4"/>
  <c r="M525" i="4"/>
  <c r="M524" i="4"/>
  <c r="M523" i="4"/>
  <c r="M522" i="4"/>
  <c r="M521" i="4"/>
  <c r="M520" i="4"/>
  <c r="M519" i="4"/>
  <c r="M518" i="4"/>
  <c r="M517" i="4"/>
  <c r="M516" i="4"/>
  <c r="M515" i="4"/>
  <c r="O514" i="4"/>
  <c r="D22" i="1" s="1"/>
  <c r="G22" i="1" s="1"/>
  <c r="M512" i="4"/>
  <c r="M511" i="4"/>
  <c r="M510" i="4"/>
  <c r="M509" i="4"/>
  <c r="M508" i="4"/>
  <c r="M507" i="4"/>
  <c r="M506" i="4"/>
  <c r="M505" i="4"/>
  <c r="M504" i="4"/>
  <c r="M503" i="4"/>
  <c r="M502" i="4"/>
  <c r="M501" i="4"/>
  <c r="M499" i="4"/>
  <c r="M498" i="4"/>
  <c r="M497" i="4"/>
  <c r="M496" i="4"/>
  <c r="M495" i="4"/>
  <c r="M494" i="4"/>
  <c r="M493" i="4"/>
  <c r="M492" i="4"/>
  <c r="M491" i="4"/>
  <c r="M490" i="4"/>
  <c r="M489" i="4"/>
  <c r="M488" i="4"/>
  <c r="O487" i="4"/>
  <c r="M485" i="4"/>
  <c r="M484" i="4"/>
  <c r="M483" i="4"/>
  <c r="M482" i="4"/>
  <c r="M481" i="4"/>
  <c r="M480" i="4"/>
  <c r="M479" i="4"/>
  <c r="M478" i="4"/>
  <c r="M477" i="4"/>
  <c r="M476" i="4"/>
  <c r="M475" i="4"/>
  <c r="M474" i="4"/>
  <c r="M472" i="4"/>
  <c r="M471" i="4"/>
  <c r="M470" i="4"/>
  <c r="M469" i="4"/>
  <c r="M468" i="4"/>
  <c r="M467" i="4"/>
  <c r="M466" i="4"/>
  <c r="M465" i="4"/>
  <c r="M464" i="4"/>
  <c r="M463" i="4"/>
  <c r="M462" i="4"/>
  <c r="M461" i="4"/>
  <c r="O460" i="4"/>
  <c r="D20" i="1" s="1"/>
  <c r="M458" i="4"/>
  <c r="M457" i="4"/>
  <c r="M456" i="4"/>
  <c r="M455" i="4"/>
  <c r="M454" i="4"/>
  <c r="M453" i="4"/>
  <c r="M452" i="4"/>
  <c r="M451" i="4"/>
  <c r="M450" i="4"/>
  <c r="M449" i="4"/>
  <c r="M448" i="4"/>
  <c r="M447" i="4"/>
  <c r="M445" i="4"/>
  <c r="M444" i="4"/>
  <c r="M443" i="4"/>
  <c r="M442" i="4"/>
  <c r="M441" i="4"/>
  <c r="M440" i="4"/>
  <c r="M439" i="4"/>
  <c r="M438" i="4"/>
  <c r="M437" i="4"/>
  <c r="M436" i="4"/>
  <c r="M435" i="4"/>
  <c r="M434" i="4"/>
  <c r="O433" i="4"/>
  <c r="M431" i="4"/>
  <c r="M430" i="4"/>
  <c r="M429" i="4"/>
  <c r="M428" i="4"/>
  <c r="M427" i="4"/>
  <c r="M426" i="4"/>
  <c r="M425" i="4"/>
  <c r="M424" i="4"/>
  <c r="M423" i="4"/>
  <c r="M422" i="4"/>
  <c r="M421" i="4"/>
  <c r="M420" i="4"/>
  <c r="M418" i="4"/>
  <c r="M417" i="4"/>
  <c r="M416" i="4"/>
  <c r="M415" i="4"/>
  <c r="M414" i="4"/>
  <c r="M413" i="4"/>
  <c r="M412" i="4"/>
  <c r="M411" i="4"/>
  <c r="M410" i="4"/>
  <c r="M409" i="4"/>
  <c r="M408" i="4"/>
  <c r="M407" i="4"/>
  <c r="O406" i="4"/>
  <c r="M404" i="4"/>
  <c r="M403" i="4"/>
  <c r="M402" i="4"/>
  <c r="M401" i="4"/>
  <c r="M400" i="4"/>
  <c r="M399" i="4"/>
  <c r="M398" i="4"/>
  <c r="M397" i="4"/>
  <c r="M396" i="4"/>
  <c r="M395" i="4"/>
  <c r="M394" i="4"/>
  <c r="M393" i="4"/>
  <c r="M391" i="4"/>
  <c r="M390" i="4"/>
  <c r="M389" i="4"/>
  <c r="M388" i="4"/>
  <c r="M387" i="4"/>
  <c r="M386" i="4"/>
  <c r="M385" i="4"/>
  <c r="M384" i="4"/>
  <c r="M383" i="4"/>
  <c r="M382" i="4"/>
  <c r="M381" i="4"/>
  <c r="M380" i="4"/>
  <c r="O379" i="4"/>
  <c r="M377" i="4"/>
  <c r="M376" i="4"/>
  <c r="M375" i="4"/>
  <c r="M374" i="4"/>
  <c r="M373" i="4"/>
  <c r="M372" i="4"/>
  <c r="M371" i="4"/>
  <c r="M370" i="4"/>
  <c r="M369" i="4"/>
  <c r="M368" i="4"/>
  <c r="M367" i="4"/>
  <c r="M366" i="4"/>
  <c r="M364" i="4"/>
  <c r="M363" i="4"/>
  <c r="M362" i="4"/>
  <c r="M361" i="4"/>
  <c r="M360" i="4"/>
  <c r="M359" i="4"/>
  <c r="M358" i="4"/>
  <c r="M357" i="4"/>
  <c r="M356" i="4"/>
  <c r="M355" i="4"/>
  <c r="M354" i="4"/>
  <c r="M353" i="4"/>
  <c r="O352" i="4"/>
  <c r="D16" i="1" s="1"/>
  <c r="M350" i="4"/>
  <c r="M349" i="4"/>
  <c r="M348" i="4"/>
  <c r="M347" i="4"/>
  <c r="M346" i="4"/>
  <c r="M345" i="4"/>
  <c r="M344" i="4"/>
  <c r="M343" i="4"/>
  <c r="M342" i="4"/>
  <c r="M341" i="4"/>
  <c r="M340" i="4"/>
  <c r="M339" i="4"/>
  <c r="M337" i="4"/>
  <c r="M336" i="4"/>
  <c r="M335" i="4"/>
  <c r="M334" i="4"/>
  <c r="M333" i="4"/>
  <c r="M332" i="4"/>
  <c r="M331" i="4"/>
  <c r="M330" i="4"/>
  <c r="M329" i="4"/>
  <c r="M328" i="4"/>
  <c r="M327" i="4"/>
  <c r="M326" i="4"/>
  <c r="O325" i="4"/>
  <c r="M323" i="4"/>
  <c r="M322" i="4"/>
  <c r="M321" i="4"/>
  <c r="M320" i="4"/>
  <c r="M319" i="4"/>
  <c r="M318" i="4"/>
  <c r="M317" i="4"/>
  <c r="M316" i="4"/>
  <c r="M315" i="4"/>
  <c r="M314" i="4"/>
  <c r="M313" i="4"/>
  <c r="M312" i="4"/>
  <c r="M310" i="4"/>
  <c r="M309" i="4"/>
  <c r="M308" i="4"/>
  <c r="M307" i="4"/>
  <c r="M306" i="4"/>
  <c r="M305" i="4"/>
  <c r="M304" i="4"/>
  <c r="M303" i="4"/>
  <c r="M302" i="4"/>
  <c r="M301" i="4"/>
  <c r="M300" i="4"/>
  <c r="M299" i="4"/>
  <c r="O298" i="4"/>
  <c r="M296" i="4"/>
  <c r="M295" i="4"/>
  <c r="M294" i="4"/>
  <c r="M293" i="4"/>
  <c r="M292" i="4"/>
  <c r="M291" i="4"/>
  <c r="M290" i="4"/>
  <c r="M289" i="4"/>
  <c r="M288" i="4"/>
  <c r="M287" i="4"/>
  <c r="M286" i="4"/>
  <c r="M285" i="4"/>
  <c r="M283" i="4"/>
  <c r="M282" i="4"/>
  <c r="M281" i="4"/>
  <c r="M280" i="4"/>
  <c r="M279" i="4"/>
  <c r="M278" i="4"/>
  <c r="M277" i="4"/>
  <c r="M276" i="4"/>
  <c r="M275" i="4"/>
  <c r="M274" i="4"/>
  <c r="M273" i="4"/>
  <c r="M272" i="4"/>
  <c r="O271" i="4"/>
  <c r="M269" i="4"/>
  <c r="M268" i="4"/>
  <c r="M267" i="4"/>
  <c r="M266" i="4"/>
  <c r="M265" i="4"/>
  <c r="M264" i="4"/>
  <c r="M263" i="4"/>
  <c r="M262" i="4"/>
  <c r="M261" i="4"/>
  <c r="M260" i="4"/>
  <c r="M259" i="4"/>
  <c r="M258" i="4"/>
  <c r="M256" i="4"/>
  <c r="M255" i="4"/>
  <c r="M254" i="4"/>
  <c r="M253" i="4"/>
  <c r="M252" i="4"/>
  <c r="M251" i="4"/>
  <c r="M250" i="4"/>
  <c r="M249" i="4"/>
  <c r="M248" i="4"/>
  <c r="M247" i="4"/>
  <c r="M246" i="4"/>
  <c r="M245" i="4"/>
  <c r="O244" i="4"/>
  <c r="D12" i="1" s="1"/>
  <c r="M242" i="4"/>
  <c r="M241" i="4"/>
  <c r="M240" i="4"/>
  <c r="M239" i="4"/>
  <c r="M238" i="4"/>
  <c r="M237" i="4"/>
  <c r="M236" i="4"/>
  <c r="M235" i="4"/>
  <c r="M234" i="4"/>
  <c r="M233" i="4"/>
  <c r="M232" i="4"/>
  <c r="M231" i="4"/>
  <c r="M229" i="4"/>
  <c r="M228" i="4"/>
  <c r="M227" i="4"/>
  <c r="M226" i="4"/>
  <c r="M225" i="4"/>
  <c r="M224" i="4"/>
  <c r="M223" i="4"/>
  <c r="M222" i="4"/>
  <c r="M221" i="4"/>
  <c r="M220" i="4"/>
  <c r="M219" i="4"/>
  <c r="M218" i="4"/>
  <c r="O217" i="4"/>
  <c r="D11" i="1" s="1"/>
  <c r="M215" i="4"/>
  <c r="M214" i="4"/>
  <c r="M213" i="4"/>
  <c r="M212" i="4"/>
  <c r="M211" i="4"/>
  <c r="M210" i="4"/>
  <c r="M209" i="4"/>
  <c r="M208" i="4"/>
  <c r="M207" i="4"/>
  <c r="M206" i="4"/>
  <c r="M205" i="4"/>
  <c r="M204" i="4"/>
  <c r="M202" i="4"/>
  <c r="M201" i="4"/>
  <c r="M200" i="4"/>
  <c r="M199" i="4"/>
  <c r="M198" i="4"/>
  <c r="M197" i="4"/>
  <c r="M196" i="4"/>
  <c r="M195" i="4"/>
  <c r="M194" i="4"/>
  <c r="M193" i="4"/>
  <c r="M192" i="4"/>
  <c r="M191" i="4"/>
  <c r="O190" i="4"/>
  <c r="M188" i="4"/>
  <c r="M187" i="4"/>
  <c r="M186" i="4"/>
  <c r="M185" i="4"/>
  <c r="M184" i="4"/>
  <c r="M183" i="4"/>
  <c r="M182" i="4"/>
  <c r="M181" i="4"/>
  <c r="M180" i="4"/>
  <c r="M179" i="4"/>
  <c r="M178" i="4"/>
  <c r="M177" i="4"/>
  <c r="M175" i="4"/>
  <c r="M174" i="4"/>
  <c r="M173" i="4"/>
  <c r="M172" i="4"/>
  <c r="M171" i="4"/>
  <c r="M170" i="4"/>
  <c r="M169" i="4"/>
  <c r="M168" i="4"/>
  <c r="M167" i="4"/>
  <c r="M166" i="4"/>
  <c r="M165" i="4"/>
  <c r="M164" i="4"/>
  <c r="O163" i="4"/>
  <c r="M161" i="4"/>
  <c r="M160" i="4"/>
  <c r="M159" i="4"/>
  <c r="M158" i="4"/>
  <c r="M157" i="4"/>
  <c r="M156" i="4"/>
  <c r="M155" i="4"/>
  <c r="M154" i="4"/>
  <c r="M153" i="4"/>
  <c r="M152" i="4"/>
  <c r="M151" i="4"/>
  <c r="M150" i="4"/>
  <c r="M148" i="4"/>
  <c r="M147" i="4"/>
  <c r="M146" i="4"/>
  <c r="M145" i="4"/>
  <c r="M144" i="4"/>
  <c r="M143" i="4"/>
  <c r="M142" i="4"/>
  <c r="M141" i="4"/>
  <c r="M140" i="4"/>
  <c r="M139" i="4"/>
  <c r="M138" i="4"/>
  <c r="M137" i="4"/>
  <c r="O136" i="4"/>
  <c r="M134" i="4"/>
  <c r="M133" i="4"/>
  <c r="M132" i="4"/>
  <c r="M131" i="4"/>
  <c r="M130" i="4"/>
  <c r="M129" i="4"/>
  <c r="M128" i="4"/>
  <c r="M127" i="4"/>
  <c r="M126" i="4"/>
  <c r="M125" i="4"/>
  <c r="M124" i="4"/>
  <c r="M123" i="4"/>
  <c r="M121" i="4"/>
  <c r="M120" i="4"/>
  <c r="M119" i="4"/>
  <c r="M118" i="4"/>
  <c r="M117" i="4"/>
  <c r="M116" i="4"/>
  <c r="M115" i="4"/>
  <c r="M114" i="4"/>
  <c r="M113" i="4"/>
  <c r="M112" i="4"/>
  <c r="M111" i="4"/>
  <c r="M110" i="4"/>
  <c r="O109" i="4"/>
  <c r="M107" i="4"/>
  <c r="M106" i="4"/>
  <c r="M105" i="4"/>
  <c r="M104" i="4"/>
  <c r="M103" i="4"/>
  <c r="M102" i="4"/>
  <c r="M101" i="4"/>
  <c r="M100" i="4"/>
  <c r="M99" i="4"/>
  <c r="M98" i="4"/>
  <c r="M97" i="4"/>
  <c r="M96" i="4"/>
  <c r="M94" i="4"/>
  <c r="M93" i="4"/>
  <c r="M92" i="4"/>
  <c r="M91" i="4"/>
  <c r="M90" i="4"/>
  <c r="M89" i="4"/>
  <c r="M88" i="4"/>
  <c r="M87" i="4"/>
  <c r="M86" i="4"/>
  <c r="M85" i="4"/>
  <c r="M84" i="4"/>
  <c r="M83" i="4"/>
  <c r="O82" i="4"/>
  <c r="M80" i="4"/>
  <c r="M79" i="4"/>
  <c r="M78" i="4"/>
  <c r="M77" i="4"/>
  <c r="M76" i="4"/>
  <c r="M75" i="4"/>
  <c r="M74" i="4"/>
  <c r="M73" i="4"/>
  <c r="M72" i="4"/>
  <c r="M71" i="4"/>
  <c r="M70" i="4"/>
  <c r="M69" i="4"/>
  <c r="M67" i="4"/>
  <c r="M66" i="4"/>
  <c r="M65" i="4"/>
  <c r="M64" i="4"/>
  <c r="M63" i="4"/>
  <c r="M62" i="4"/>
  <c r="M61" i="4"/>
  <c r="M60" i="4"/>
  <c r="M59" i="4"/>
  <c r="M58" i="4"/>
  <c r="M57" i="4"/>
  <c r="M56" i="4"/>
  <c r="O55" i="4"/>
  <c r="M53" i="4"/>
  <c r="M52" i="4"/>
  <c r="M51" i="4"/>
  <c r="M50" i="4"/>
  <c r="M49" i="4"/>
  <c r="M48" i="4"/>
  <c r="M47" i="4"/>
  <c r="M46" i="4"/>
  <c r="M45" i="4"/>
  <c r="M44" i="4"/>
  <c r="M43" i="4"/>
  <c r="M42" i="4"/>
  <c r="M40" i="4"/>
  <c r="M39" i="4"/>
  <c r="M38" i="4"/>
  <c r="M37" i="4"/>
  <c r="M36" i="4"/>
  <c r="M35" i="4"/>
  <c r="M34" i="4"/>
  <c r="M33" i="4"/>
  <c r="M32" i="4"/>
  <c r="M31" i="4"/>
  <c r="M30" i="4"/>
  <c r="M29" i="4"/>
  <c r="D4" i="1"/>
  <c r="M26" i="4"/>
  <c r="M13" i="4"/>
  <c r="M12" i="4"/>
  <c r="M11" i="4"/>
  <c r="M10" i="4"/>
  <c r="M9" i="4"/>
  <c r="M8" i="4"/>
  <c r="M7" i="4"/>
  <c r="M6" i="4"/>
  <c r="M5" i="4"/>
  <c r="M4" i="4"/>
  <c r="M3" i="4"/>
  <c r="M2" i="4"/>
  <c r="O811" i="3"/>
  <c r="C33" i="1" s="1"/>
  <c r="M809" i="3"/>
  <c r="M808" i="3"/>
  <c r="M807" i="3"/>
  <c r="M806" i="3"/>
  <c r="M805" i="3"/>
  <c r="M804" i="3"/>
  <c r="M803" i="3"/>
  <c r="M802" i="3"/>
  <c r="M801" i="3"/>
  <c r="M800" i="3"/>
  <c r="M799" i="3"/>
  <c r="M798" i="3"/>
  <c r="M796" i="3"/>
  <c r="M795" i="3"/>
  <c r="M794" i="3"/>
  <c r="M793" i="3"/>
  <c r="M792" i="3"/>
  <c r="M791" i="3"/>
  <c r="M790" i="3"/>
  <c r="M789" i="3"/>
  <c r="M788" i="3"/>
  <c r="M787" i="3"/>
  <c r="M786" i="3"/>
  <c r="M785" i="3"/>
  <c r="O784" i="3"/>
  <c r="C32" i="1" s="1"/>
  <c r="M782" i="3"/>
  <c r="M781" i="3"/>
  <c r="M780" i="3"/>
  <c r="M779" i="3"/>
  <c r="M778" i="3"/>
  <c r="M777" i="3"/>
  <c r="M776" i="3"/>
  <c r="M775" i="3"/>
  <c r="M774" i="3"/>
  <c r="M773" i="3"/>
  <c r="M772" i="3"/>
  <c r="M771" i="3"/>
  <c r="M769" i="3"/>
  <c r="M768" i="3"/>
  <c r="M767" i="3"/>
  <c r="M766" i="3"/>
  <c r="M765" i="3"/>
  <c r="M764" i="3"/>
  <c r="M763" i="3"/>
  <c r="M762" i="3"/>
  <c r="M761" i="3"/>
  <c r="M760" i="3"/>
  <c r="M759" i="3"/>
  <c r="M758" i="3"/>
  <c r="O757" i="3"/>
  <c r="M755" i="3"/>
  <c r="M754" i="3"/>
  <c r="M753" i="3"/>
  <c r="M752" i="3"/>
  <c r="M751" i="3"/>
  <c r="M750" i="3"/>
  <c r="M749" i="3"/>
  <c r="M748" i="3"/>
  <c r="M747" i="3"/>
  <c r="M746" i="3"/>
  <c r="M745" i="3"/>
  <c r="M744" i="3"/>
  <c r="M742" i="3"/>
  <c r="M741" i="3"/>
  <c r="M740" i="3"/>
  <c r="M739" i="3"/>
  <c r="M738" i="3"/>
  <c r="M737" i="3"/>
  <c r="M736" i="3"/>
  <c r="M735" i="3"/>
  <c r="M734" i="3"/>
  <c r="M733" i="3"/>
  <c r="M732" i="3"/>
  <c r="M731" i="3"/>
  <c r="O730" i="3"/>
  <c r="C30" i="1" s="1"/>
  <c r="M728" i="3"/>
  <c r="M727" i="3"/>
  <c r="M726" i="3"/>
  <c r="M725" i="3"/>
  <c r="M724" i="3"/>
  <c r="M723" i="3"/>
  <c r="M722" i="3"/>
  <c r="M721" i="3"/>
  <c r="M720" i="3"/>
  <c r="M719" i="3"/>
  <c r="M718" i="3"/>
  <c r="M717" i="3"/>
  <c r="M715" i="3"/>
  <c r="M714" i="3"/>
  <c r="M713" i="3"/>
  <c r="M712" i="3"/>
  <c r="M711" i="3"/>
  <c r="M710" i="3"/>
  <c r="M709" i="3"/>
  <c r="M708" i="3"/>
  <c r="M707" i="3"/>
  <c r="M706" i="3"/>
  <c r="M705" i="3"/>
  <c r="M704" i="3"/>
  <c r="O703" i="3"/>
  <c r="C29" i="1" s="1"/>
  <c r="M701" i="3"/>
  <c r="M700" i="3"/>
  <c r="M699" i="3"/>
  <c r="M698" i="3"/>
  <c r="M697" i="3"/>
  <c r="M696" i="3"/>
  <c r="M695" i="3"/>
  <c r="M694" i="3"/>
  <c r="M693" i="3"/>
  <c r="M692" i="3"/>
  <c r="M691" i="3"/>
  <c r="M690" i="3"/>
  <c r="M688" i="3"/>
  <c r="M687" i="3"/>
  <c r="M686" i="3"/>
  <c r="M685" i="3"/>
  <c r="M684" i="3"/>
  <c r="M683" i="3"/>
  <c r="M682" i="3"/>
  <c r="M681" i="3"/>
  <c r="M680" i="3"/>
  <c r="M679" i="3"/>
  <c r="M678" i="3"/>
  <c r="M677" i="3"/>
  <c r="O676" i="3"/>
  <c r="C28" i="1" s="1"/>
  <c r="M674" i="3"/>
  <c r="M673" i="3"/>
  <c r="M672" i="3"/>
  <c r="M671" i="3"/>
  <c r="M670" i="3"/>
  <c r="M669" i="3"/>
  <c r="M668" i="3"/>
  <c r="M667" i="3"/>
  <c r="M666" i="3"/>
  <c r="M665" i="3"/>
  <c r="M664" i="3"/>
  <c r="M663" i="3"/>
  <c r="M661" i="3"/>
  <c r="M660" i="3"/>
  <c r="M659" i="3"/>
  <c r="M658" i="3"/>
  <c r="M657" i="3"/>
  <c r="M656" i="3"/>
  <c r="M655" i="3"/>
  <c r="M654" i="3"/>
  <c r="M653" i="3"/>
  <c r="M652" i="3"/>
  <c r="M651" i="3"/>
  <c r="M650" i="3"/>
  <c r="O649" i="3"/>
  <c r="M647" i="3"/>
  <c r="M646" i="3"/>
  <c r="M645" i="3"/>
  <c r="M644" i="3"/>
  <c r="M643" i="3"/>
  <c r="M642" i="3"/>
  <c r="M641" i="3"/>
  <c r="M640" i="3"/>
  <c r="M639" i="3"/>
  <c r="M638" i="3"/>
  <c r="M637" i="3"/>
  <c r="M636" i="3"/>
  <c r="M634" i="3"/>
  <c r="M633" i="3"/>
  <c r="M632" i="3"/>
  <c r="M631" i="3"/>
  <c r="M630" i="3"/>
  <c r="M629" i="3"/>
  <c r="M628" i="3"/>
  <c r="M627" i="3"/>
  <c r="M626" i="3"/>
  <c r="M625" i="3"/>
  <c r="M624" i="3"/>
  <c r="M623" i="3"/>
  <c r="O622" i="3"/>
  <c r="M620" i="3"/>
  <c r="M619" i="3"/>
  <c r="M618" i="3"/>
  <c r="M617" i="3"/>
  <c r="M616" i="3"/>
  <c r="M615" i="3"/>
  <c r="M614" i="3"/>
  <c r="M613" i="3"/>
  <c r="M612" i="3"/>
  <c r="M611" i="3"/>
  <c r="M610" i="3"/>
  <c r="M609" i="3"/>
  <c r="M607" i="3"/>
  <c r="M606" i="3"/>
  <c r="M605" i="3"/>
  <c r="M604" i="3"/>
  <c r="M603" i="3"/>
  <c r="M602" i="3"/>
  <c r="M601" i="3"/>
  <c r="M600" i="3"/>
  <c r="M599" i="3"/>
  <c r="M598" i="3"/>
  <c r="M597" i="3"/>
  <c r="M596" i="3"/>
  <c r="O595" i="3"/>
  <c r="M593" i="3"/>
  <c r="M592" i="3"/>
  <c r="M591" i="3"/>
  <c r="M590" i="3"/>
  <c r="M589" i="3"/>
  <c r="M588" i="3"/>
  <c r="M587" i="3"/>
  <c r="M586" i="3"/>
  <c r="M585" i="3"/>
  <c r="M584" i="3"/>
  <c r="M583" i="3"/>
  <c r="M582" i="3"/>
  <c r="M580" i="3"/>
  <c r="M579" i="3"/>
  <c r="M578" i="3"/>
  <c r="M577" i="3"/>
  <c r="M576" i="3"/>
  <c r="M575" i="3"/>
  <c r="M574" i="3"/>
  <c r="M573" i="3"/>
  <c r="M572" i="3"/>
  <c r="M571" i="3"/>
  <c r="M570" i="3"/>
  <c r="M569" i="3"/>
  <c r="O568" i="3"/>
  <c r="C24" i="1" s="1"/>
  <c r="M566" i="3"/>
  <c r="M565" i="3"/>
  <c r="M564" i="3"/>
  <c r="M563" i="3"/>
  <c r="M562" i="3"/>
  <c r="M561" i="3"/>
  <c r="M560" i="3"/>
  <c r="M559" i="3"/>
  <c r="M558" i="3"/>
  <c r="M557" i="3"/>
  <c r="M556" i="3"/>
  <c r="M555" i="3"/>
  <c r="M553" i="3"/>
  <c r="M552" i="3"/>
  <c r="M551" i="3"/>
  <c r="M550" i="3"/>
  <c r="M549" i="3"/>
  <c r="M548" i="3"/>
  <c r="M547" i="3"/>
  <c r="M546" i="3"/>
  <c r="M545" i="3"/>
  <c r="M544" i="3"/>
  <c r="M543" i="3"/>
  <c r="M542" i="3"/>
  <c r="O541" i="3"/>
  <c r="C23" i="1" s="1"/>
  <c r="M539" i="3"/>
  <c r="M538" i="3"/>
  <c r="M537" i="3"/>
  <c r="M536" i="3"/>
  <c r="M535" i="3"/>
  <c r="M534" i="3"/>
  <c r="M533" i="3"/>
  <c r="M532" i="3"/>
  <c r="M531" i="3"/>
  <c r="M530" i="3"/>
  <c r="M529" i="3"/>
  <c r="M528" i="3"/>
  <c r="M526" i="3"/>
  <c r="M525" i="3"/>
  <c r="M524" i="3"/>
  <c r="M523" i="3"/>
  <c r="M522" i="3"/>
  <c r="M521" i="3"/>
  <c r="M520" i="3"/>
  <c r="M519" i="3"/>
  <c r="M518" i="3"/>
  <c r="M517" i="3"/>
  <c r="M516" i="3"/>
  <c r="M515" i="3"/>
  <c r="O514" i="3"/>
  <c r="C22" i="1" s="1"/>
  <c r="M512" i="3"/>
  <c r="M511" i="3"/>
  <c r="M510" i="3"/>
  <c r="M509" i="3"/>
  <c r="M508" i="3"/>
  <c r="M507" i="3"/>
  <c r="M506" i="3"/>
  <c r="M505" i="3"/>
  <c r="M504" i="3"/>
  <c r="M503" i="3"/>
  <c r="M502" i="3"/>
  <c r="M501" i="3"/>
  <c r="M499" i="3"/>
  <c r="M498" i="3"/>
  <c r="M497" i="3"/>
  <c r="M496" i="3"/>
  <c r="M495" i="3"/>
  <c r="M494" i="3"/>
  <c r="M493" i="3"/>
  <c r="M492" i="3"/>
  <c r="M491" i="3"/>
  <c r="M490" i="3"/>
  <c r="M489" i="3"/>
  <c r="M488" i="3"/>
  <c r="O487" i="3"/>
  <c r="M485" i="3"/>
  <c r="M484" i="3"/>
  <c r="M483" i="3"/>
  <c r="M482" i="3"/>
  <c r="M481" i="3"/>
  <c r="M480" i="3"/>
  <c r="M479" i="3"/>
  <c r="M478" i="3"/>
  <c r="M477" i="3"/>
  <c r="M476" i="3"/>
  <c r="M475" i="3"/>
  <c r="M474" i="3"/>
  <c r="M472" i="3"/>
  <c r="M471" i="3"/>
  <c r="M470" i="3"/>
  <c r="M469" i="3"/>
  <c r="M468" i="3"/>
  <c r="M467" i="3"/>
  <c r="M466" i="3"/>
  <c r="M465" i="3"/>
  <c r="M464" i="3"/>
  <c r="M463" i="3"/>
  <c r="M462" i="3"/>
  <c r="M461" i="3"/>
  <c r="O460" i="3"/>
  <c r="M458" i="3"/>
  <c r="M457" i="3"/>
  <c r="M456" i="3"/>
  <c r="M455" i="3"/>
  <c r="M454" i="3"/>
  <c r="M453" i="3"/>
  <c r="M452" i="3"/>
  <c r="M451" i="3"/>
  <c r="M450" i="3"/>
  <c r="M449" i="3"/>
  <c r="M448" i="3"/>
  <c r="M447" i="3"/>
  <c r="M445" i="3"/>
  <c r="M444" i="3"/>
  <c r="M443" i="3"/>
  <c r="M442" i="3"/>
  <c r="M441" i="3"/>
  <c r="M440" i="3"/>
  <c r="M439" i="3"/>
  <c r="M438" i="3"/>
  <c r="M437" i="3"/>
  <c r="M436" i="3"/>
  <c r="M435" i="3"/>
  <c r="M434" i="3"/>
  <c r="O433" i="3"/>
  <c r="M431" i="3"/>
  <c r="M430" i="3"/>
  <c r="M429" i="3"/>
  <c r="M428" i="3"/>
  <c r="M427" i="3"/>
  <c r="M426" i="3"/>
  <c r="M425" i="3"/>
  <c r="M424" i="3"/>
  <c r="M423" i="3"/>
  <c r="M422" i="3"/>
  <c r="M421" i="3"/>
  <c r="M420" i="3"/>
  <c r="M418" i="3"/>
  <c r="M417" i="3"/>
  <c r="M416" i="3"/>
  <c r="M415" i="3"/>
  <c r="M414" i="3"/>
  <c r="M413" i="3"/>
  <c r="M412" i="3"/>
  <c r="M411" i="3"/>
  <c r="M410" i="3"/>
  <c r="M409" i="3"/>
  <c r="M408" i="3"/>
  <c r="M407" i="3"/>
  <c r="O406" i="3"/>
  <c r="M404" i="3"/>
  <c r="M403" i="3"/>
  <c r="M402" i="3"/>
  <c r="M401" i="3"/>
  <c r="M400" i="3"/>
  <c r="M399" i="3"/>
  <c r="M398" i="3"/>
  <c r="M397" i="3"/>
  <c r="M396" i="3"/>
  <c r="M395" i="3"/>
  <c r="M394" i="3"/>
  <c r="M393" i="3"/>
  <c r="M391" i="3"/>
  <c r="M390" i="3"/>
  <c r="M389" i="3"/>
  <c r="M388" i="3"/>
  <c r="M387" i="3"/>
  <c r="M386" i="3"/>
  <c r="M385" i="3"/>
  <c r="M384" i="3"/>
  <c r="M383" i="3"/>
  <c r="M382" i="3"/>
  <c r="M381" i="3"/>
  <c r="M380" i="3"/>
  <c r="O379" i="3"/>
  <c r="C17" i="1" s="1"/>
  <c r="M377" i="3"/>
  <c r="M376" i="3"/>
  <c r="M375" i="3"/>
  <c r="M374" i="3"/>
  <c r="M373" i="3"/>
  <c r="M372" i="3"/>
  <c r="M371" i="3"/>
  <c r="M370" i="3"/>
  <c r="M369" i="3"/>
  <c r="M368" i="3"/>
  <c r="M367" i="3"/>
  <c r="M366" i="3"/>
  <c r="M364" i="3"/>
  <c r="M363" i="3"/>
  <c r="M362" i="3"/>
  <c r="M361" i="3"/>
  <c r="M360" i="3"/>
  <c r="M359" i="3"/>
  <c r="M358" i="3"/>
  <c r="M357" i="3"/>
  <c r="M356" i="3"/>
  <c r="M355" i="3"/>
  <c r="M354" i="3"/>
  <c r="M353" i="3"/>
  <c r="O352" i="3"/>
  <c r="M350" i="3"/>
  <c r="M349" i="3"/>
  <c r="M348" i="3"/>
  <c r="M347" i="3"/>
  <c r="M346" i="3"/>
  <c r="M345" i="3"/>
  <c r="M344" i="3"/>
  <c r="M343" i="3"/>
  <c r="M342" i="3"/>
  <c r="M341" i="3"/>
  <c r="M340" i="3"/>
  <c r="M339" i="3"/>
  <c r="M337" i="3"/>
  <c r="M336" i="3"/>
  <c r="M335" i="3"/>
  <c r="M334" i="3"/>
  <c r="M333" i="3"/>
  <c r="M332" i="3"/>
  <c r="M331" i="3"/>
  <c r="M330" i="3"/>
  <c r="M329" i="3"/>
  <c r="M328" i="3"/>
  <c r="M327" i="3"/>
  <c r="M326" i="3"/>
  <c r="O325" i="3"/>
  <c r="C15" i="1" s="1"/>
  <c r="M323" i="3"/>
  <c r="M322" i="3"/>
  <c r="M321" i="3"/>
  <c r="M320" i="3"/>
  <c r="M319" i="3"/>
  <c r="M318" i="3"/>
  <c r="M317" i="3"/>
  <c r="M316" i="3"/>
  <c r="M315" i="3"/>
  <c r="M314" i="3"/>
  <c r="M313" i="3"/>
  <c r="M312" i="3"/>
  <c r="M310" i="3"/>
  <c r="M309" i="3"/>
  <c r="M308" i="3"/>
  <c r="M307" i="3"/>
  <c r="M306" i="3"/>
  <c r="M305" i="3"/>
  <c r="M304" i="3"/>
  <c r="M303" i="3"/>
  <c r="M302" i="3"/>
  <c r="M301" i="3"/>
  <c r="M300" i="3"/>
  <c r="M299" i="3"/>
  <c r="O298" i="3"/>
  <c r="C14" i="1" s="1"/>
  <c r="M296" i="3"/>
  <c r="M295" i="3"/>
  <c r="M294" i="3"/>
  <c r="M293" i="3"/>
  <c r="M292" i="3"/>
  <c r="M291" i="3"/>
  <c r="M290" i="3"/>
  <c r="M289" i="3"/>
  <c r="M288" i="3"/>
  <c r="M287" i="3"/>
  <c r="M286" i="3"/>
  <c r="M285" i="3"/>
  <c r="M283" i="3"/>
  <c r="M282" i="3"/>
  <c r="M281" i="3"/>
  <c r="M280" i="3"/>
  <c r="M279" i="3"/>
  <c r="M278" i="3"/>
  <c r="M277" i="3"/>
  <c r="M276" i="3"/>
  <c r="M275" i="3"/>
  <c r="M274" i="3"/>
  <c r="M273" i="3"/>
  <c r="M272" i="3"/>
  <c r="O271" i="3"/>
  <c r="M269" i="3"/>
  <c r="M268" i="3"/>
  <c r="M267" i="3"/>
  <c r="M266" i="3"/>
  <c r="M265" i="3"/>
  <c r="M264" i="3"/>
  <c r="M263" i="3"/>
  <c r="M262" i="3"/>
  <c r="M261" i="3"/>
  <c r="M260" i="3"/>
  <c r="M259" i="3"/>
  <c r="M258" i="3"/>
  <c r="M256" i="3"/>
  <c r="M255" i="3"/>
  <c r="M254" i="3"/>
  <c r="M253" i="3"/>
  <c r="M252" i="3"/>
  <c r="M251" i="3"/>
  <c r="M250" i="3"/>
  <c r="M249" i="3"/>
  <c r="M248" i="3"/>
  <c r="M247" i="3"/>
  <c r="M246" i="3"/>
  <c r="M245" i="3"/>
  <c r="O244" i="3"/>
  <c r="M242" i="3"/>
  <c r="M241" i="3"/>
  <c r="M240" i="3"/>
  <c r="M239" i="3"/>
  <c r="M238" i="3"/>
  <c r="M237" i="3"/>
  <c r="M236" i="3"/>
  <c r="M235" i="3"/>
  <c r="M234" i="3"/>
  <c r="M233" i="3"/>
  <c r="M232" i="3"/>
  <c r="M231" i="3"/>
  <c r="M229" i="3"/>
  <c r="M228" i="3"/>
  <c r="M227" i="3"/>
  <c r="M226" i="3"/>
  <c r="M225" i="3"/>
  <c r="M224" i="3"/>
  <c r="M223" i="3"/>
  <c r="M222" i="3"/>
  <c r="M221" i="3"/>
  <c r="M220" i="3"/>
  <c r="M219" i="3"/>
  <c r="M218" i="3"/>
  <c r="O217" i="3"/>
  <c r="C11" i="1" s="1"/>
  <c r="M215" i="3"/>
  <c r="M214" i="3"/>
  <c r="M213" i="3"/>
  <c r="M212" i="3"/>
  <c r="M211" i="3"/>
  <c r="M210" i="3"/>
  <c r="M209" i="3"/>
  <c r="M208" i="3"/>
  <c r="M207" i="3"/>
  <c r="M206" i="3"/>
  <c r="M205" i="3"/>
  <c r="M204" i="3"/>
  <c r="M202" i="3"/>
  <c r="M201" i="3"/>
  <c r="M200" i="3"/>
  <c r="M199" i="3"/>
  <c r="M198" i="3"/>
  <c r="M197" i="3"/>
  <c r="M196" i="3"/>
  <c r="M195" i="3"/>
  <c r="M194" i="3"/>
  <c r="M193" i="3"/>
  <c r="M192" i="3"/>
  <c r="M191" i="3"/>
  <c r="O190" i="3"/>
  <c r="C10" i="1" s="1"/>
  <c r="M188" i="3"/>
  <c r="M187" i="3"/>
  <c r="M186" i="3"/>
  <c r="M185" i="3"/>
  <c r="M184" i="3"/>
  <c r="M183" i="3"/>
  <c r="M182" i="3"/>
  <c r="M181" i="3"/>
  <c r="M180" i="3"/>
  <c r="M179" i="3"/>
  <c r="M178" i="3"/>
  <c r="M177" i="3"/>
  <c r="M175" i="3"/>
  <c r="M174" i="3"/>
  <c r="M173" i="3"/>
  <c r="M172" i="3"/>
  <c r="M171" i="3"/>
  <c r="M170" i="3"/>
  <c r="M169" i="3"/>
  <c r="M168" i="3"/>
  <c r="M167" i="3"/>
  <c r="M166" i="3"/>
  <c r="M165" i="3"/>
  <c r="M164" i="3"/>
  <c r="O163" i="3"/>
  <c r="C9" i="1" s="1"/>
  <c r="M161" i="3"/>
  <c r="M160" i="3"/>
  <c r="M159" i="3"/>
  <c r="M158" i="3"/>
  <c r="M157" i="3"/>
  <c r="M156" i="3"/>
  <c r="M155" i="3"/>
  <c r="M154" i="3"/>
  <c r="M153" i="3"/>
  <c r="M152" i="3"/>
  <c r="M151" i="3"/>
  <c r="M150" i="3"/>
  <c r="M148" i="3"/>
  <c r="M147" i="3"/>
  <c r="M146" i="3"/>
  <c r="M145" i="3"/>
  <c r="M144" i="3"/>
  <c r="M143" i="3"/>
  <c r="M142" i="3"/>
  <c r="M141" i="3"/>
  <c r="M140" i="3"/>
  <c r="M139" i="3"/>
  <c r="M138" i="3"/>
  <c r="M137" i="3"/>
  <c r="O136" i="3"/>
  <c r="M134" i="3"/>
  <c r="M133" i="3"/>
  <c r="M132" i="3"/>
  <c r="M131" i="3"/>
  <c r="M130" i="3"/>
  <c r="M129" i="3"/>
  <c r="M128" i="3"/>
  <c r="M127" i="3"/>
  <c r="M126" i="3"/>
  <c r="M125" i="3"/>
  <c r="M124" i="3"/>
  <c r="M123" i="3"/>
  <c r="M121" i="3"/>
  <c r="M120" i="3"/>
  <c r="M119" i="3"/>
  <c r="M118" i="3"/>
  <c r="M117" i="3"/>
  <c r="M116" i="3"/>
  <c r="M115" i="3"/>
  <c r="M114" i="3"/>
  <c r="M113" i="3"/>
  <c r="M112" i="3"/>
  <c r="M111" i="3"/>
  <c r="M110" i="3"/>
  <c r="O109" i="3"/>
  <c r="C7" i="1" s="1"/>
  <c r="M107" i="3"/>
  <c r="M106" i="3"/>
  <c r="M105" i="3"/>
  <c r="M104" i="3"/>
  <c r="M103" i="3"/>
  <c r="M102" i="3"/>
  <c r="M101" i="3"/>
  <c r="M100" i="3"/>
  <c r="M99" i="3"/>
  <c r="M98" i="3"/>
  <c r="M97" i="3"/>
  <c r="M96" i="3"/>
  <c r="M94" i="3"/>
  <c r="M93" i="3"/>
  <c r="M92" i="3"/>
  <c r="M91" i="3"/>
  <c r="M90" i="3"/>
  <c r="M89" i="3"/>
  <c r="M88" i="3"/>
  <c r="M87" i="3"/>
  <c r="M86" i="3"/>
  <c r="M85" i="3"/>
  <c r="M84" i="3"/>
  <c r="M83" i="3"/>
  <c r="O82" i="3"/>
  <c r="C6" i="1" s="1"/>
  <c r="M80" i="3"/>
  <c r="M79" i="3"/>
  <c r="M78" i="3"/>
  <c r="M77" i="3"/>
  <c r="M76" i="3"/>
  <c r="M75" i="3"/>
  <c r="M74" i="3"/>
  <c r="M73" i="3"/>
  <c r="M72" i="3"/>
  <c r="M71" i="3"/>
  <c r="M70" i="3"/>
  <c r="M69" i="3"/>
  <c r="M67" i="3"/>
  <c r="M66" i="3"/>
  <c r="M65" i="3"/>
  <c r="M64" i="3"/>
  <c r="M63" i="3"/>
  <c r="M62" i="3"/>
  <c r="M61" i="3"/>
  <c r="M60" i="3"/>
  <c r="M59" i="3"/>
  <c r="M58" i="3"/>
  <c r="M57" i="3"/>
  <c r="M56" i="3"/>
  <c r="O55" i="3"/>
  <c r="M53" i="3"/>
  <c r="M52" i="3"/>
  <c r="M51" i="3"/>
  <c r="M50" i="3"/>
  <c r="M49" i="3"/>
  <c r="M48" i="3"/>
  <c r="M47" i="3"/>
  <c r="M46" i="3"/>
  <c r="M45" i="3"/>
  <c r="M44" i="3"/>
  <c r="M43" i="3"/>
  <c r="M42" i="3"/>
  <c r="M40" i="3"/>
  <c r="M39" i="3"/>
  <c r="M38" i="3"/>
  <c r="M37" i="3"/>
  <c r="M36" i="3"/>
  <c r="M35" i="3"/>
  <c r="M34" i="3"/>
  <c r="M33" i="3"/>
  <c r="M32" i="3"/>
  <c r="M31" i="3"/>
  <c r="M30" i="3"/>
  <c r="M29" i="3"/>
  <c r="O28" i="3"/>
  <c r="C4" i="1" s="1"/>
  <c r="M26" i="3"/>
  <c r="M25" i="3"/>
  <c r="M24" i="3"/>
  <c r="M23" i="3"/>
  <c r="M22" i="3"/>
  <c r="M21" i="3"/>
  <c r="M20" i="3"/>
  <c r="M19" i="3"/>
  <c r="M18" i="3"/>
  <c r="M17" i="3"/>
  <c r="M16" i="3"/>
  <c r="M15" i="3"/>
  <c r="M13" i="3"/>
  <c r="M12" i="3"/>
  <c r="M11" i="3"/>
  <c r="M10" i="3"/>
  <c r="M9" i="3"/>
  <c r="M8" i="3"/>
  <c r="M7" i="3"/>
  <c r="M6" i="3"/>
  <c r="M5" i="3"/>
  <c r="M4" i="3"/>
  <c r="M3" i="3"/>
  <c r="F34" i="1"/>
  <c r="E34" i="1"/>
  <c r="D34" i="1"/>
  <c r="C34" i="1"/>
  <c r="E33" i="1"/>
  <c r="D33" i="1"/>
  <c r="E32" i="1"/>
  <c r="D32" i="1"/>
  <c r="E31" i="1"/>
  <c r="D31" i="1"/>
  <c r="G31" i="1" s="1"/>
  <c r="C31" i="1"/>
  <c r="E30" i="1"/>
  <c r="F29" i="1"/>
  <c r="E29" i="1"/>
  <c r="E28" i="1"/>
  <c r="F27" i="1"/>
  <c r="E27" i="1"/>
  <c r="C27" i="1"/>
  <c r="F26" i="1"/>
  <c r="E26" i="1"/>
  <c r="C26" i="1"/>
  <c r="F25" i="1"/>
  <c r="E25" i="1"/>
  <c r="D25" i="1"/>
  <c r="C25" i="1"/>
  <c r="D24" i="1"/>
  <c r="G24" i="1" s="1"/>
  <c r="F23" i="1"/>
  <c r="E23" i="1"/>
  <c r="E22" i="1"/>
  <c r="E21" i="1"/>
  <c r="D21" i="1"/>
  <c r="C21" i="1"/>
  <c r="F20" i="1"/>
  <c r="E20" i="1"/>
  <c r="G20" i="1" s="1"/>
  <c r="C20" i="1"/>
  <c r="F19" i="1"/>
  <c r="E19" i="1"/>
  <c r="D19" i="1"/>
  <c r="G19" i="1" s="1"/>
  <c r="C19" i="1"/>
  <c r="E18" i="1"/>
  <c r="D18" i="1"/>
  <c r="G18" i="1" s="1"/>
  <c r="C18" i="1"/>
  <c r="D17" i="1"/>
  <c r="F16" i="1"/>
  <c r="C16" i="1"/>
  <c r="E15" i="1"/>
  <c r="D15" i="1"/>
  <c r="F14" i="1"/>
  <c r="E14" i="1"/>
  <c r="D14" i="1"/>
  <c r="F13" i="1"/>
  <c r="D13" i="1"/>
  <c r="G13" i="1" s="1"/>
  <c r="C13" i="1"/>
  <c r="G12" i="1"/>
  <c r="C12" i="1"/>
  <c r="G11" i="1"/>
  <c r="F11" i="1"/>
  <c r="E10" i="1"/>
  <c r="D10" i="1"/>
  <c r="F9" i="1"/>
  <c r="E9" i="1"/>
  <c r="D9" i="1"/>
  <c r="G9" i="1" s="1"/>
  <c r="F8" i="1"/>
  <c r="E8" i="1"/>
  <c r="D8" i="1"/>
  <c r="C8" i="1"/>
  <c r="D7" i="1"/>
  <c r="F6" i="1"/>
  <c r="D6" i="1"/>
  <c r="G6" i="1" s="1"/>
  <c r="E5" i="1"/>
  <c r="D5" i="1"/>
  <c r="C5" i="1"/>
  <c r="E4" i="1"/>
  <c r="O811" i="6"/>
  <c r="F33" i="1" s="1"/>
  <c r="F810" i="6"/>
  <c r="E810" i="6"/>
  <c r="M809" i="6"/>
  <c r="G809" i="6"/>
  <c r="M808" i="6"/>
  <c r="G808" i="6"/>
  <c r="M807" i="6"/>
  <c r="G807" i="6"/>
  <c r="M806" i="6"/>
  <c r="G806" i="6"/>
  <c r="M805" i="6"/>
  <c r="G805" i="6"/>
  <c r="M804" i="6"/>
  <c r="G804" i="6"/>
  <c r="M803" i="6"/>
  <c r="G803" i="6"/>
  <c r="M802" i="6"/>
  <c r="G802" i="6"/>
  <c r="M801" i="6"/>
  <c r="G801" i="6"/>
  <c r="M800" i="6"/>
  <c r="M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M798" i="6"/>
  <c r="G797" i="6"/>
  <c r="F797" i="6"/>
  <c r="F811" i="6" s="1"/>
  <c r="E797" i="6"/>
  <c r="M796" i="6"/>
  <c r="M795" i="6"/>
  <c r="M794" i="6"/>
  <c r="M793" i="6"/>
  <c r="M792" i="6"/>
  <c r="M791" i="6"/>
  <c r="M790" i="6"/>
  <c r="M789" i="6"/>
  <c r="M788" i="6"/>
  <c r="M787" i="6"/>
  <c r="M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M785" i="6"/>
  <c r="O784" i="6"/>
  <c r="F32" i="1" s="1"/>
  <c r="G32" i="1" s="1"/>
  <c r="F783" i="6"/>
  <c r="E783" i="6"/>
  <c r="M782" i="6"/>
  <c r="G782" i="6"/>
  <c r="M781" i="6"/>
  <c r="G781" i="6"/>
  <c r="M780" i="6"/>
  <c r="G780" i="6"/>
  <c r="M779" i="6"/>
  <c r="G779" i="6"/>
  <c r="M778" i="6"/>
  <c r="G778" i="6"/>
  <c r="M777" i="6"/>
  <c r="G777" i="6"/>
  <c r="M776" i="6"/>
  <c r="G776" i="6"/>
  <c r="G783" i="6" s="1"/>
  <c r="B776" i="6"/>
  <c r="B777" i="6" s="1"/>
  <c r="B778" i="6" s="1"/>
  <c r="B779" i="6" s="1"/>
  <c r="B780" i="6" s="1"/>
  <c r="B781" i="6" s="1"/>
  <c r="B782" i="6" s="1"/>
  <c r="M775" i="6"/>
  <c r="G775" i="6"/>
  <c r="M774" i="6"/>
  <c r="G774" i="6"/>
  <c r="B774" i="6"/>
  <c r="B775" i="6" s="1"/>
  <c r="M773" i="6"/>
  <c r="G773" i="6"/>
  <c r="B773" i="6"/>
  <c r="M772" i="6"/>
  <c r="G772" i="6"/>
  <c r="B772" i="6"/>
  <c r="M771" i="6"/>
  <c r="G771" i="6"/>
  <c r="F770" i="6"/>
  <c r="F784" i="6" s="1"/>
  <c r="E770" i="6"/>
  <c r="E784" i="6" s="1"/>
  <c r="M769" i="6"/>
  <c r="G769" i="6"/>
  <c r="M768" i="6"/>
  <c r="G768" i="6"/>
  <c r="M767" i="6"/>
  <c r="G767" i="6"/>
  <c r="M766" i="6"/>
  <c r="G766" i="6"/>
  <c r="M765" i="6"/>
  <c r="G765" i="6"/>
  <c r="M764" i="6"/>
  <c r="G764" i="6"/>
  <c r="M763" i="6"/>
  <c r="G763" i="6"/>
  <c r="M762" i="6"/>
  <c r="G762" i="6"/>
  <c r="M761" i="6"/>
  <c r="G761" i="6"/>
  <c r="M760" i="6"/>
  <c r="G760" i="6"/>
  <c r="M759" i="6"/>
  <c r="G759" i="6"/>
  <c r="G770" i="6" s="1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M758" i="6"/>
  <c r="G758" i="6"/>
  <c r="O757" i="6"/>
  <c r="F31" i="1" s="1"/>
  <c r="F756" i="6"/>
  <c r="E756" i="6"/>
  <c r="E757" i="6" s="1"/>
  <c r="M755" i="6"/>
  <c r="G755" i="6"/>
  <c r="M754" i="6"/>
  <c r="G754" i="6"/>
  <c r="M753" i="6"/>
  <c r="G753" i="6"/>
  <c r="M752" i="6"/>
  <c r="G752" i="6"/>
  <c r="B752" i="6"/>
  <c r="B753" i="6" s="1"/>
  <c r="B754" i="6" s="1"/>
  <c r="B755" i="6" s="1"/>
  <c r="M751" i="6"/>
  <c r="G751" i="6"/>
  <c r="M750" i="6"/>
  <c r="G750" i="6"/>
  <c r="M749" i="6"/>
  <c r="G749" i="6"/>
  <c r="M748" i="6"/>
  <c r="G748" i="6"/>
  <c r="M747" i="6"/>
  <c r="G747" i="6"/>
  <c r="B747" i="6"/>
  <c r="B748" i="6" s="1"/>
  <c r="B749" i="6" s="1"/>
  <c r="B750" i="6" s="1"/>
  <c r="B751" i="6" s="1"/>
  <c r="M746" i="6"/>
  <c r="G746" i="6"/>
  <c r="B746" i="6"/>
  <c r="M745" i="6"/>
  <c r="G745" i="6"/>
  <c r="B745" i="6"/>
  <c r="M744" i="6"/>
  <c r="G744" i="6"/>
  <c r="F743" i="6"/>
  <c r="F757" i="6" s="1"/>
  <c r="E743" i="6"/>
  <c r="M742" i="6"/>
  <c r="G742" i="6"/>
  <c r="M741" i="6"/>
  <c r="G741" i="6"/>
  <c r="M740" i="6"/>
  <c r="G740" i="6"/>
  <c r="M739" i="6"/>
  <c r="G739" i="6"/>
  <c r="B739" i="6"/>
  <c r="B740" i="6" s="1"/>
  <c r="B741" i="6" s="1"/>
  <c r="B742" i="6" s="1"/>
  <c r="M738" i="6"/>
  <c r="G738" i="6"/>
  <c r="M737" i="6"/>
  <c r="G737" i="6"/>
  <c r="M736" i="6"/>
  <c r="G736" i="6"/>
  <c r="M735" i="6"/>
  <c r="G735" i="6"/>
  <c r="M734" i="6"/>
  <c r="G734" i="6"/>
  <c r="M733" i="6"/>
  <c r="G733" i="6"/>
  <c r="M732" i="6"/>
  <c r="G732" i="6"/>
  <c r="B732" i="6"/>
  <c r="B733" i="6" s="1"/>
  <c r="B734" i="6" s="1"/>
  <c r="B735" i="6" s="1"/>
  <c r="B736" i="6" s="1"/>
  <c r="B737" i="6" s="1"/>
  <c r="B738" i="6" s="1"/>
  <c r="M731" i="6"/>
  <c r="G731" i="6"/>
  <c r="O730" i="6"/>
  <c r="F30" i="1" s="1"/>
  <c r="E730" i="6"/>
  <c r="G729" i="6"/>
  <c r="F729" i="6"/>
  <c r="E729" i="6"/>
  <c r="M728" i="6"/>
  <c r="G728" i="6"/>
  <c r="M727" i="6"/>
  <c r="G727" i="6"/>
  <c r="M726" i="6"/>
  <c r="G726" i="6"/>
  <c r="M725" i="6"/>
  <c r="G725" i="6"/>
  <c r="M724" i="6"/>
  <c r="G724" i="6"/>
  <c r="M723" i="6"/>
  <c r="G723" i="6"/>
  <c r="M722" i="6"/>
  <c r="G722" i="6"/>
  <c r="M721" i="6"/>
  <c r="G721" i="6"/>
  <c r="B721" i="6"/>
  <c r="B722" i="6" s="1"/>
  <c r="B723" i="6" s="1"/>
  <c r="B724" i="6" s="1"/>
  <c r="B725" i="6" s="1"/>
  <c r="B726" i="6" s="1"/>
  <c r="B727" i="6" s="1"/>
  <c r="B728" i="6" s="1"/>
  <c r="M720" i="6"/>
  <c r="G720" i="6"/>
  <c r="M719" i="6"/>
  <c r="G719" i="6"/>
  <c r="M718" i="6"/>
  <c r="G718" i="6"/>
  <c r="B718" i="6"/>
  <c r="B719" i="6" s="1"/>
  <c r="B720" i="6" s="1"/>
  <c r="M717" i="6"/>
  <c r="G717" i="6"/>
  <c r="F716" i="6"/>
  <c r="F730" i="6" s="1"/>
  <c r="E716" i="6"/>
  <c r="M715" i="6"/>
  <c r="G715" i="6"/>
  <c r="M714" i="6"/>
  <c r="G714" i="6"/>
  <c r="M713" i="6"/>
  <c r="G713" i="6"/>
  <c r="M712" i="6"/>
  <c r="G712" i="6"/>
  <c r="M711" i="6"/>
  <c r="G711" i="6"/>
  <c r="M710" i="6"/>
  <c r="G710" i="6"/>
  <c r="M709" i="6"/>
  <c r="G709" i="6"/>
  <c r="M708" i="6"/>
  <c r="G708" i="6"/>
  <c r="M707" i="6"/>
  <c r="G707" i="6"/>
  <c r="M706" i="6"/>
  <c r="G706" i="6"/>
  <c r="B706" i="6"/>
  <c r="B707" i="6" s="1"/>
  <c r="B708" i="6" s="1"/>
  <c r="B709" i="6" s="1"/>
  <c r="B710" i="6" s="1"/>
  <c r="B711" i="6" s="1"/>
  <c r="B712" i="6" s="1"/>
  <c r="B713" i="6" s="1"/>
  <c r="B714" i="6" s="1"/>
  <c r="B715" i="6" s="1"/>
  <c r="M705" i="6"/>
  <c r="G705" i="6"/>
  <c r="B705" i="6"/>
  <c r="M704" i="6"/>
  <c r="G704" i="6"/>
  <c r="G716" i="6" s="1"/>
  <c r="O703" i="6"/>
  <c r="E703" i="6"/>
  <c r="F702" i="6"/>
  <c r="E702" i="6"/>
  <c r="M701" i="6"/>
  <c r="G701" i="6"/>
  <c r="M700" i="6"/>
  <c r="G700" i="6"/>
  <c r="M699" i="6"/>
  <c r="G699" i="6"/>
  <c r="M698" i="6"/>
  <c r="G698" i="6"/>
  <c r="M697" i="6"/>
  <c r="G697" i="6"/>
  <c r="M696" i="6"/>
  <c r="G696" i="6"/>
  <c r="M695" i="6"/>
  <c r="G695" i="6"/>
  <c r="M694" i="6"/>
  <c r="G694" i="6"/>
  <c r="M693" i="6"/>
  <c r="G693" i="6"/>
  <c r="B693" i="6"/>
  <c r="B694" i="6" s="1"/>
  <c r="B695" i="6" s="1"/>
  <c r="B696" i="6" s="1"/>
  <c r="B697" i="6" s="1"/>
  <c r="B698" i="6" s="1"/>
  <c r="B699" i="6" s="1"/>
  <c r="B700" i="6" s="1"/>
  <c r="B701" i="6" s="1"/>
  <c r="M692" i="6"/>
  <c r="G692" i="6"/>
  <c r="B692" i="6"/>
  <c r="M691" i="6"/>
  <c r="G691" i="6"/>
  <c r="B691" i="6"/>
  <c r="M690" i="6"/>
  <c r="G690" i="6"/>
  <c r="F689" i="6"/>
  <c r="E689" i="6"/>
  <c r="M688" i="6"/>
  <c r="G688" i="6"/>
  <c r="M687" i="6"/>
  <c r="G687" i="6"/>
  <c r="M686" i="6"/>
  <c r="G686" i="6"/>
  <c r="M685" i="6"/>
  <c r="G685" i="6"/>
  <c r="M684" i="6"/>
  <c r="G684" i="6"/>
  <c r="B684" i="6"/>
  <c r="B685" i="6" s="1"/>
  <c r="B686" i="6" s="1"/>
  <c r="B687" i="6" s="1"/>
  <c r="B688" i="6" s="1"/>
  <c r="M683" i="6"/>
  <c r="G683" i="6"/>
  <c r="M682" i="6"/>
  <c r="G682" i="6"/>
  <c r="M681" i="6"/>
  <c r="G681" i="6"/>
  <c r="M680" i="6"/>
  <c r="G680" i="6"/>
  <c r="M679" i="6"/>
  <c r="G679" i="6"/>
  <c r="M678" i="6"/>
  <c r="G678" i="6"/>
  <c r="B678" i="6"/>
  <c r="B679" i="6" s="1"/>
  <c r="B680" i="6" s="1"/>
  <c r="B681" i="6" s="1"/>
  <c r="B682" i="6" s="1"/>
  <c r="B683" i="6" s="1"/>
  <c r="M677" i="6"/>
  <c r="G677" i="6"/>
  <c r="O676" i="6"/>
  <c r="F28" i="1" s="1"/>
  <c r="F676" i="6"/>
  <c r="E676" i="6"/>
  <c r="F675" i="6"/>
  <c r="E675" i="6"/>
  <c r="M674" i="6"/>
  <c r="G674" i="6"/>
  <c r="M673" i="6"/>
  <c r="G673" i="6"/>
  <c r="M672" i="6"/>
  <c r="G672" i="6"/>
  <c r="M671" i="6"/>
  <c r="G671" i="6"/>
  <c r="M670" i="6"/>
  <c r="G670" i="6"/>
  <c r="M669" i="6"/>
  <c r="G669" i="6"/>
  <c r="M668" i="6"/>
  <c r="G668" i="6"/>
  <c r="B668" i="6"/>
  <c r="B669" i="6" s="1"/>
  <c r="B670" i="6" s="1"/>
  <c r="B671" i="6" s="1"/>
  <c r="B672" i="6" s="1"/>
  <c r="B673" i="6" s="1"/>
  <c r="B674" i="6" s="1"/>
  <c r="M667" i="6"/>
  <c r="G667" i="6"/>
  <c r="B667" i="6"/>
  <c r="M666" i="6"/>
  <c r="G666" i="6"/>
  <c r="B666" i="6"/>
  <c r="M665" i="6"/>
  <c r="G665" i="6"/>
  <c r="B665" i="6"/>
  <c r="M664" i="6"/>
  <c r="G664" i="6"/>
  <c r="B664" i="6"/>
  <c r="M663" i="6"/>
  <c r="G663" i="6"/>
  <c r="F662" i="6"/>
  <c r="E662" i="6"/>
  <c r="M661" i="6"/>
  <c r="G661" i="6"/>
  <c r="M660" i="6"/>
  <c r="G660" i="6"/>
  <c r="B660" i="6"/>
  <c r="B661" i="6" s="1"/>
  <c r="M659" i="6"/>
  <c r="G659" i="6"/>
  <c r="M658" i="6"/>
  <c r="G658" i="6"/>
  <c r="M657" i="6"/>
  <c r="G657" i="6"/>
  <c r="M656" i="6"/>
  <c r="G656" i="6"/>
  <c r="M655" i="6"/>
  <c r="G655" i="6"/>
  <c r="M654" i="6"/>
  <c r="G654" i="6"/>
  <c r="M653" i="6"/>
  <c r="G653" i="6"/>
  <c r="B653" i="6"/>
  <c r="B654" i="6" s="1"/>
  <c r="B655" i="6" s="1"/>
  <c r="B656" i="6" s="1"/>
  <c r="B657" i="6" s="1"/>
  <c r="B658" i="6" s="1"/>
  <c r="B659" i="6" s="1"/>
  <c r="M652" i="6"/>
  <c r="G652" i="6"/>
  <c r="B652" i="6"/>
  <c r="M651" i="6"/>
  <c r="G651" i="6"/>
  <c r="B651" i="6"/>
  <c r="M650" i="6"/>
  <c r="G650" i="6"/>
  <c r="O649" i="6"/>
  <c r="F648" i="6"/>
  <c r="E648" i="6"/>
  <c r="M647" i="6"/>
  <c r="G647" i="6"/>
  <c r="M646" i="6"/>
  <c r="G646" i="6"/>
  <c r="M645" i="6"/>
  <c r="G645" i="6"/>
  <c r="M644" i="6"/>
  <c r="G644" i="6"/>
  <c r="B644" i="6"/>
  <c r="B645" i="6" s="1"/>
  <c r="B646" i="6" s="1"/>
  <c r="B647" i="6" s="1"/>
  <c r="M643" i="6"/>
  <c r="G643" i="6"/>
  <c r="M642" i="6"/>
  <c r="G642" i="6"/>
  <c r="M641" i="6"/>
  <c r="G641" i="6"/>
  <c r="M640" i="6"/>
  <c r="G640" i="6"/>
  <c r="M639" i="6"/>
  <c r="G639" i="6"/>
  <c r="M638" i="6"/>
  <c r="G638" i="6"/>
  <c r="M637" i="6"/>
  <c r="G637" i="6"/>
  <c r="B637" i="6"/>
  <c r="B638" i="6" s="1"/>
  <c r="B639" i="6" s="1"/>
  <c r="B640" i="6" s="1"/>
  <c r="B641" i="6" s="1"/>
  <c r="B642" i="6" s="1"/>
  <c r="B643" i="6" s="1"/>
  <c r="M636" i="6"/>
  <c r="G636" i="6"/>
  <c r="F635" i="6"/>
  <c r="F649" i="6" s="1"/>
  <c r="E635" i="6"/>
  <c r="E649" i="6" s="1"/>
  <c r="M634" i="6"/>
  <c r="G634" i="6"/>
  <c r="M633" i="6"/>
  <c r="G633" i="6"/>
  <c r="M632" i="6"/>
  <c r="G632" i="6"/>
  <c r="M631" i="6"/>
  <c r="G631" i="6"/>
  <c r="M630" i="6"/>
  <c r="G630" i="6"/>
  <c r="M629" i="6"/>
  <c r="G629" i="6"/>
  <c r="M628" i="6"/>
  <c r="G628" i="6"/>
  <c r="M627" i="6"/>
  <c r="G627" i="6"/>
  <c r="M626" i="6"/>
  <c r="G626" i="6"/>
  <c r="M625" i="6"/>
  <c r="G625" i="6"/>
  <c r="M624" i="6"/>
  <c r="G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M623" i="6"/>
  <c r="G623" i="6"/>
  <c r="O622" i="6"/>
  <c r="F622" i="6"/>
  <c r="E622" i="6"/>
  <c r="F621" i="6"/>
  <c r="E621" i="6"/>
  <c r="M620" i="6"/>
  <c r="G620" i="6"/>
  <c r="M619" i="6"/>
  <c r="G619" i="6"/>
  <c r="M618" i="6"/>
  <c r="G618" i="6"/>
  <c r="M617" i="6"/>
  <c r="G617" i="6"/>
  <c r="M616" i="6"/>
  <c r="G616" i="6"/>
  <c r="B616" i="6"/>
  <c r="B617" i="6" s="1"/>
  <c r="B618" i="6" s="1"/>
  <c r="B619" i="6" s="1"/>
  <c r="B620" i="6" s="1"/>
  <c r="M615" i="6"/>
  <c r="M614" i="6"/>
  <c r="G614" i="6"/>
  <c r="B614" i="6"/>
  <c r="B615" i="6" s="1"/>
  <c r="M613" i="6"/>
  <c r="G613" i="6"/>
  <c r="M612" i="6"/>
  <c r="G612" i="6"/>
  <c r="M611" i="6"/>
  <c r="G611" i="6"/>
  <c r="G621" i="6" s="1"/>
  <c r="M610" i="6"/>
  <c r="G610" i="6"/>
  <c r="B610" i="6"/>
  <c r="B611" i="6" s="1"/>
  <c r="B612" i="6" s="1"/>
  <c r="B613" i="6" s="1"/>
  <c r="M609" i="6"/>
  <c r="G609" i="6"/>
  <c r="F608" i="6"/>
  <c r="E608" i="6"/>
  <c r="M607" i="6"/>
  <c r="G607" i="6"/>
  <c r="B607" i="6"/>
  <c r="M606" i="6"/>
  <c r="G606" i="6"/>
  <c r="M605" i="6"/>
  <c r="G605" i="6"/>
  <c r="M604" i="6"/>
  <c r="G604" i="6"/>
  <c r="M603" i="6"/>
  <c r="G603" i="6"/>
  <c r="M602" i="6"/>
  <c r="G602" i="6"/>
  <c r="M601" i="6"/>
  <c r="G601" i="6"/>
  <c r="M600" i="6"/>
  <c r="G600" i="6"/>
  <c r="M599" i="6"/>
  <c r="G599" i="6"/>
  <c r="M598" i="6"/>
  <c r="G598" i="6"/>
  <c r="M597" i="6"/>
  <c r="G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M596" i="6"/>
  <c r="G596" i="6"/>
  <c r="O595" i="6"/>
  <c r="E595" i="6"/>
  <c r="F594" i="6"/>
  <c r="E594" i="6"/>
  <c r="M593" i="6"/>
  <c r="G593" i="6"/>
  <c r="M592" i="6"/>
  <c r="G592" i="6"/>
  <c r="M591" i="6"/>
  <c r="G591" i="6"/>
  <c r="M590" i="6"/>
  <c r="G590" i="6"/>
  <c r="M589" i="6"/>
  <c r="G589" i="6"/>
  <c r="M588" i="6"/>
  <c r="G588" i="6"/>
  <c r="M587" i="6"/>
  <c r="G587" i="6"/>
  <c r="M586" i="6"/>
  <c r="G586" i="6"/>
  <c r="M585" i="6"/>
  <c r="G585" i="6"/>
  <c r="M584" i="6"/>
  <c r="G584" i="6"/>
  <c r="M583" i="6"/>
  <c r="G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M582" i="6"/>
  <c r="G582" i="6"/>
  <c r="G594" i="6" s="1"/>
  <c r="F581" i="6"/>
  <c r="F595" i="6" s="1"/>
  <c r="E581" i="6"/>
  <c r="M580" i="6"/>
  <c r="G580" i="6"/>
  <c r="M579" i="6"/>
  <c r="G579" i="6"/>
  <c r="M578" i="6"/>
  <c r="G578" i="6"/>
  <c r="M577" i="6"/>
  <c r="G577" i="6"/>
  <c r="M576" i="6"/>
  <c r="G576" i="6"/>
  <c r="G575" i="6"/>
  <c r="B575" i="6"/>
  <c r="B576" i="6" s="1"/>
  <c r="B577" i="6" s="1"/>
  <c r="B578" i="6" s="1"/>
  <c r="B579" i="6" s="1"/>
  <c r="B580" i="6" s="1"/>
  <c r="M574" i="6"/>
  <c r="G574" i="6"/>
  <c r="G581" i="6" s="1"/>
  <c r="G595" i="6" s="1"/>
  <c r="M573" i="6"/>
  <c r="G573" i="6"/>
  <c r="M572" i="6"/>
  <c r="G572" i="6"/>
  <c r="B572" i="6"/>
  <c r="B573" i="6" s="1"/>
  <c r="B574" i="6" s="1"/>
  <c r="M571" i="6"/>
  <c r="G571" i="6"/>
  <c r="B571" i="6"/>
  <c r="M570" i="6"/>
  <c r="G570" i="6"/>
  <c r="B570" i="6"/>
  <c r="M569" i="6"/>
  <c r="G569" i="6"/>
  <c r="O568" i="6"/>
  <c r="F24" i="1" s="1"/>
  <c r="F568" i="6"/>
  <c r="F567" i="6"/>
  <c r="E567" i="6"/>
  <c r="M566" i="6"/>
  <c r="G566" i="6"/>
  <c r="M565" i="6"/>
  <c r="G565" i="6"/>
  <c r="M564" i="6"/>
  <c r="G564" i="6"/>
  <c r="M563" i="6"/>
  <c r="G563" i="6"/>
  <c r="M562" i="6"/>
  <c r="G562" i="6"/>
  <c r="M561" i="6"/>
  <c r="G561" i="6"/>
  <c r="M560" i="6"/>
  <c r="G560" i="6"/>
  <c r="M559" i="6"/>
  <c r="G559" i="6"/>
  <c r="M558" i="6"/>
  <c r="G558" i="6"/>
  <c r="M557" i="6"/>
  <c r="G557" i="6"/>
  <c r="B557" i="6"/>
  <c r="B558" i="6" s="1"/>
  <c r="B559" i="6" s="1"/>
  <c r="B560" i="6" s="1"/>
  <c r="B561" i="6" s="1"/>
  <c r="B562" i="6" s="1"/>
  <c r="B563" i="6" s="1"/>
  <c r="B564" i="6" s="1"/>
  <c r="B565" i="6" s="1"/>
  <c r="B566" i="6" s="1"/>
  <c r="M556" i="6"/>
  <c r="G556" i="6"/>
  <c r="G567" i="6" s="1"/>
  <c r="B556" i="6"/>
  <c r="M555" i="6"/>
  <c r="G555" i="6"/>
  <c r="F554" i="6"/>
  <c r="E554" i="6"/>
  <c r="E568" i="6" s="1"/>
  <c r="M553" i="6"/>
  <c r="G553" i="6"/>
  <c r="M552" i="6"/>
  <c r="G552" i="6"/>
  <c r="M551" i="6"/>
  <c r="G551" i="6"/>
  <c r="M550" i="6"/>
  <c r="G550" i="6"/>
  <c r="M549" i="6"/>
  <c r="G549" i="6"/>
  <c r="M548" i="6"/>
  <c r="G548" i="6"/>
  <c r="M547" i="6"/>
  <c r="G547" i="6"/>
  <c r="G554" i="6" s="1"/>
  <c r="G568" i="6" s="1"/>
  <c r="M546" i="6"/>
  <c r="G546" i="6"/>
  <c r="B546" i="6"/>
  <c r="B547" i="6" s="1"/>
  <c r="B548" i="6" s="1"/>
  <c r="B549" i="6" s="1"/>
  <c r="B550" i="6" s="1"/>
  <c r="B551" i="6" s="1"/>
  <c r="B552" i="6" s="1"/>
  <c r="B553" i="6" s="1"/>
  <c r="M545" i="6"/>
  <c r="G545" i="6"/>
  <c r="M544" i="6"/>
  <c r="G544" i="6"/>
  <c r="M543" i="6"/>
  <c r="G543" i="6"/>
  <c r="B543" i="6"/>
  <c r="B544" i="6" s="1"/>
  <c r="B545" i="6" s="1"/>
  <c r="M542" i="6"/>
  <c r="G542" i="6"/>
  <c r="O541" i="6"/>
  <c r="F541" i="6"/>
  <c r="F540" i="6"/>
  <c r="E540" i="6"/>
  <c r="E541" i="6" s="1"/>
  <c r="M539" i="6"/>
  <c r="G539" i="6"/>
  <c r="M538" i="6"/>
  <c r="G538" i="6"/>
  <c r="M537" i="6"/>
  <c r="G537" i="6"/>
  <c r="M536" i="6"/>
  <c r="G536" i="6"/>
  <c r="M535" i="6"/>
  <c r="G535" i="6"/>
  <c r="M534" i="6"/>
  <c r="G534" i="6"/>
  <c r="M533" i="6"/>
  <c r="G533" i="6"/>
  <c r="M532" i="6"/>
  <c r="G532" i="6"/>
  <c r="M531" i="6"/>
  <c r="G531" i="6"/>
  <c r="M530" i="6"/>
  <c r="G530" i="6"/>
  <c r="M529" i="6"/>
  <c r="G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M528" i="6"/>
  <c r="G528" i="6"/>
  <c r="F527" i="6"/>
  <c r="E527" i="6"/>
  <c r="M526" i="6"/>
  <c r="G526" i="6"/>
  <c r="M525" i="6"/>
  <c r="G525" i="6"/>
  <c r="M524" i="6"/>
  <c r="G524" i="6"/>
  <c r="M523" i="6"/>
  <c r="G523" i="6"/>
  <c r="M522" i="6"/>
  <c r="G522" i="6"/>
  <c r="M521" i="6"/>
  <c r="G521" i="6"/>
  <c r="M520" i="6"/>
  <c r="G520" i="6"/>
  <c r="M519" i="6"/>
  <c r="G519" i="6"/>
  <c r="M518" i="6"/>
  <c r="G518" i="6"/>
  <c r="B518" i="6"/>
  <c r="B519" i="6" s="1"/>
  <c r="B520" i="6" s="1"/>
  <c r="B521" i="6" s="1"/>
  <c r="B522" i="6" s="1"/>
  <c r="B523" i="6" s="1"/>
  <c r="B524" i="6" s="1"/>
  <c r="B525" i="6" s="1"/>
  <c r="B526" i="6" s="1"/>
  <c r="M517" i="6"/>
  <c r="G517" i="6"/>
  <c r="B517" i="6"/>
  <c r="M516" i="6"/>
  <c r="G516" i="6"/>
  <c r="B516" i="6"/>
  <c r="M515" i="6"/>
  <c r="G515" i="6"/>
  <c r="O514" i="6"/>
  <c r="F22" i="1" s="1"/>
  <c r="F513" i="6"/>
  <c r="E513" i="6"/>
  <c r="M512" i="6"/>
  <c r="G512" i="6"/>
  <c r="M511" i="6"/>
  <c r="G511" i="6"/>
  <c r="M510" i="6"/>
  <c r="G510" i="6"/>
  <c r="M509" i="6"/>
  <c r="G509" i="6"/>
  <c r="M508" i="6"/>
  <c r="G508" i="6"/>
  <c r="M507" i="6"/>
  <c r="G507" i="6"/>
  <c r="M506" i="6"/>
  <c r="G506" i="6"/>
  <c r="M505" i="6"/>
  <c r="G505" i="6"/>
  <c r="M504" i="6"/>
  <c r="G504" i="6"/>
  <c r="M503" i="6"/>
  <c r="G503" i="6"/>
  <c r="M502" i="6"/>
  <c r="G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M501" i="6"/>
  <c r="G501" i="6"/>
  <c r="F500" i="6"/>
  <c r="E500" i="6"/>
  <c r="E514" i="6" s="1"/>
  <c r="M499" i="6"/>
  <c r="G499" i="6"/>
  <c r="M498" i="6"/>
  <c r="G498" i="6"/>
  <c r="M497" i="6"/>
  <c r="G497" i="6"/>
  <c r="M496" i="6"/>
  <c r="G496" i="6"/>
  <c r="M495" i="6"/>
  <c r="G495" i="6"/>
  <c r="M494" i="6"/>
  <c r="G494" i="6"/>
  <c r="M493" i="6"/>
  <c r="G493" i="6"/>
  <c r="G492" i="6"/>
  <c r="M491" i="6"/>
  <c r="G491" i="6"/>
  <c r="M490" i="6"/>
  <c r="G490" i="6"/>
  <c r="M489" i="6"/>
  <c r="G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M488" i="6"/>
  <c r="G488" i="6"/>
  <c r="G500" i="6" s="1"/>
  <c r="O487" i="6"/>
  <c r="F21" i="1" s="1"/>
  <c r="F486" i="6"/>
  <c r="E486" i="6"/>
  <c r="M485" i="6"/>
  <c r="G485" i="6"/>
  <c r="M484" i="6"/>
  <c r="G484" i="6"/>
  <c r="M483" i="6"/>
  <c r="G483" i="6"/>
  <c r="M482" i="6"/>
  <c r="G482" i="6"/>
  <c r="M481" i="6"/>
  <c r="G481" i="6"/>
  <c r="B481" i="6"/>
  <c r="B482" i="6" s="1"/>
  <c r="B483" i="6" s="1"/>
  <c r="B484" i="6" s="1"/>
  <c r="B485" i="6" s="1"/>
  <c r="M480" i="6"/>
  <c r="G480" i="6"/>
  <c r="M479" i="6"/>
  <c r="G479" i="6"/>
  <c r="M478" i="6"/>
  <c r="G478" i="6"/>
  <c r="M477" i="6"/>
  <c r="G477" i="6"/>
  <c r="M476" i="6"/>
  <c r="G476" i="6"/>
  <c r="B476" i="6"/>
  <c r="B477" i="6" s="1"/>
  <c r="B478" i="6" s="1"/>
  <c r="B479" i="6" s="1"/>
  <c r="B480" i="6" s="1"/>
  <c r="M475" i="6"/>
  <c r="G475" i="6"/>
  <c r="B475" i="6"/>
  <c r="M474" i="6"/>
  <c r="G474" i="6"/>
  <c r="F473" i="6"/>
  <c r="F487" i="6" s="1"/>
  <c r="E473" i="6"/>
  <c r="E487" i="6" s="1"/>
  <c r="M472" i="6"/>
  <c r="G472" i="6"/>
  <c r="G473" i="6" s="1"/>
  <c r="M471" i="6"/>
  <c r="G471" i="6"/>
  <c r="M470" i="6"/>
  <c r="G470" i="6"/>
  <c r="M469" i="6"/>
  <c r="G469" i="6"/>
  <c r="M468" i="6"/>
  <c r="G468" i="6"/>
  <c r="M467" i="6"/>
  <c r="G467" i="6"/>
  <c r="M466" i="6"/>
  <c r="G466" i="6"/>
  <c r="M465" i="6"/>
  <c r="G465" i="6"/>
  <c r="B465" i="6"/>
  <c r="B466" i="6" s="1"/>
  <c r="B467" i="6" s="1"/>
  <c r="B468" i="6" s="1"/>
  <c r="B469" i="6" s="1"/>
  <c r="B470" i="6" s="1"/>
  <c r="B471" i="6" s="1"/>
  <c r="B472" i="6" s="1"/>
  <c r="M464" i="6"/>
  <c r="G464" i="6"/>
  <c r="B464" i="6"/>
  <c r="M463" i="6"/>
  <c r="G463" i="6"/>
  <c r="B463" i="6"/>
  <c r="M462" i="6"/>
  <c r="G462" i="6"/>
  <c r="B462" i="6"/>
  <c r="M461" i="6"/>
  <c r="G461" i="6"/>
  <c r="O460" i="6"/>
  <c r="F459" i="6"/>
  <c r="F460" i="6" s="1"/>
  <c r="E459" i="6"/>
  <c r="E460" i="6" s="1"/>
  <c r="M458" i="6"/>
  <c r="G458" i="6"/>
  <c r="M457" i="6"/>
  <c r="G457" i="6"/>
  <c r="M456" i="6"/>
  <c r="G456" i="6"/>
  <c r="M455" i="6"/>
  <c r="G455" i="6"/>
  <c r="M454" i="6"/>
  <c r="G454" i="6"/>
  <c r="M453" i="6"/>
  <c r="G453" i="6"/>
  <c r="B453" i="6"/>
  <c r="B454" i="6" s="1"/>
  <c r="B455" i="6" s="1"/>
  <c r="B456" i="6" s="1"/>
  <c r="B457" i="6" s="1"/>
  <c r="B458" i="6" s="1"/>
  <c r="M452" i="6"/>
  <c r="G452" i="6"/>
  <c r="M451" i="6"/>
  <c r="G451" i="6"/>
  <c r="M450" i="6"/>
  <c r="G450" i="6"/>
  <c r="B450" i="6"/>
  <c r="B451" i="6" s="1"/>
  <c r="B452" i="6" s="1"/>
  <c r="M449" i="6"/>
  <c r="G449" i="6"/>
  <c r="G459" i="6" s="1"/>
  <c r="M448" i="6"/>
  <c r="G448" i="6"/>
  <c r="B448" i="6"/>
  <c r="B449" i="6" s="1"/>
  <c r="M447" i="6"/>
  <c r="G447" i="6"/>
  <c r="F446" i="6"/>
  <c r="E446" i="6"/>
  <c r="M445" i="6"/>
  <c r="G445" i="6"/>
  <c r="M444" i="6"/>
  <c r="G444" i="6"/>
  <c r="M443" i="6"/>
  <c r="G443" i="6"/>
  <c r="M442" i="6"/>
  <c r="G442" i="6"/>
  <c r="B442" i="6"/>
  <c r="B443" i="6" s="1"/>
  <c r="B444" i="6" s="1"/>
  <c r="B445" i="6" s="1"/>
  <c r="M441" i="6"/>
  <c r="G441" i="6"/>
  <c r="M440" i="6"/>
  <c r="G440" i="6"/>
  <c r="M439" i="6"/>
  <c r="G439" i="6"/>
  <c r="M438" i="6"/>
  <c r="G438" i="6"/>
  <c r="M437" i="6"/>
  <c r="G437" i="6"/>
  <c r="M436" i="6"/>
  <c r="G436" i="6"/>
  <c r="B436" i="6"/>
  <c r="B437" i="6" s="1"/>
  <c r="B438" i="6" s="1"/>
  <c r="B439" i="6" s="1"/>
  <c r="B440" i="6" s="1"/>
  <c r="B441" i="6" s="1"/>
  <c r="M435" i="6"/>
  <c r="G435" i="6"/>
  <c r="B435" i="6"/>
  <c r="M434" i="6"/>
  <c r="G434" i="6"/>
  <c r="G446" i="6" s="1"/>
  <c r="O433" i="6"/>
  <c r="E433" i="6"/>
  <c r="F432" i="6"/>
  <c r="E432" i="6"/>
  <c r="M431" i="6"/>
  <c r="G431" i="6"/>
  <c r="M430" i="6"/>
  <c r="G430" i="6"/>
  <c r="M429" i="6"/>
  <c r="G429" i="6"/>
  <c r="M428" i="6"/>
  <c r="G428" i="6"/>
  <c r="M427" i="6"/>
  <c r="G427" i="6"/>
  <c r="M426" i="6"/>
  <c r="G426" i="6"/>
  <c r="M425" i="6"/>
  <c r="G425" i="6"/>
  <c r="M424" i="6"/>
  <c r="G424" i="6"/>
  <c r="B424" i="6"/>
  <c r="B425" i="6" s="1"/>
  <c r="B426" i="6" s="1"/>
  <c r="B427" i="6" s="1"/>
  <c r="B428" i="6" s="1"/>
  <c r="B429" i="6" s="1"/>
  <c r="B430" i="6" s="1"/>
  <c r="B431" i="6" s="1"/>
  <c r="M423" i="6"/>
  <c r="G423" i="6"/>
  <c r="M422" i="6"/>
  <c r="G422" i="6"/>
  <c r="M421" i="6"/>
  <c r="G421" i="6"/>
  <c r="B421" i="6"/>
  <c r="B422" i="6" s="1"/>
  <c r="B423" i="6" s="1"/>
  <c r="M420" i="6"/>
  <c r="G420" i="6"/>
  <c r="F419" i="6"/>
  <c r="F433" i="6" s="1"/>
  <c r="E419" i="6"/>
  <c r="M418" i="6"/>
  <c r="G418" i="6"/>
  <c r="M417" i="6"/>
  <c r="G417" i="6"/>
  <c r="M416" i="6"/>
  <c r="G416" i="6"/>
  <c r="B416" i="6"/>
  <c r="B417" i="6" s="1"/>
  <c r="B418" i="6" s="1"/>
  <c r="M415" i="6"/>
  <c r="G415" i="6"/>
  <c r="M414" i="6"/>
  <c r="G414" i="6"/>
  <c r="M413" i="6"/>
  <c r="G413" i="6"/>
  <c r="M412" i="6"/>
  <c r="G412" i="6"/>
  <c r="M411" i="6"/>
  <c r="G411" i="6"/>
  <c r="M410" i="6"/>
  <c r="G410" i="6"/>
  <c r="B410" i="6"/>
  <c r="B411" i="6" s="1"/>
  <c r="B412" i="6" s="1"/>
  <c r="B413" i="6" s="1"/>
  <c r="B414" i="6" s="1"/>
  <c r="B415" i="6" s="1"/>
  <c r="M409" i="6"/>
  <c r="G409" i="6"/>
  <c r="M408" i="6"/>
  <c r="G408" i="6"/>
  <c r="B408" i="6"/>
  <c r="B409" i="6" s="1"/>
  <c r="M407" i="6"/>
  <c r="G407" i="6"/>
  <c r="O406" i="6"/>
  <c r="F18" i="1" s="1"/>
  <c r="F406" i="6"/>
  <c r="F405" i="6"/>
  <c r="E405" i="6"/>
  <c r="M404" i="6"/>
  <c r="G404" i="6"/>
  <c r="M403" i="6"/>
  <c r="G403" i="6"/>
  <c r="M402" i="6"/>
  <c r="G402" i="6"/>
  <c r="M401" i="6"/>
  <c r="G401" i="6"/>
  <c r="B401" i="6"/>
  <c r="B402" i="6" s="1"/>
  <c r="B403" i="6" s="1"/>
  <c r="B404" i="6" s="1"/>
  <c r="M400" i="6"/>
  <c r="G400" i="6"/>
  <c r="M399" i="6"/>
  <c r="G399" i="6"/>
  <c r="M398" i="6"/>
  <c r="G398" i="6"/>
  <c r="M397" i="6"/>
  <c r="G397" i="6"/>
  <c r="M396" i="6"/>
  <c r="G396" i="6"/>
  <c r="M395" i="6"/>
  <c r="G395" i="6"/>
  <c r="B395" i="6"/>
  <c r="B396" i="6" s="1"/>
  <c r="B397" i="6" s="1"/>
  <c r="B398" i="6" s="1"/>
  <c r="B399" i="6" s="1"/>
  <c r="B400" i="6" s="1"/>
  <c r="M394" i="6"/>
  <c r="G394" i="6"/>
  <c r="B394" i="6"/>
  <c r="M393" i="6"/>
  <c r="G393" i="6"/>
  <c r="F392" i="6"/>
  <c r="E392" i="6"/>
  <c r="E406" i="6" s="1"/>
  <c r="M391" i="6"/>
  <c r="G391" i="6"/>
  <c r="M390" i="6"/>
  <c r="G390" i="6"/>
  <c r="M389" i="6"/>
  <c r="G389" i="6"/>
  <c r="M388" i="6"/>
  <c r="G388" i="6"/>
  <c r="M387" i="6"/>
  <c r="G387" i="6"/>
  <c r="M386" i="6"/>
  <c r="G386" i="6"/>
  <c r="M385" i="6"/>
  <c r="G385" i="6"/>
  <c r="B385" i="6"/>
  <c r="B386" i="6" s="1"/>
  <c r="B387" i="6" s="1"/>
  <c r="B388" i="6" s="1"/>
  <c r="B389" i="6" s="1"/>
  <c r="B390" i="6" s="1"/>
  <c r="B391" i="6" s="1"/>
  <c r="M384" i="6"/>
  <c r="G384" i="6"/>
  <c r="B384" i="6"/>
  <c r="M383" i="6"/>
  <c r="G383" i="6"/>
  <c r="M382" i="6"/>
  <c r="G382" i="6"/>
  <c r="M381" i="6"/>
  <c r="G381" i="6"/>
  <c r="B381" i="6"/>
  <c r="B382" i="6" s="1"/>
  <c r="B383" i="6" s="1"/>
  <c r="M380" i="6"/>
  <c r="G380" i="6"/>
  <c r="O379" i="6"/>
  <c r="F17" i="1" s="1"/>
  <c r="F379" i="6"/>
  <c r="E379" i="6"/>
  <c r="F378" i="6"/>
  <c r="E378" i="6"/>
  <c r="M377" i="6"/>
  <c r="G377" i="6"/>
  <c r="M376" i="6"/>
  <c r="G376" i="6"/>
  <c r="M375" i="6"/>
  <c r="G375" i="6"/>
  <c r="M374" i="6"/>
  <c r="G374" i="6"/>
  <c r="M373" i="6"/>
  <c r="G373" i="6"/>
  <c r="M372" i="6"/>
  <c r="G372" i="6"/>
  <c r="M371" i="6"/>
  <c r="G371" i="6"/>
  <c r="M370" i="6"/>
  <c r="G370" i="6"/>
  <c r="B370" i="6"/>
  <c r="B371" i="6" s="1"/>
  <c r="B372" i="6" s="1"/>
  <c r="B373" i="6" s="1"/>
  <c r="B374" i="6" s="1"/>
  <c r="B375" i="6" s="1"/>
  <c r="B376" i="6" s="1"/>
  <c r="B377" i="6" s="1"/>
  <c r="M369" i="6"/>
  <c r="G369" i="6"/>
  <c r="M368" i="6"/>
  <c r="G368" i="6"/>
  <c r="M367" i="6"/>
  <c r="G367" i="6"/>
  <c r="G378" i="6" s="1"/>
  <c r="B367" i="6"/>
  <c r="B368" i="6" s="1"/>
  <c r="B369" i="6" s="1"/>
  <c r="M366" i="6"/>
  <c r="G366" i="6"/>
  <c r="F365" i="6"/>
  <c r="E365" i="6"/>
  <c r="M364" i="6"/>
  <c r="G364" i="6"/>
  <c r="M363" i="6"/>
  <c r="G363" i="6"/>
  <c r="M362" i="6"/>
  <c r="G362" i="6"/>
  <c r="M361" i="6"/>
  <c r="G361" i="6"/>
  <c r="M360" i="6"/>
  <c r="G360" i="6"/>
  <c r="M359" i="6"/>
  <c r="G359" i="6"/>
  <c r="M358" i="6"/>
  <c r="G358" i="6"/>
  <c r="B358" i="6"/>
  <c r="B359" i="6" s="1"/>
  <c r="B360" i="6" s="1"/>
  <c r="B361" i="6" s="1"/>
  <c r="B362" i="6" s="1"/>
  <c r="B363" i="6" s="1"/>
  <c r="B364" i="6" s="1"/>
  <c r="M357" i="6"/>
  <c r="G357" i="6"/>
  <c r="M356" i="6"/>
  <c r="G356" i="6"/>
  <c r="M355" i="6"/>
  <c r="G355" i="6"/>
  <c r="M354" i="6"/>
  <c r="G354" i="6"/>
  <c r="B354" i="6"/>
  <c r="B355" i="6" s="1"/>
  <c r="B356" i="6" s="1"/>
  <c r="B357" i="6" s="1"/>
  <c r="M353" i="6"/>
  <c r="G353" i="6"/>
  <c r="O352" i="6"/>
  <c r="F352" i="6"/>
  <c r="F351" i="6"/>
  <c r="E351" i="6"/>
  <c r="E352" i="6" s="1"/>
  <c r="M350" i="6"/>
  <c r="G350" i="6"/>
  <c r="M349" i="6"/>
  <c r="G349" i="6"/>
  <c r="M348" i="6"/>
  <c r="G348" i="6"/>
  <c r="M347" i="6"/>
  <c r="G347" i="6"/>
  <c r="M346" i="6"/>
  <c r="G346" i="6"/>
  <c r="M345" i="6"/>
  <c r="G345" i="6"/>
  <c r="M344" i="6"/>
  <c r="G344" i="6"/>
  <c r="M343" i="6"/>
  <c r="G343" i="6"/>
  <c r="M342" i="6"/>
  <c r="G342" i="6"/>
  <c r="M341" i="6"/>
  <c r="G341" i="6"/>
  <c r="B341" i="6"/>
  <c r="B342" i="6" s="1"/>
  <c r="B343" i="6" s="1"/>
  <c r="B344" i="6" s="1"/>
  <c r="B345" i="6" s="1"/>
  <c r="B346" i="6" s="1"/>
  <c r="B347" i="6" s="1"/>
  <c r="B348" i="6" s="1"/>
  <c r="B349" i="6" s="1"/>
  <c r="B350" i="6" s="1"/>
  <c r="M340" i="6"/>
  <c r="G340" i="6"/>
  <c r="B340" i="6"/>
  <c r="M339" i="6"/>
  <c r="G339" i="6"/>
  <c r="F338" i="6"/>
  <c r="E338" i="6"/>
  <c r="M337" i="6"/>
  <c r="G337" i="6"/>
  <c r="M336" i="6"/>
  <c r="G336" i="6"/>
  <c r="M335" i="6"/>
  <c r="G335" i="6"/>
  <c r="M334" i="6"/>
  <c r="G334" i="6"/>
  <c r="B334" i="6"/>
  <c r="B335" i="6" s="1"/>
  <c r="B336" i="6" s="1"/>
  <c r="B337" i="6" s="1"/>
  <c r="M333" i="6"/>
  <c r="G333" i="6"/>
  <c r="M332" i="6"/>
  <c r="G332" i="6"/>
  <c r="M331" i="6"/>
  <c r="G331" i="6"/>
  <c r="M330" i="6"/>
  <c r="G330" i="6"/>
  <c r="M329" i="6"/>
  <c r="G329" i="6"/>
  <c r="M328" i="6"/>
  <c r="G328" i="6"/>
  <c r="B328" i="6"/>
  <c r="B329" i="6" s="1"/>
  <c r="B330" i="6" s="1"/>
  <c r="B331" i="6" s="1"/>
  <c r="B332" i="6" s="1"/>
  <c r="B333" i="6" s="1"/>
  <c r="M327" i="6"/>
  <c r="G327" i="6"/>
  <c r="B327" i="6"/>
  <c r="M326" i="6"/>
  <c r="G326" i="6"/>
  <c r="O325" i="6"/>
  <c r="F15" i="1" s="1"/>
  <c r="F324" i="6"/>
  <c r="E324" i="6"/>
  <c r="M323" i="6"/>
  <c r="G323" i="6"/>
  <c r="M322" i="6"/>
  <c r="G322" i="6"/>
  <c r="M321" i="6"/>
  <c r="G321" i="6"/>
  <c r="M320" i="6"/>
  <c r="G320" i="6"/>
  <c r="M319" i="6"/>
  <c r="G319" i="6"/>
  <c r="M318" i="6"/>
  <c r="G318" i="6"/>
  <c r="M317" i="6"/>
  <c r="G317" i="6"/>
  <c r="M316" i="6"/>
  <c r="G316" i="6"/>
  <c r="M315" i="6"/>
  <c r="G315" i="6"/>
  <c r="B315" i="6"/>
  <c r="B316" i="6" s="1"/>
  <c r="B317" i="6" s="1"/>
  <c r="B318" i="6" s="1"/>
  <c r="B319" i="6" s="1"/>
  <c r="B320" i="6" s="1"/>
  <c r="B321" i="6" s="1"/>
  <c r="B322" i="6" s="1"/>
  <c r="B323" i="6" s="1"/>
  <c r="M314" i="6"/>
  <c r="G314" i="6"/>
  <c r="M313" i="6"/>
  <c r="G313" i="6"/>
  <c r="B313" i="6"/>
  <c r="B314" i="6" s="1"/>
  <c r="M312" i="6"/>
  <c r="G312" i="6"/>
  <c r="F311" i="6"/>
  <c r="F325" i="6" s="1"/>
  <c r="E311" i="6"/>
  <c r="E325" i="6" s="1"/>
  <c r="M310" i="6"/>
  <c r="G310" i="6"/>
  <c r="M309" i="6"/>
  <c r="G309" i="6"/>
  <c r="M308" i="6"/>
  <c r="G308" i="6"/>
  <c r="M307" i="6"/>
  <c r="G307" i="6"/>
  <c r="M306" i="6"/>
  <c r="G306" i="6"/>
  <c r="M305" i="6"/>
  <c r="G305" i="6"/>
  <c r="M304" i="6"/>
  <c r="G304" i="6"/>
  <c r="M303" i="6"/>
  <c r="G303" i="6"/>
  <c r="B303" i="6"/>
  <c r="B304" i="6" s="1"/>
  <c r="B305" i="6" s="1"/>
  <c r="B306" i="6" s="1"/>
  <c r="B307" i="6" s="1"/>
  <c r="B308" i="6" s="1"/>
  <c r="B309" i="6" s="1"/>
  <c r="B310" i="6" s="1"/>
  <c r="M302" i="6"/>
  <c r="G302" i="6"/>
  <c r="M301" i="6"/>
  <c r="G301" i="6"/>
  <c r="B301" i="6"/>
  <c r="B302" i="6" s="1"/>
  <c r="M300" i="6"/>
  <c r="G300" i="6"/>
  <c r="B300" i="6"/>
  <c r="M299" i="6"/>
  <c r="G299" i="6"/>
  <c r="O298" i="6"/>
  <c r="F297" i="6"/>
  <c r="E297" i="6"/>
  <c r="M296" i="6"/>
  <c r="G296" i="6"/>
  <c r="M295" i="6"/>
  <c r="G295" i="6"/>
  <c r="M294" i="6"/>
  <c r="G294" i="6"/>
  <c r="M293" i="6"/>
  <c r="G293" i="6"/>
  <c r="M292" i="6"/>
  <c r="G292" i="6"/>
  <c r="M291" i="6"/>
  <c r="G291" i="6"/>
  <c r="M290" i="6"/>
  <c r="G290" i="6"/>
  <c r="M289" i="6"/>
  <c r="G289" i="6"/>
  <c r="M288" i="6"/>
  <c r="G288" i="6"/>
  <c r="M287" i="6"/>
  <c r="G287" i="6"/>
  <c r="M286" i="6"/>
  <c r="G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M285" i="6"/>
  <c r="G285" i="6"/>
  <c r="G297" i="6" s="1"/>
  <c r="F284" i="6"/>
  <c r="F298" i="6" s="1"/>
  <c r="E284" i="6"/>
  <c r="E298" i="6" s="1"/>
  <c r="M283" i="6"/>
  <c r="G283" i="6"/>
  <c r="M282" i="6"/>
  <c r="G282" i="6"/>
  <c r="M281" i="6"/>
  <c r="G281" i="6"/>
  <c r="M280" i="6"/>
  <c r="G280" i="6"/>
  <c r="M279" i="6"/>
  <c r="G279" i="6"/>
  <c r="G278" i="6"/>
  <c r="M277" i="6"/>
  <c r="G277" i="6"/>
  <c r="M276" i="6"/>
  <c r="G276" i="6"/>
  <c r="B276" i="6"/>
  <c r="B277" i="6" s="1"/>
  <c r="B278" i="6" s="1"/>
  <c r="B279" i="6" s="1"/>
  <c r="B280" i="6" s="1"/>
  <c r="B281" i="6" s="1"/>
  <c r="B282" i="6" s="1"/>
  <c r="B283" i="6" s="1"/>
  <c r="M275" i="6"/>
  <c r="G275" i="6"/>
  <c r="M274" i="6"/>
  <c r="G274" i="6"/>
  <c r="M273" i="6"/>
  <c r="G273" i="6"/>
  <c r="B273" i="6"/>
  <c r="B274" i="6" s="1"/>
  <c r="B275" i="6" s="1"/>
  <c r="M272" i="6"/>
  <c r="G272" i="6"/>
  <c r="O271" i="6"/>
  <c r="E271" i="6"/>
  <c r="F270" i="6"/>
  <c r="F271" i="6" s="1"/>
  <c r="E270" i="6"/>
  <c r="M269" i="6"/>
  <c r="G269" i="6"/>
  <c r="M268" i="6"/>
  <c r="G268" i="6"/>
  <c r="M267" i="6"/>
  <c r="G267" i="6"/>
  <c r="M266" i="6"/>
  <c r="G266" i="6"/>
  <c r="M265" i="6"/>
  <c r="G265" i="6"/>
  <c r="M264" i="6"/>
  <c r="G264" i="6"/>
  <c r="M263" i="6"/>
  <c r="G263" i="6"/>
  <c r="M262" i="6"/>
  <c r="G262" i="6"/>
  <c r="M261" i="6"/>
  <c r="G261" i="6"/>
  <c r="G270" i="6" s="1"/>
  <c r="M260" i="6"/>
  <c r="G260" i="6"/>
  <c r="B260" i="6"/>
  <c r="B261" i="6" s="1"/>
  <c r="B262" i="6" s="1"/>
  <c r="B263" i="6" s="1"/>
  <c r="B264" i="6" s="1"/>
  <c r="B265" i="6" s="1"/>
  <c r="B266" i="6" s="1"/>
  <c r="B267" i="6" s="1"/>
  <c r="B268" i="6" s="1"/>
  <c r="B269" i="6" s="1"/>
  <c r="M259" i="6"/>
  <c r="G259" i="6"/>
  <c r="B259" i="6"/>
  <c r="M258" i="6"/>
  <c r="G258" i="6"/>
  <c r="F257" i="6"/>
  <c r="E257" i="6"/>
  <c r="M256" i="6"/>
  <c r="G256" i="6"/>
  <c r="M255" i="6"/>
  <c r="G255" i="6"/>
  <c r="M254" i="6"/>
  <c r="G254" i="6"/>
  <c r="M253" i="6"/>
  <c r="G253" i="6"/>
  <c r="M252" i="6"/>
  <c r="G252" i="6"/>
  <c r="M251" i="6"/>
  <c r="G251" i="6"/>
  <c r="M250" i="6"/>
  <c r="G250" i="6"/>
  <c r="M249" i="6"/>
  <c r="G249" i="6"/>
  <c r="M248" i="6"/>
  <c r="G248" i="6"/>
  <c r="M247" i="6"/>
  <c r="G247" i="6"/>
  <c r="B247" i="6"/>
  <c r="B248" i="6" s="1"/>
  <c r="B249" i="6" s="1"/>
  <c r="B250" i="6" s="1"/>
  <c r="B251" i="6" s="1"/>
  <c r="B252" i="6" s="1"/>
  <c r="B253" i="6" s="1"/>
  <c r="B254" i="6" s="1"/>
  <c r="B255" i="6" s="1"/>
  <c r="B256" i="6" s="1"/>
  <c r="M246" i="6"/>
  <c r="G246" i="6"/>
  <c r="B246" i="6"/>
  <c r="M245" i="6"/>
  <c r="G245" i="6"/>
  <c r="O244" i="6"/>
  <c r="F12" i="1" s="1"/>
  <c r="E244" i="6"/>
  <c r="F243" i="6"/>
  <c r="E243" i="6"/>
  <c r="M242" i="6"/>
  <c r="G242" i="6"/>
  <c r="M241" i="6"/>
  <c r="G241" i="6"/>
  <c r="M240" i="6"/>
  <c r="G240" i="6"/>
  <c r="M239" i="6"/>
  <c r="G239" i="6"/>
  <c r="M238" i="6"/>
  <c r="G238" i="6"/>
  <c r="G243" i="6" s="1"/>
  <c r="B238" i="6"/>
  <c r="B239" i="6" s="1"/>
  <c r="B240" i="6" s="1"/>
  <c r="B241" i="6" s="1"/>
  <c r="B242" i="6" s="1"/>
  <c r="M237" i="6"/>
  <c r="G237" i="6"/>
  <c r="M236" i="6"/>
  <c r="G236" i="6"/>
  <c r="M235" i="6"/>
  <c r="G235" i="6"/>
  <c r="M234" i="6"/>
  <c r="G234" i="6"/>
  <c r="M233" i="6"/>
  <c r="G233" i="6"/>
  <c r="M232" i="6"/>
  <c r="G232" i="6"/>
  <c r="B232" i="6"/>
  <c r="B233" i="6" s="1"/>
  <c r="B234" i="6" s="1"/>
  <c r="B235" i="6" s="1"/>
  <c r="B236" i="6" s="1"/>
  <c r="B237" i="6" s="1"/>
  <c r="M231" i="6"/>
  <c r="G231" i="6"/>
  <c r="F230" i="6"/>
  <c r="F244" i="6" s="1"/>
  <c r="E230" i="6"/>
  <c r="M229" i="6"/>
  <c r="G229" i="6"/>
  <c r="M228" i="6"/>
  <c r="G228" i="6"/>
  <c r="M227" i="6"/>
  <c r="G227" i="6"/>
  <c r="M226" i="6"/>
  <c r="G226" i="6"/>
  <c r="M225" i="6"/>
  <c r="G225" i="6"/>
  <c r="M224" i="6"/>
  <c r="G224" i="6"/>
  <c r="M223" i="6"/>
  <c r="G223" i="6"/>
  <c r="M222" i="6"/>
  <c r="G222" i="6"/>
  <c r="M221" i="6"/>
  <c r="G221" i="6"/>
  <c r="M220" i="6"/>
  <c r="G220" i="6"/>
  <c r="M219" i="6"/>
  <c r="G219" i="6"/>
  <c r="G230" i="6" s="1"/>
  <c r="G244" i="6" s="1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M218" i="6"/>
  <c r="G218" i="6"/>
  <c r="O217" i="6"/>
  <c r="E217" i="6"/>
  <c r="F216" i="6"/>
  <c r="E216" i="6"/>
  <c r="M215" i="6"/>
  <c r="G215" i="6"/>
  <c r="M214" i="6"/>
  <c r="G214" i="6"/>
  <c r="M213" i="6"/>
  <c r="G213" i="6"/>
  <c r="M212" i="6"/>
  <c r="G212" i="6"/>
  <c r="M211" i="6"/>
  <c r="G211" i="6"/>
  <c r="M210" i="6"/>
  <c r="G210" i="6"/>
  <c r="B210" i="6"/>
  <c r="B211" i="6" s="1"/>
  <c r="B212" i="6" s="1"/>
  <c r="B213" i="6" s="1"/>
  <c r="B214" i="6" s="1"/>
  <c r="B215" i="6" s="1"/>
  <c r="M209" i="6"/>
  <c r="G209" i="6"/>
  <c r="M208" i="6"/>
  <c r="G208" i="6"/>
  <c r="M207" i="6"/>
  <c r="G207" i="6"/>
  <c r="B207" i="6"/>
  <c r="B208" i="6" s="1"/>
  <c r="B209" i="6" s="1"/>
  <c r="M206" i="6"/>
  <c r="G206" i="6"/>
  <c r="B206" i="6"/>
  <c r="M205" i="6"/>
  <c r="G205" i="6"/>
  <c r="B205" i="6"/>
  <c r="M204" i="6"/>
  <c r="G204" i="6"/>
  <c r="F203" i="6"/>
  <c r="F217" i="6" s="1"/>
  <c r="E203" i="6"/>
  <c r="M202" i="6"/>
  <c r="G202" i="6"/>
  <c r="M201" i="6"/>
  <c r="G201" i="6"/>
  <c r="M200" i="6"/>
  <c r="G200" i="6"/>
  <c r="M199" i="6"/>
  <c r="G199" i="6"/>
  <c r="M198" i="6"/>
  <c r="G198" i="6"/>
  <c r="M197" i="6"/>
  <c r="G197" i="6"/>
  <c r="M196" i="6"/>
  <c r="G196" i="6"/>
  <c r="M195" i="6"/>
  <c r="G195" i="6"/>
  <c r="M194" i="6"/>
  <c r="G194" i="6"/>
  <c r="M193" i="6"/>
  <c r="G193" i="6"/>
  <c r="M192" i="6"/>
  <c r="G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M191" i="6"/>
  <c r="G191" i="6"/>
  <c r="O190" i="6"/>
  <c r="F10" i="1" s="1"/>
  <c r="E190" i="6"/>
  <c r="F189" i="6"/>
  <c r="E189" i="6"/>
  <c r="M188" i="6"/>
  <c r="G188" i="6"/>
  <c r="M187" i="6"/>
  <c r="G187" i="6"/>
  <c r="M186" i="6"/>
  <c r="G186" i="6"/>
  <c r="M185" i="6"/>
  <c r="G185" i="6"/>
  <c r="B185" i="6"/>
  <c r="B186" i="6" s="1"/>
  <c r="B187" i="6" s="1"/>
  <c r="B188" i="6" s="1"/>
  <c r="M184" i="6"/>
  <c r="G184" i="6"/>
  <c r="M183" i="6"/>
  <c r="G183" i="6"/>
  <c r="M182" i="6"/>
  <c r="G182" i="6"/>
  <c r="M181" i="6"/>
  <c r="G181" i="6"/>
  <c r="M180" i="6"/>
  <c r="G180" i="6"/>
  <c r="M179" i="6"/>
  <c r="G179" i="6"/>
  <c r="M178" i="6"/>
  <c r="G178" i="6"/>
  <c r="B178" i="6"/>
  <c r="B179" i="6" s="1"/>
  <c r="B180" i="6" s="1"/>
  <c r="B181" i="6" s="1"/>
  <c r="B182" i="6" s="1"/>
  <c r="B183" i="6" s="1"/>
  <c r="B184" i="6" s="1"/>
  <c r="M177" i="6"/>
  <c r="G177" i="6"/>
  <c r="G176" i="6"/>
  <c r="F176" i="6"/>
  <c r="F190" i="6" s="1"/>
  <c r="E176" i="6"/>
  <c r="M175" i="6"/>
  <c r="G175" i="6"/>
  <c r="M174" i="6"/>
  <c r="G174" i="6"/>
  <c r="M173" i="6"/>
  <c r="G173" i="6"/>
  <c r="M172" i="6"/>
  <c r="G172" i="6"/>
  <c r="M171" i="6"/>
  <c r="G171" i="6"/>
  <c r="M170" i="6"/>
  <c r="G170" i="6"/>
  <c r="B170" i="6"/>
  <c r="B171" i="6" s="1"/>
  <c r="B172" i="6" s="1"/>
  <c r="B173" i="6" s="1"/>
  <c r="B174" i="6" s="1"/>
  <c r="B175" i="6" s="1"/>
  <c r="M169" i="6"/>
  <c r="G169" i="6"/>
  <c r="B169" i="6"/>
  <c r="M168" i="6"/>
  <c r="G168" i="6"/>
  <c r="M167" i="6"/>
  <c r="G167" i="6"/>
  <c r="M166" i="6"/>
  <c r="G166" i="6"/>
  <c r="M165" i="6"/>
  <c r="G165" i="6"/>
  <c r="B165" i="6"/>
  <c r="B166" i="6" s="1"/>
  <c r="B167" i="6" s="1"/>
  <c r="B168" i="6" s="1"/>
  <c r="M164" i="6"/>
  <c r="G164" i="6"/>
  <c r="O163" i="6"/>
  <c r="F162" i="6"/>
  <c r="E162" i="6"/>
  <c r="E163" i="6" s="1"/>
  <c r="M161" i="6"/>
  <c r="G161" i="6"/>
  <c r="M160" i="6"/>
  <c r="G160" i="6"/>
  <c r="M159" i="6"/>
  <c r="G159" i="6"/>
  <c r="M158" i="6"/>
  <c r="G158" i="6"/>
  <c r="M157" i="6"/>
  <c r="G157" i="6"/>
  <c r="M156" i="6"/>
  <c r="G156" i="6"/>
  <c r="M155" i="6"/>
  <c r="G155" i="6"/>
  <c r="M154" i="6"/>
  <c r="G154" i="6"/>
  <c r="B154" i="6"/>
  <c r="B155" i="6" s="1"/>
  <c r="B156" i="6" s="1"/>
  <c r="B157" i="6" s="1"/>
  <c r="B158" i="6" s="1"/>
  <c r="B159" i="6" s="1"/>
  <c r="B160" i="6" s="1"/>
  <c r="B161" i="6" s="1"/>
  <c r="M153" i="6"/>
  <c r="G153" i="6"/>
  <c r="M152" i="6"/>
  <c r="G152" i="6"/>
  <c r="M151" i="6"/>
  <c r="G151" i="6"/>
  <c r="B151" i="6"/>
  <c r="B152" i="6" s="1"/>
  <c r="B153" i="6" s="1"/>
  <c r="M150" i="6"/>
  <c r="G150" i="6"/>
  <c r="G149" i="6"/>
  <c r="F149" i="6"/>
  <c r="E149" i="6"/>
  <c r="M148" i="6"/>
  <c r="G148" i="6"/>
  <c r="M147" i="6"/>
  <c r="G147" i="6"/>
  <c r="M146" i="6"/>
  <c r="G146" i="6"/>
  <c r="M145" i="6"/>
  <c r="G145" i="6"/>
  <c r="M144" i="6"/>
  <c r="G144" i="6"/>
  <c r="M143" i="6"/>
  <c r="G143" i="6"/>
  <c r="M142" i="6"/>
  <c r="G142" i="6"/>
  <c r="M141" i="6"/>
  <c r="G141" i="6"/>
  <c r="M140" i="6"/>
  <c r="G140" i="6"/>
  <c r="M139" i="6"/>
  <c r="G139" i="6"/>
  <c r="M138" i="6"/>
  <c r="G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M137" i="6"/>
  <c r="G137" i="6"/>
  <c r="O136" i="6"/>
  <c r="F135" i="6"/>
  <c r="F136" i="6" s="1"/>
  <c r="E135" i="6"/>
  <c r="M134" i="6"/>
  <c r="G134" i="6"/>
  <c r="M133" i="6"/>
  <c r="G133" i="6"/>
  <c r="M132" i="6"/>
  <c r="G132" i="6"/>
  <c r="B132" i="6"/>
  <c r="B133" i="6" s="1"/>
  <c r="B134" i="6" s="1"/>
  <c r="M131" i="6"/>
  <c r="G131" i="6"/>
  <c r="M130" i="6"/>
  <c r="G130" i="6"/>
  <c r="M129" i="6"/>
  <c r="G129" i="6"/>
  <c r="M128" i="6"/>
  <c r="G128" i="6"/>
  <c r="M127" i="6"/>
  <c r="G127" i="6"/>
  <c r="M126" i="6"/>
  <c r="G126" i="6"/>
  <c r="M125" i="6"/>
  <c r="G125" i="6"/>
  <c r="M124" i="6"/>
  <c r="G124" i="6"/>
  <c r="B124" i="6"/>
  <c r="B125" i="6" s="1"/>
  <c r="B126" i="6" s="1"/>
  <c r="B127" i="6" s="1"/>
  <c r="B128" i="6" s="1"/>
  <c r="B129" i="6" s="1"/>
  <c r="B130" i="6" s="1"/>
  <c r="B131" i="6" s="1"/>
  <c r="M123" i="6"/>
  <c r="G123" i="6"/>
  <c r="F122" i="6"/>
  <c r="E122" i="6"/>
  <c r="E136" i="6" s="1"/>
  <c r="M121" i="6"/>
  <c r="G121" i="6"/>
  <c r="M120" i="6"/>
  <c r="G120" i="6"/>
  <c r="M119" i="6"/>
  <c r="G119" i="6"/>
  <c r="M118" i="6"/>
  <c r="G118" i="6"/>
  <c r="M117" i="6"/>
  <c r="G117" i="6"/>
  <c r="M116" i="6"/>
  <c r="G116" i="6"/>
  <c r="M115" i="6"/>
  <c r="G115" i="6"/>
  <c r="M114" i="6"/>
  <c r="G114" i="6"/>
  <c r="B114" i="6"/>
  <c r="B115" i="6" s="1"/>
  <c r="B116" i="6" s="1"/>
  <c r="B117" i="6" s="1"/>
  <c r="B118" i="6" s="1"/>
  <c r="B119" i="6" s="1"/>
  <c r="B120" i="6" s="1"/>
  <c r="B121" i="6" s="1"/>
  <c r="M113" i="6"/>
  <c r="G113" i="6"/>
  <c r="M112" i="6"/>
  <c r="G112" i="6"/>
  <c r="M111" i="6"/>
  <c r="G111" i="6"/>
  <c r="B111" i="6"/>
  <c r="B112" i="6" s="1"/>
  <c r="B113" i="6" s="1"/>
  <c r="M110" i="6"/>
  <c r="G110" i="6"/>
  <c r="O109" i="6"/>
  <c r="F7" i="1" s="1"/>
  <c r="F108" i="6"/>
  <c r="E108" i="6"/>
  <c r="M107" i="6"/>
  <c r="G107" i="6"/>
  <c r="M106" i="6"/>
  <c r="G106" i="6"/>
  <c r="M105" i="6"/>
  <c r="G105" i="6"/>
  <c r="M104" i="6"/>
  <c r="G104" i="6"/>
  <c r="M103" i="6"/>
  <c r="G103" i="6"/>
  <c r="B103" i="6"/>
  <c r="B104" i="6" s="1"/>
  <c r="B105" i="6" s="1"/>
  <c r="B106" i="6" s="1"/>
  <c r="B107" i="6" s="1"/>
  <c r="M102" i="6"/>
  <c r="G102" i="6"/>
  <c r="M101" i="6"/>
  <c r="G101" i="6"/>
  <c r="M100" i="6"/>
  <c r="G100" i="6"/>
  <c r="M99" i="6"/>
  <c r="G99" i="6"/>
  <c r="M98" i="6"/>
  <c r="G98" i="6"/>
  <c r="M97" i="6"/>
  <c r="G97" i="6"/>
  <c r="B97" i="6"/>
  <c r="B98" i="6" s="1"/>
  <c r="B99" i="6" s="1"/>
  <c r="B100" i="6" s="1"/>
  <c r="B101" i="6" s="1"/>
  <c r="B102" i="6" s="1"/>
  <c r="M96" i="6"/>
  <c r="G96" i="6"/>
  <c r="G95" i="6"/>
  <c r="F95" i="6"/>
  <c r="F109" i="6" s="1"/>
  <c r="E95" i="6"/>
  <c r="E109" i="6" s="1"/>
  <c r="M94" i="6"/>
  <c r="G94" i="6"/>
  <c r="M93" i="6"/>
  <c r="G93" i="6"/>
  <c r="M92" i="6"/>
  <c r="G92" i="6"/>
  <c r="M91" i="6"/>
  <c r="G91" i="6"/>
  <c r="M90" i="6"/>
  <c r="G90" i="6"/>
  <c r="M89" i="6"/>
  <c r="G89" i="6"/>
  <c r="M88" i="6"/>
  <c r="G88" i="6"/>
  <c r="M87" i="6"/>
  <c r="G87" i="6"/>
  <c r="B87" i="6"/>
  <c r="B88" i="6" s="1"/>
  <c r="B89" i="6" s="1"/>
  <c r="B90" i="6" s="1"/>
  <c r="B91" i="6" s="1"/>
  <c r="B92" i="6" s="1"/>
  <c r="B93" i="6" s="1"/>
  <c r="B94" i="6" s="1"/>
  <c r="M86" i="6"/>
  <c r="G86" i="6"/>
  <c r="M85" i="6"/>
  <c r="G85" i="6"/>
  <c r="M84" i="6"/>
  <c r="G84" i="6"/>
  <c r="B84" i="6"/>
  <c r="B85" i="6" s="1"/>
  <c r="B86" i="6" s="1"/>
  <c r="M83" i="6"/>
  <c r="G83" i="6"/>
  <c r="O82" i="6"/>
  <c r="G81" i="6"/>
  <c r="F81" i="6"/>
  <c r="E81" i="6"/>
  <c r="M80" i="6"/>
  <c r="G80" i="6"/>
  <c r="M79" i="6"/>
  <c r="G79" i="6"/>
  <c r="M78" i="6"/>
  <c r="G78" i="6"/>
  <c r="M77" i="6"/>
  <c r="G77" i="6"/>
  <c r="M76" i="6"/>
  <c r="G76" i="6"/>
  <c r="M75" i="6"/>
  <c r="G75" i="6"/>
  <c r="M74" i="6"/>
  <c r="G74" i="6"/>
  <c r="M73" i="6"/>
  <c r="G73" i="6"/>
  <c r="B73" i="6"/>
  <c r="B74" i="6" s="1"/>
  <c r="B75" i="6" s="1"/>
  <c r="B76" i="6" s="1"/>
  <c r="B77" i="6" s="1"/>
  <c r="B78" i="6" s="1"/>
  <c r="B79" i="6" s="1"/>
  <c r="B80" i="6" s="1"/>
  <c r="M72" i="6"/>
  <c r="G72" i="6"/>
  <c r="M71" i="6"/>
  <c r="G71" i="6"/>
  <c r="M70" i="6"/>
  <c r="G70" i="6"/>
  <c r="B70" i="6"/>
  <c r="B71" i="6" s="1"/>
  <c r="B72" i="6" s="1"/>
  <c r="M69" i="6"/>
  <c r="G69" i="6"/>
  <c r="F68" i="6"/>
  <c r="E68" i="6"/>
  <c r="E82" i="6" s="1"/>
  <c r="M67" i="6"/>
  <c r="G67" i="6"/>
  <c r="M66" i="6"/>
  <c r="G66" i="6"/>
  <c r="M65" i="6"/>
  <c r="G65" i="6"/>
  <c r="M64" i="6"/>
  <c r="G64" i="6"/>
  <c r="B64" i="6"/>
  <c r="B65" i="6" s="1"/>
  <c r="B66" i="6" s="1"/>
  <c r="B67" i="6" s="1"/>
  <c r="M63" i="6"/>
  <c r="G63" i="6"/>
  <c r="M62" i="6"/>
  <c r="G62" i="6"/>
  <c r="M61" i="6"/>
  <c r="G61" i="6"/>
  <c r="M60" i="6"/>
  <c r="G60" i="6"/>
  <c r="B60" i="6"/>
  <c r="B61" i="6" s="1"/>
  <c r="B62" i="6" s="1"/>
  <c r="B63" i="6" s="1"/>
  <c r="M59" i="6"/>
  <c r="G59" i="6"/>
  <c r="B59" i="6"/>
  <c r="M58" i="6"/>
  <c r="G58" i="6"/>
  <c r="B58" i="6"/>
  <c r="M57" i="6"/>
  <c r="G57" i="6"/>
  <c r="B57" i="6"/>
  <c r="M56" i="6"/>
  <c r="G56" i="6"/>
  <c r="G68" i="6" s="1"/>
  <c r="O55" i="6"/>
  <c r="F5" i="1" s="1"/>
  <c r="G5" i="1" s="1"/>
  <c r="F55" i="6"/>
  <c r="E55" i="6"/>
  <c r="F54" i="6"/>
  <c r="E54" i="6"/>
  <c r="M53" i="6"/>
  <c r="G53" i="6"/>
  <c r="M52" i="6"/>
  <c r="G52" i="6"/>
  <c r="M51" i="6"/>
  <c r="G51" i="6"/>
  <c r="M50" i="6"/>
  <c r="G50" i="6"/>
  <c r="M49" i="6"/>
  <c r="G49" i="6"/>
  <c r="M48" i="6"/>
  <c r="G48" i="6"/>
  <c r="M47" i="6"/>
  <c r="G47" i="6"/>
  <c r="B47" i="6"/>
  <c r="B48" i="6" s="1"/>
  <c r="B49" i="6" s="1"/>
  <c r="B50" i="6" s="1"/>
  <c r="B51" i="6" s="1"/>
  <c r="B52" i="6" s="1"/>
  <c r="B53" i="6" s="1"/>
  <c r="M46" i="6"/>
  <c r="G46" i="6"/>
  <c r="M45" i="6"/>
  <c r="G45" i="6"/>
  <c r="M44" i="6"/>
  <c r="G44" i="6"/>
  <c r="B44" i="6"/>
  <c r="B45" i="6" s="1"/>
  <c r="B46" i="6" s="1"/>
  <c r="M43" i="6"/>
  <c r="G43" i="6"/>
  <c r="B43" i="6"/>
  <c r="M42" i="6"/>
  <c r="G42" i="6"/>
  <c r="F41" i="6"/>
  <c r="E41" i="6"/>
  <c r="M40" i="6"/>
  <c r="G40" i="6"/>
  <c r="M39" i="6"/>
  <c r="G39" i="6"/>
  <c r="M38" i="6"/>
  <c r="G38" i="6"/>
  <c r="M37" i="6"/>
  <c r="G37" i="6"/>
  <c r="M36" i="6"/>
  <c r="G36" i="6"/>
  <c r="M35" i="6"/>
  <c r="G35" i="6"/>
  <c r="M34" i="6"/>
  <c r="G34" i="6"/>
  <c r="M33" i="6"/>
  <c r="G33" i="6"/>
  <c r="M32" i="6"/>
  <c r="G32" i="6"/>
  <c r="M31" i="6"/>
  <c r="G31" i="6"/>
  <c r="B31" i="6"/>
  <c r="B32" i="6" s="1"/>
  <c r="B33" i="6" s="1"/>
  <c r="B34" i="6" s="1"/>
  <c r="B35" i="6" s="1"/>
  <c r="B36" i="6" s="1"/>
  <c r="B37" i="6" s="1"/>
  <c r="B38" i="6" s="1"/>
  <c r="B39" i="6" s="1"/>
  <c r="B40" i="6" s="1"/>
  <c r="M30" i="6"/>
  <c r="G30" i="6"/>
  <c r="B30" i="6"/>
  <c r="M29" i="6"/>
  <c r="G29" i="6"/>
  <c r="O28" i="6"/>
  <c r="F4" i="1" s="1"/>
  <c r="F27" i="6"/>
  <c r="M26" i="6"/>
  <c r="G26" i="6"/>
  <c r="M25" i="6"/>
  <c r="G25" i="6"/>
  <c r="M24" i="6"/>
  <c r="G24" i="6"/>
  <c r="M23" i="6"/>
  <c r="G23" i="6"/>
  <c r="M22" i="6"/>
  <c r="G22" i="6"/>
  <c r="M21" i="6"/>
  <c r="G21" i="6"/>
  <c r="M20" i="6"/>
  <c r="G20" i="6"/>
  <c r="M19" i="6"/>
  <c r="G19" i="6"/>
  <c r="B19" i="6"/>
  <c r="B20" i="6" s="1"/>
  <c r="B21" i="6" s="1"/>
  <c r="B22" i="6" s="1"/>
  <c r="B23" i="6" s="1"/>
  <c r="B24" i="6" s="1"/>
  <c r="B25" i="6" s="1"/>
  <c r="B26" i="6" s="1"/>
  <c r="M18" i="6"/>
  <c r="G18" i="6"/>
  <c r="B18" i="6"/>
  <c r="M17" i="6"/>
  <c r="G17" i="6"/>
  <c r="B17" i="6"/>
  <c r="G16" i="6"/>
  <c r="B16" i="6"/>
  <c r="M15" i="6"/>
  <c r="G15" i="6"/>
  <c r="G27" i="6" s="1"/>
  <c r="F14" i="6"/>
  <c r="F28" i="6" s="1"/>
  <c r="M13" i="6"/>
  <c r="G13" i="6"/>
  <c r="M12" i="6"/>
  <c r="G12" i="6"/>
  <c r="M11" i="6"/>
  <c r="G11" i="6"/>
  <c r="M10" i="6"/>
  <c r="G10" i="6"/>
  <c r="M9" i="6"/>
  <c r="G9" i="6"/>
  <c r="M8" i="6"/>
  <c r="G8" i="6"/>
  <c r="M7" i="6"/>
  <c r="G7" i="6"/>
  <c r="M6" i="6"/>
  <c r="G6" i="6"/>
  <c r="M5" i="6"/>
  <c r="G5" i="6"/>
  <c r="M4" i="6"/>
  <c r="G4" i="6"/>
  <c r="M3" i="6"/>
  <c r="G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M2" i="6"/>
  <c r="G2" i="6"/>
  <c r="G14" i="6" s="1"/>
  <c r="G28" i="6" s="1"/>
  <c r="G10" i="1" l="1"/>
  <c r="G14" i="1"/>
  <c r="G34" i="1"/>
  <c r="G16" i="1"/>
  <c r="G17" i="1"/>
  <c r="E55" i="4"/>
  <c r="E82" i="4"/>
  <c r="E136" i="4"/>
  <c r="E244" i="4"/>
  <c r="E271" i="4"/>
  <c r="E298" i="4"/>
  <c r="E325" i="4"/>
  <c r="E460" i="4"/>
  <c r="E514" i="4"/>
  <c r="E649" i="4"/>
  <c r="E703" i="4"/>
  <c r="E730" i="4"/>
  <c r="G41" i="4"/>
  <c r="G54" i="4"/>
  <c r="F55" i="4"/>
  <c r="G81" i="4"/>
  <c r="G82" i="4" s="1"/>
  <c r="G95" i="4"/>
  <c r="G109" i="4" s="1"/>
  <c r="G135" i="4"/>
  <c r="G136" i="4" s="1"/>
  <c r="F136" i="4"/>
  <c r="F217" i="4"/>
  <c r="G230" i="4"/>
  <c r="G244" i="4" s="1"/>
  <c r="G270" i="4"/>
  <c r="G271" i="4" s="1"/>
  <c r="F271" i="4"/>
  <c r="G311" i="4"/>
  <c r="G325" i="4" s="1"/>
  <c r="G338" i="4"/>
  <c r="G351" i="4"/>
  <c r="F352" i="4"/>
  <c r="G378" i="4"/>
  <c r="G379" i="4" s="1"/>
  <c r="G392" i="4"/>
  <c r="G432" i="4"/>
  <c r="F433" i="4"/>
  <c r="F514" i="4"/>
  <c r="G527" i="4"/>
  <c r="G541" i="4" s="1"/>
  <c r="G567" i="4"/>
  <c r="F568" i="4"/>
  <c r="G608" i="4"/>
  <c r="G622" i="4" s="1"/>
  <c r="G648" i="4"/>
  <c r="G649" i="4" s="1"/>
  <c r="F649" i="4"/>
  <c r="G689" i="4"/>
  <c r="G729" i="4"/>
  <c r="F730" i="4"/>
  <c r="G770" i="4"/>
  <c r="G784" i="4" s="1"/>
  <c r="G14" i="5"/>
  <c r="G28" i="5" s="1"/>
  <c r="F28" i="5"/>
  <c r="G14" i="4"/>
  <c r="G28" i="4" s="1"/>
  <c r="E82" i="3"/>
  <c r="E109" i="3"/>
  <c r="E136" i="3"/>
  <c r="E460" i="3"/>
  <c r="E487" i="3"/>
  <c r="E514" i="3"/>
  <c r="E676" i="3"/>
  <c r="E703" i="3"/>
  <c r="E730" i="3"/>
  <c r="E784" i="3"/>
  <c r="F55" i="3"/>
  <c r="G68" i="3"/>
  <c r="G82" i="3" s="1"/>
  <c r="G95" i="3"/>
  <c r="G108" i="3"/>
  <c r="F109" i="3"/>
  <c r="G122" i="3"/>
  <c r="G135" i="3"/>
  <c r="G149" i="3"/>
  <c r="G162" i="3"/>
  <c r="G189" i="3"/>
  <c r="G190" i="3" s="1"/>
  <c r="G230" i="3"/>
  <c r="G244" i="3" s="1"/>
  <c r="G270" i="3"/>
  <c r="F271" i="3"/>
  <c r="G284" i="3"/>
  <c r="G324" i="3"/>
  <c r="G325" i="3" s="1"/>
  <c r="F325" i="3"/>
  <c r="F352" i="3"/>
  <c r="G365" i="3"/>
  <c r="G379" i="3" s="1"/>
  <c r="G392" i="3"/>
  <c r="G405" i="3"/>
  <c r="F406" i="3"/>
  <c r="G419" i="3"/>
  <c r="G432" i="3"/>
  <c r="G446" i="3"/>
  <c r="G459" i="3"/>
  <c r="G486" i="3"/>
  <c r="G487" i="3" s="1"/>
  <c r="G527" i="3"/>
  <c r="G567" i="3"/>
  <c r="F568" i="3"/>
  <c r="G581" i="3"/>
  <c r="G595" i="3" s="1"/>
  <c r="G621" i="3"/>
  <c r="G622" i="3" s="1"/>
  <c r="F649" i="3"/>
  <c r="G662" i="3"/>
  <c r="G702" i="3"/>
  <c r="F703" i="3"/>
  <c r="G743" i="3"/>
  <c r="G757" i="3" s="1"/>
  <c r="F757" i="3"/>
  <c r="G783" i="3"/>
  <c r="G810" i="3"/>
  <c r="G811" i="3" s="1"/>
  <c r="G14" i="3"/>
  <c r="G28" i="3" s="1"/>
  <c r="F28" i="3"/>
  <c r="G784" i="3"/>
  <c r="G271" i="3"/>
  <c r="G541" i="3"/>
  <c r="G406" i="3"/>
  <c r="G703" i="3"/>
  <c r="G568" i="3"/>
  <c r="G676" i="3"/>
  <c r="G109" i="3"/>
  <c r="G136" i="3"/>
  <c r="G298" i="3"/>
  <c r="G406" i="4"/>
  <c r="G433" i="4"/>
  <c r="G568" i="4"/>
  <c r="G730" i="4"/>
  <c r="G703" i="4"/>
  <c r="G55" i="4"/>
  <c r="G487" i="5"/>
  <c r="G649" i="5"/>
  <c r="G109" i="5"/>
  <c r="G136" i="5"/>
  <c r="G271" i="5"/>
  <c r="G82" i="5"/>
  <c r="G406" i="5"/>
  <c r="G568" i="5"/>
  <c r="G352" i="5"/>
  <c r="G541" i="5"/>
  <c r="G379" i="5"/>
  <c r="G703" i="5"/>
  <c r="G190" i="5"/>
  <c r="E541" i="3"/>
  <c r="E784" i="5"/>
  <c r="M554" i="4"/>
  <c r="M621" i="4"/>
  <c r="M594" i="4"/>
  <c r="M14" i="3"/>
  <c r="M756" i="4"/>
  <c r="M405" i="5"/>
  <c r="M27" i="4"/>
  <c r="M297" i="3"/>
  <c r="M135" i="5"/>
  <c r="M162" i="4"/>
  <c r="M230" i="5"/>
  <c r="M743" i="3"/>
  <c r="M81" i="4"/>
  <c r="M419" i="6"/>
  <c r="M459" i="6"/>
  <c r="M702" i="6"/>
  <c r="M797" i="6"/>
  <c r="M135" i="3"/>
  <c r="M95" i="6"/>
  <c r="M324" i="3"/>
  <c r="M527" i="5"/>
  <c r="M122" i="6"/>
  <c r="M797" i="5"/>
  <c r="M95" i="4"/>
  <c r="M176" i="6"/>
  <c r="M230" i="6"/>
  <c r="M270" i="6"/>
  <c r="M554" i="6"/>
  <c r="M783" i="6"/>
  <c r="M68" i="4"/>
  <c r="M41" i="5"/>
  <c r="M365" i="3"/>
  <c r="M756" i="5"/>
  <c r="M54" i="4"/>
  <c r="M689" i="5"/>
  <c r="M500" i="3"/>
  <c r="M635" i="6"/>
  <c r="M122" i="4"/>
  <c r="M540" i="3"/>
  <c r="M68" i="5"/>
  <c r="M338" i="5"/>
  <c r="M513" i="4"/>
  <c r="M527" i="4"/>
  <c r="M567" i="5"/>
  <c r="M378" i="6"/>
  <c r="M216" i="3"/>
  <c r="M716" i="5"/>
  <c r="M702" i="3"/>
  <c r="M473" i="4"/>
  <c r="M648" i="5"/>
  <c r="M41" i="3"/>
  <c r="M108" i="3"/>
  <c r="M675" i="3"/>
  <c r="M270" i="5"/>
  <c r="M311" i="5"/>
  <c r="M608" i="4"/>
  <c r="M189" i="5"/>
  <c r="M392" i="6"/>
  <c r="M473" i="6"/>
  <c r="M54" i="3"/>
  <c r="M230" i="3"/>
  <c r="M527" i="6"/>
  <c r="M338" i="6"/>
  <c r="M783" i="3"/>
  <c r="M149" i="6"/>
  <c r="M729" i="6"/>
  <c r="M770" i="6"/>
  <c r="M162" i="3"/>
  <c r="M797" i="3"/>
  <c r="M378" i="5"/>
  <c r="M716" i="3"/>
  <c r="M243" i="3"/>
  <c r="M405" i="4"/>
  <c r="M432" i="6"/>
  <c r="M14" i="6"/>
  <c r="M27" i="5"/>
  <c r="M419" i="3"/>
  <c r="M446" i="3"/>
  <c r="G784" i="6"/>
  <c r="M297" i="6"/>
  <c r="G135" i="6"/>
  <c r="G392" i="6"/>
  <c r="G406" i="6" s="1"/>
  <c r="M392" i="3"/>
  <c r="M162" i="6"/>
  <c r="G514" i="6"/>
  <c r="M41" i="6"/>
  <c r="M216" i="6"/>
  <c r="G460" i="6"/>
  <c r="M311" i="3"/>
  <c r="M621" i="3"/>
  <c r="D35" i="1"/>
  <c r="G4" i="1"/>
  <c r="M203" i="4"/>
  <c r="M203" i="5"/>
  <c r="M243" i="5"/>
  <c r="G162" i="6"/>
  <c r="G189" i="6"/>
  <c r="M189" i="3"/>
  <c r="G54" i="6"/>
  <c r="M189" i="6"/>
  <c r="M41" i="4"/>
  <c r="M675" i="5"/>
  <c r="M54" i="6"/>
  <c r="G311" i="6"/>
  <c r="G33" i="1"/>
  <c r="M284" i="4"/>
  <c r="F163" i="6"/>
  <c r="M621" i="6"/>
  <c r="G8" i="1"/>
  <c r="G25" i="1"/>
  <c r="M513" i="3"/>
  <c r="M554" i="3"/>
  <c r="M257" i="4"/>
  <c r="M648" i="4"/>
  <c r="M176" i="5"/>
  <c r="M95" i="5"/>
  <c r="G82" i="6"/>
  <c r="M135" i="6"/>
  <c r="G338" i="6"/>
  <c r="M648" i="3"/>
  <c r="M540" i="6"/>
  <c r="M459" i="4"/>
  <c r="M500" i="6"/>
  <c r="M770" i="3"/>
  <c r="G730" i="6"/>
  <c r="M716" i="6"/>
  <c r="G109" i="6"/>
  <c r="G216" i="6"/>
  <c r="M338" i="3"/>
  <c r="M743" i="4"/>
  <c r="M702" i="5"/>
  <c r="G190" i="6"/>
  <c r="G689" i="6"/>
  <c r="G163" i="6"/>
  <c r="G662" i="6"/>
  <c r="E811" i="6"/>
  <c r="M297" i="4"/>
  <c r="M675" i="4"/>
  <c r="M486" i="5"/>
  <c r="M743" i="5"/>
  <c r="M594" i="6"/>
  <c r="M27" i="3"/>
  <c r="M729" i="3"/>
  <c r="M135" i="4"/>
  <c r="G27" i="1"/>
  <c r="M513" i="6"/>
  <c r="G635" i="6"/>
  <c r="C35" i="1"/>
  <c r="M729" i="4"/>
  <c r="M149" i="5"/>
  <c r="M257" i="6"/>
  <c r="G743" i="6"/>
  <c r="G757" i="6" s="1"/>
  <c r="M810" i="6"/>
  <c r="M203" i="3"/>
  <c r="M405" i="3"/>
  <c r="M230" i="4"/>
  <c r="M54" i="5"/>
  <c r="M122" i="5"/>
  <c r="M486" i="6"/>
  <c r="G756" i="6"/>
  <c r="M581" i="4"/>
  <c r="M797" i="4"/>
  <c r="M446" i="5"/>
  <c r="G608" i="6"/>
  <c r="G622" i="6" s="1"/>
  <c r="G675" i="6"/>
  <c r="M756" i="6"/>
  <c r="G23" i="1"/>
  <c r="M702" i="4"/>
  <c r="M540" i="5"/>
  <c r="M594" i="5"/>
  <c r="M81" i="6"/>
  <c r="M108" i="6"/>
  <c r="G432" i="6"/>
  <c r="G486" i="6"/>
  <c r="G487" i="6" s="1"/>
  <c r="G405" i="6"/>
  <c r="G648" i="6"/>
  <c r="F703" i="6"/>
  <c r="M594" i="3"/>
  <c r="M108" i="4"/>
  <c r="M392" i="5"/>
  <c r="M419" i="5"/>
  <c r="M648" i="6"/>
  <c r="M770" i="4"/>
  <c r="M176" i="3"/>
  <c r="M351" i="3"/>
  <c r="M378" i="4"/>
  <c r="M81" i="5"/>
  <c r="M216" i="5"/>
  <c r="M365" i="5"/>
  <c r="M608" i="5"/>
  <c r="G513" i="6"/>
  <c r="M68" i="3"/>
  <c r="M297" i="5"/>
  <c r="M513" i="5"/>
  <c r="M675" i="6"/>
  <c r="G21" i="1"/>
  <c r="M95" i="3"/>
  <c r="M405" i="6"/>
  <c r="G324" i="6"/>
  <c r="G7" i="1"/>
  <c r="G15" i="1"/>
  <c r="M486" i="4"/>
  <c r="M108" i="5"/>
  <c r="M68" i="6"/>
  <c r="M689" i="3"/>
  <c r="G28" i="1"/>
  <c r="M27" i="6"/>
  <c r="M446" i="6"/>
  <c r="M378" i="3"/>
  <c r="M581" i="5"/>
  <c r="M270" i="3"/>
  <c r="M662" i="4"/>
  <c r="G257" i="6"/>
  <c r="G271" i="6" s="1"/>
  <c r="G365" i="6"/>
  <c r="G379" i="6" s="1"/>
  <c r="G527" i="6"/>
  <c r="G541" i="6" s="1"/>
  <c r="M608" i="6"/>
  <c r="M81" i="3"/>
  <c r="M432" i="3"/>
  <c r="M527" i="3"/>
  <c r="M540" i="4"/>
  <c r="G26" i="1"/>
  <c r="M14" i="5"/>
  <c r="M257" i="5"/>
  <c r="M365" i="6"/>
  <c r="M149" i="3"/>
  <c r="M432" i="4"/>
  <c r="M810" i="5"/>
  <c r="G203" i="6"/>
  <c r="G702" i="6"/>
  <c r="M743" i="6"/>
  <c r="M473" i="3"/>
  <c r="M810" i="3"/>
  <c r="M216" i="4"/>
  <c r="M689" i="4"/>
  <c r="M473" i="5"/>
  <c r="M203" i="6"/>
  <c r="E35" i="1"/>
  <c r="M608" i="3"/>
  <c r="M338" i="4"/>
  <c r="M567" i="4"/>
  <c r="M783" i="4"/>
  <c r="M324" i="5"/>
  <c r="F35" i="1"/>
  <c r="M257" i="3"/>
  <c r="G29" i="1"/>
  <c r="G30" i="1"/>
  <c r="M432" i="5"/>
  <c r="F82" i="6"/>
  <c r="M662" i="6"/>
  <c r="M270" i="4"/>
  <c r="M284" i="5"/>
  <c r="M284" i="6"/>
  <c r="M567" i="3"/>
  <c r="M635" i="3"/>
  <c r="M459" i="5"/>
  <c r="M500" i="5"/>
  <c r="G122" i="6"/>
  <c r="M243" i="6"/>
  <c r="G351" i="6"/>
  <c r="M176" i="4"/>
  <c r="M311" i="4"/>
  <c r="M446" i="4"/>
  <c r="M770" i="5"/>
  <c r="M311" i="6"/>
  <c r="M351" i="6"/>
  <c r="G540" i="6"/>
  <c r="M581" i="6"/>
  <c r="M459" i="3"/>
  <c r="M419" i="4"/>
  <c r="M500" i="4"/>
  <c r="G108" i="6"/>
  <c r="G284" i="6"/>
  <c r="G298" i="6" s="1"/>
  <c r="M662" i="5"/>
  <c r="F514" i="6"/>
  <c r="M581" i="3"/>
  <c r="M756" i="3"/>
  <c r="M810" i="4"/>
  <c r="G41" i="6"/>
  <c r="G55" i="6" s="1"/>
  <c r="M567" i="6"/>
  <c r="M365" i="4"/>
  <c r="G419" i="6"/>
  <c r="M122" i="3"/>
  <c r="M621" i="5"/>
  <c r="M324" i="6"/>
  <c r="M689" i="6"/>
  <c r="G810" i="6"/>
  <c r="G811" i="6" s="1"/>
  <c r="M729" i="5"/>
  <c r="M783" i="5"/>
  <c r="M351" i="5"/>
  <c r="M486" i="3"/>
  <c r="M662" i="3"/>
  <c r="M14" i="4"/>
  <c r="M162" i="5"/>
  <c r="M284" i="3"/>
  <c r="M189" i="4"/>
  <c r="M243" i="4"/>
  <c r="M351" i="4"/>
  <c r="M554" i="5"/>
  <c r="M716" i="4"/>
  <c r="M635" i="5"/>
  <c r="M149" i="4"/>
  <c r="M324" i="4"/>
  <c r="M392" i="4"/>
  <c r="M635" i="4"/>
  <c r="G352" i="4" l="1"/>
  <c r="G460" i="3"/>
  <c r="G433" i="3"/>
  <c r="G163" i="3"/>
  <c r="M28" i="5"/>
  <c r="M244" i="5"/>
  <c r="M244" i="3"/>
  <c r="M406" i="5"/>
  <c r="M271" i="6"/>
  <c r="M703" i="3"/>
  <c r="M244" i="6"/>
  <c r="M190" i="6"/>
  <c r="M811" i="3"/>
  <c r="M28" i="6"/>
  <c r="M325" i="5"/>
  <c r="M676" i="3"/>
  <c r="M217" i="6"/>
  <c r="M217" i="3"/>
  <c r="M136" i="4"/>
  <c r="M703" i="5"/>
  <c r="M163" i="4"/>
  <c r="M82" i="4"/>
  <c r="M487" i="4"/>
  <c r="M595" i="4"/>
  <c r="M379" i="5"/>
  <c r="M28" i="3"/>
  <c r="M730" i="5"/>
  <c r="M568" i="6"/>
  <c r="M622" i="4"/>
  <c r="M649" i="5"/>
  <c r="M757" i="4"/>
  <c r="M136" i="3"/>
  <c r="M568" i="4"/>
  <c r="M190" i="3"/>
  <c r="M541" i="5"/>
  <c r="M811" i="6"/>
  <c r="M271" i="5"/>
  <c r="M541" i="6"/>
  <c r="M325" i="3"/>
  <c r="M55" i="5"/>
  <c r="M433" i="6"/>
  <c r="M217" i="5"/>
  <c r="M730" i="3"/>
  <c r="M703" i="6"/>
  <c r="M784" i="6"/>
  <c r="M649" i="4"/>
  <c r="M109" i="4"/>
  <c r="M163" i="6"/>
  <c r="M541" i="4"/>
  <c r="M406" i="4"/>
  <c r="M703" i="4"/>
  <c r="M730" i="4"/>
  <c r="M433" i="4"/>
  <c r="M217" i="4"/>
  <c r="M649" i="6"/>
  <c r="M352" i="5"/>
  <c r="M433" i="3"/>
  <c r="M136" i="6"/>
  <c r="M514" i="3"/>
  <c r="M757" i="3"/>
  <c r="M649" i="3"/>
  <c r="M352" i="4"/>
  <c r="M136" i="5"/>
  <c r="M352" i="3"/>
  <c r="M163" i="3"/>
  <c r="M757" i="5"/>
  <c r="M109" i="5"/>
  <c r="M109" i="6"/>
  <c r="M55" i="3"/>
  <c r="M379" i="3"/>
  <c r="M298" i="3"/>
  <c r="M460" i="4"/>
  <c r="M460" i="6"/>
  <c r="M28" i="4"/>
  <c r="M325" i="4"/>
  <c r="M487" i="3"/>
  <c r="M757" i="6"/>
  <c r="M82" i="5"/>
  <c r="M460" i="3"/>
  <c r="M595" i="6"/>
  <c r="M811" i="5"/>
  <c r="M298" i="5"/>
  <c r="M352" i="6"/>
  <c r="M514" i="4"/>
  <c r="M163" i="5"/>
  <c r="M784" i="3"/>
  <c r="M595" i="3"/>
  <c r="M406" i="6"/>
  <c r="M541" i="3"/>
  <c r="M514" i="5"/>
  <c r="M622" i="6"/>
  <c r="M730" i="6"/>
  <c r="M55" i="4"/>
  <c r="M190" i="5"/>
  <c r="M568" i="5"/>
  <c r="M595" i="5"/>
  <c r="M676" i="5"/>
  <c r="M676" i="6"/>
  <c r="M109" i="3"/>
  <c r="M487" i="6"/>
  <c r="M379" i="6"/>
  <c r="G217" i="6"/>
  <c r="M298" i="4"/>
  <c r="M325" i="6"/>
  <c r="G325" i="6"/>
  <c r="G649" i="6"/>
  <c r="M433" i="5"/>
  <c r="G433" i="6"/>
  <c r="M487" i="5"/>
  <c r="M55" i="6"/>
  <c r="M298" i="6"/>
  <c r="G676" i="6"/>
  <c r="M784" i="4"/>
  <c r="M784" i="5"/>
  <c r="M622" i="3"/>
  <c r="M244" i="4"/>
  <c r="M271" i="4"/>
  <c r="G35" i="1"/>
  <c r="M676" i="4"/>
  <c r="M460" i="5"/>
  <c r="M811" i="4"/>
  <c r="G703" i="6"/>
  <c r="M514" i="6"/>
  <c r="M190" i="4"/>
  <c r="M271" i="3"/>
  <c r="M82" i="3"/>
  <c r="M379" i="4"/>
  <c r="M82" i="6"/>
  <c r="M622" i="5"/>
  <c r="G352" i="6"/>
  <c r="M568" i="3"/>
  <c r="G136" i="6"/>
  <c r="M406" i="3"/>
</calcChain>
</file>

<file path=xl/sharedStrings.xml><?xml version="1.0" encoding="utf-8"?>
<sst xmlns="http://schemas.openxmlformats.org/spreadsheetml/2006/main" count="1420" uniqueCount="202">
  <si>
    <t>📊  RESUMO — TOTALIZADOR DA BALANÇA  |  JULHO 2026</t>
  </si>
  <si>
    <t>⚙  BRITADOR</t>
  </si>
  <si>
    <t>🟢  LINHA 1</t>
  </si>
  <si>
    <t>🟠  LINHA 2</t>
  </si>
  <si>
    <t>🟣  LINHA 3</t>
  </si>
  <si>
    <t>∑  TOTAL
LINHAS 1+2+3</t>
  </si>
  <si>
    <t>Dia</t>
  </si>
  <si>
    <t>Data</t>
  </si>
  <si>
    <t>Balança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</si>
  <si>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</si>
  <si>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</si>
  <si>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</si>
  <si>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</si>
  <si>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</si>
  <si>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</si>
  <si>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</si>
  <si>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</si>
  <si>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</si>
  <si>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</si>
  <si>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</si>
  <si>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</si>
  <si>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</si>
  <si>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Alto teor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</si>
  <si>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</si>
  <si>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</si>
  <si>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</si>
  <si>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</si>
  <si>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</si>
  <si>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</si>
  <si>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</si>
  <si>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Baixo teor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</si>
  <si>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</si>
  <si>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</si>
  <si>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</si>
  <si>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</si>
  <si>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</si>
  <si>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</si>
  <si>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</si>
  <si>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Rabo de bica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</si>
  <si>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</si>
  <si>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</si>
  <si>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</si>
  <si>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</si>
  <si>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</si>
  <si>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</si>
  <si>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</si>
  <si>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Goiânia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</si>
  <si>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</si>
  <si>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</si>
  <si>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</si>
  <si>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</si>
  <si>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</si>
  <si>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</si>
  <si>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</si>
  <si>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</si>
  <si>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</si>
  <si>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</si>
  <si>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</si>
  <si>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</si>
  <si>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</si>
  <si>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</si>
  <si>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</si>
  <si>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</si>
  <si>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</si>
  <si>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</si>
  <si>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</si>
  <si>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</si>
  <si>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</si>
  <si>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</si>
  <si>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</si>
  <si>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</si>
  <si>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</si>
  <si>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</si>
  <si>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</si>
  <si>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</si>
  <si>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</si>
  <si>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</si>
  <si>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</si>
  <si>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</si>
  <si>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</si>
  <si>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</si>
  <si>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</si>
  <si>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</si>
  <si>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</si>
  <si>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</si>
  <si>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</si>
  <si>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</si>
  <si>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</si>
  <si>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</si>
  <si>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</si>
  <si>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</si>
  <si>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</si>
  <si>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</si>
  <si>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</si>
  <si>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</si>
  <si>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</si>
  <si>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Correia desalinhada / patinando</t>
  </si>
  <si>
    <t>arrebentou a orelha do martelo</t>
  </si>
  <si>
    <t>Obstrução da correia transportadora</t>
  </si>
  <si>
    <t>Centrífuga (RD) 05 L3</t>
  </si>
  <si>
    <t>Correia rasgada / danificada</t>
  </si>
  <si>
    <t>troca  de pino</t>
  </si>
  <si>
    <t>Obstrução no moinho de bola</t>
  </si>
  <si>
    <t>Centrífuga (RD) 06 L3 bola</t>
  </si>
  <si>
    <t>Manutenção no redutor da TC</t>
  </si>
  <si>
    <t>virar as faca</t>
  </si>
  <si>
    <t>Moinho de bola jogando material para fora / derramando</t>
  </si>
  <si>
    <t>Centrífuga (Falcon) 06 L1 bola</t>
  </si>
  <si>
    <t>Troca de Bomba</t>
  </si>
  <si>
    <t>Aguardando material britado</t>
  </si>
  <si>
    <t>Centrífuga (Falcon) 07 L1 bola</t>
  </si>
  <si>
    <t>Solda na bica</t>
  </si>
  <si>
    <t>Moega cheia</t>
  </si>
  <si>
    <t>Moinho de bola 01</t>
  </si>
  <si>
    <t>Solda na Grelha</t>
  </si>
  <si>
    <t>Falta de operador de pá carregadeira</t>
  </si>
  <si>
    <t>Moinho de bola 02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</si>
  <si>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</si>
  <si>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</si>
  <si>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</si>
  <si>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</si>
  <si>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</si>
  <si>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</si>
  <si>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</si>
  <si>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</si>
  <si>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</si>
  <si>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</si>
  <si>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</si>
  <si>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</si>
  <si>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</si>
  <si>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</si>
  <si>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</si>
  <si>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</si>
  <si>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</si>
  <si>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</si>
  <si>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</si>
  <si>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</si>
  <si>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</si>
  <si>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</si>
  <si>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</si>
  <si>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</si>
  <si>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</si>
  <si>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</si>
  <si>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</si>
  <si>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</si>
  <si>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</si>
  <si>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</si>
  <si>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</si>
  <si>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</si>
  <si>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</si>
  <si>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</si>
  <si>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</si>
  <si>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</si>
  <si>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</si>
  <si>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</si>
  <si>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</si>
  <si>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</si>
  <si>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</si>
  <si>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Colocar parafuso do revestimento</t>
  </si>
  <si>
    <t xml:space="preserve">Desobstrução tubulação da goiania 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</si>
  <si>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</si>
  <si>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</si>
  <si>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</si>
  <si>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</si>
  <si>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</si>
  <si>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</si>
  <si>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</si>
  <si>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</si>
  <si>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</si>
  <si>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</si>
  <si>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</si>
  <si>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fazendo um servico de solda no cavalete da tc02</t>
  </si>
  <si>
    <t>emenda da tc 03</t>
  </si>
  <si>
    <t>reforço de solda nas orelhas dos martelos</t>
  </si>
  <si>
    <t>TC3 travada</t>
  </si>
  <si>
    <t>ℹ  Cada coluna corresponde a um Tipo de Parada. Adicione descrições nas linhas vazias de cada coluna.</t>
  </si>
  <si>
    <t>anel de vedaçao encostando na trampa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</si>
  <si>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</si>
  <si>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</si>
  <si>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</si>
  <si>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</si>
  <si>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</si>
  <si>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</si>
  <si>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</si>
  <si>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</si>
  <si>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Observação</t>
  </si>
  <si>
    <t>Totalizador
da Balança</t>
  </si>
  <si>
    <t>baixo teor</t>
  </si>
  <si>
    <t>PC 19</t>
  </si>
  <si>
    <t>limpeza na tc 2</t>
  </si>
  <si>
    <t>☀  TURNO DIURNO</t>
  </si>
  <si>
    <t>Totalizador da balança  ➜</t>
  </si>
  <si>
    <t>🌙  TURNO NOTURNO</t>
  </si>
  <si>
    <t>TOTAL GLOBAL DO DIA</t>
  </si>
  <si>
    <t>Totalizador global  ➜</t>
  </si>
  <si>
    <t>PC 17</t>
  </si>
  <si>
    <t>solda na grelha</t>
  </si>
  <si>
    <t>solda na tampa do moinho</t>
  </si>
  <si>
    <t>troca de grelha e martelo</t>
  </si>
  <si>
    <t>manutençao no rolamento do moinho 4</t>
  </si>
  <si>
    <t>troca de martelo</t>
  </si>
  <si>
    <t>OBS: APENAS MM 05 EM OPERACÃO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</si>
</sst>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m/d/yyyy"/>
    <numFmt numFmtId="165" formatCode="[$-F400]h:mm:ss\ AM/PM"/>
    <numFmt numFmtId="166" formatCode="h:mm"/>
    <numFmt numFmtId="167" formatCode="0&quot;Kg&quot;"/>
  </numFmts>
  <fonts count="21" x14ac:knownFonts="1">
    <font>
      <sz val="11"/>
      <color theme="1"/>
      <name val="Calibri"/>
      <family val="2"/>
      <charset val="1"/>
    </font>
    <font>
      <b/>
      <sz val="13"/>
      <color rgb="FFFFFFFF"/>
      <name val="Arial"/>
      <charset val="1"/>
    </font>
    <font>
      <b/>
      <sz val="10"/>
      <color rgb="FFFFFFFF"/>
      <name val="Arial"/>
      <charset val="1"/>
    </font>
    <font>
      <b/>
      <sz val="9"/>
      <color rgb="FFFFFFFF"/>
      <name val="Arial"/>
      <charset val="1"/>
    </font>
    <font>
      <b/>
      <sz val="9"/>
      <color rgb="FF2E75B6"/>
      <name val="Arial"/>
      <charset val="1"/>
    </font>
    <font>
      <sz val="9"/>
      <name val="Arial"/>
      <charset val="1"/>
    </font>
    <font>
      <sz val="9"/>
      <color rgb="FF1A1A1A"/>
      <name val="Arial"/>
      <charset val="1"/>
    </font>
    <font>
      <b/>
      <sz val="9"/>
      <color rgb="FF1A1A1A"/>
      <name val="Arial"/>
      <charset val="1"/>
    </font>
    <font>
      <b/>
      <sz val="11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sz val="9"/>
      <name val="Arial"/>
      <family val="2"/>
      <charset val="1"/>
    </font>
    <font>
      <i/>
      <sz val="9"/>
      <color rgb="FF444444"/>
      <name val="Arial"/>
      <family val="2"/>
      <charset val="1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b/>
      <sz val="10"/>
      <color rgb="FF1B3A6B"/>
      <name val="Arial"/>
      <charset val="1"/>
    </font>
    <font>
      <sz val="9"/>
      <color rgb="FFFF0000"/>
      <name val="Arial"/>
      <family val="2"/>
      <charset val="1"/>
    </font>
    <font>
      <b/>
      <sz val="16"/>
      <color rgb="FF000000"/>
      <name val="Calibri"/>
      <family val="2"/>
      <charset val="1"/>
    </font>
    <font>
      <sz val="8"/>
      <name val="Calibri"/>
      <family val="2"/>
      <charset val="1"/>
    </font>
    <font>
      <b/>
      <sz val="10"/>
      <color rgb="FF1B3A6B"/>
      <name val="Arial"/>
    </font>
    <font>
      <sz val="9"/>
      <name val="Arial"/>
    </font>
  </fonts>
  <fills count="16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8080"/>
      </patternFill>
    </fill>
    <fill>
      <patternFill patternType="solid">
        <fgColor rgb="FFB34700"/>
        <bgColor rgb="FFC0504D"/>
      </patternFill>
    </fill>
    <fill>
      <patternFill patternType="solid">
        <fgColor rgb="FF7B1FA2"/>
        <bgColor rgb="FF800080"/>
      </patternFill>
    </fill>
    <fill>
      <patternFill patternType="solid">
        <fgColor rgb="FFFFC000"/>
        <bgColor rgb="FFFF9900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theme="3"/>
        <bgColor rgb="FF1B3A6B"/>
      </patternFill>
    </fill>
    <fill>
      <patternFill patternType="solid">
        <fgColor rgb="FFD6E4F0"/>
        <bgColor rgb="FFDDD9C3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</fills>
  <borders count="9">
    <border>
      <left/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/>
      <right/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/>
      <top style="thin">
        <color rgb="FFBFBFBF"/>
      </top>
      <bottom style="thin">
        <color rgb="FFBFBFBF"/>
      </bottom>
      <diagonal/>
    </border>
  </borders>
  <cellStyleXfs count="1">
    <xf numFmtId="0" fontId="0" fillId="0" borderId="0"/>
  </cellStyleXfs>
  <cellXfs count="92">
    <xf numFmtId="0" fontId="0" fillId="0" borderId="0" xfId="0"/>
    <xf numFmtId="0" fontId="2" fillId="3" borderId="2" xfId="0" applyFont="1" applyFill="1" applyBorder="1" applyAlignment="1">
      <alignment horizontal="center" vertical="center" wrapText="1"/>
    </xf>
    <xf numFmtId="0" fontId="2" fillId="4" borderId="2" xfId="0" applyFont="1" applyFill="1" applyBorder="1" applyAlignment="1">
      <alignment horizontal="center" vertical="center" wrapText="1"/>
    </xf>
    <xf numFmtId="0" fontId="2" fillId="5" borderId="2" xfId="0" applyFont="1" applyFill="1" applyBorder="1" applyAlignment="1">
      <alignment horizontal="center" vertical="center" wrapText="1"/>
    </xf>
    <xf numFmtId="0" fontId="2" fillId="6" borderId="2" xfId="0" applyFont="1" applyFill="1" applyBorder="1" applyAlignment="1">
      <alignment horizontal="center" vertical="center" wrapText="1"/>
    </xf>
    <xf numFmtId="0" fontId="2" fillId="7" borderId="2" xfId="0" applyFont="1" applyFill="1" applyBorder="1" applyAlignment="1">
      <alignment horizontal="center" vertical="center" wrapText="1"/>
    </xf>
    <xf numFmtId="0" fontId="3" fillId="2" borderId="2" xfId="0" applyFont="1" applyFill="1" applyBorder="1" applyAlignment="1">
      <alignment horizontal="center" vertical="center" wrapText="1"/>
    </xf>
    <xf numFmtId="0" fontId="4" fillId="8" borderId="2" xfId="0" applyFont="1" applyFill="1" applyBorder="1" applyAlignment="1">
      <alignment horizontal="center" vertical="center"/>
    </xf>
    <xf numFmtId="3" fontId="6" fillId="8" borderId="2" xfId="0" applyNumberFormat="1" applyFont="1" applyFill="1" applyBorder="1" applyAlignment="1">
      <alignment horizontal="center" vertical="center"/>
    </xf>
    <xf numFmtId="3" fontId="7" fillId="8" borderId="2" xfId="0" applyNumberFormat="1" applyFont="1" applyFill="1" applyBorder="1" applyAlignment="1">
      <alignment horizontal="center" vertical="center"/>
    </xf>
    <xf numFmtId="0" fontId="4" fillId="9" borderId="2" xfId="0" applyFont="1" applyFill="1" applyBorder="1" applyAlignment="1">
      <alignment horizontal="center" vertical="center"/>
    </xf>
    <xf numFmtId="3" fontId="6" fillId="9" borderId="2" xfId="0" applyNumberFormat="1" applyFont="1" applyFill="1" applyBorder="1" applyAlignment="1">
      <alignment horizontal="center" vertical="center"/>
    </xf>
    <xf numFmtId="3" fontId="7" fillId="9" borderId="2" xfId="0" applyNumberFormat="1" applyFont="1" applyFill="1" applyBorder="1" applyAlignment="1">
      <alignment horizontal="center" vertical="center"/>
    </xf>
    <xf numFmtId="3" fontId="2" fillId="2" borderId="2" xfId="0" applyNumberFormat="1" applyFont="1" applyFill="1" applyBorder="1" applyAlignment="1">
      <alignment horizontal="center" vertical="center"/>
    </xf>
    <xf numFmtId="0" fontId="9" fillId="3" borderId="2" xfId="0" applyFont="1" applyFill="1" applyBorder="1" applyAlignment="1">
      <alignment horizontal="center" vertical="center" wrapText="1"/>
    </xf>
    <xf numFmtId="0" fontId="10" fillId="3" borderId="2" xfId="0" applyFont="1" applyFill="1" applyBorder="1" applyAlignment="1">
      <alignment horizontal="center" vertical="center" wrapText="1"/>
    </xf>
    <xf numFmtId="0" fontId="11" fillId="8" borderId="2" xfId="0" applyFont="1" applyFill="1" applyBorder="1" applyAlignment="1">
      <alignment horizontal="left" vertical="center"/>
    </xf>
    <xf numFmtId="0" fontId="11" fillId="11" borderId="2" xfId="0" applyFont="1" applyFill="1" applyBorder="1" applyAlignment="1">
      <alignment horizontal="left" vertical="center"/>
    </xf>
    <xf numFmtId="0" fontId="5" fillId="11" borderId="2" xfId="0" applyFont="1" applyFill="1" applyBorder="1" applyAlignment="1">
      <alignment horizontal="left" vertical="center"/>
    </xf>
    <xf numFmtId="0" fontId="12" fillId="12" borderId="0" xfId="0" applyFont="1" applyFill="1" applyAlignment="1">
      <alignment vertical="center"/>
    </xf>
    <xf numFmtId="0" fontId="0" fillId="0" borderId="0" xfId="0" applyAlignment="1">
      <alignment horizontal="center" vertical="center"/>
    </xf>
    <xf numFmtId="165" fontId="0" fillId="0" borderId="0" xfId="0" applyNumberFormat="1" applyAlignment="1">
      <alignment horizontal="center" vertical="center"/>
    </xf>
    <xf numFmtId="164" fontId="9" fillId="2" borderId="2" xfId="0" applyNumberFormat="1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center" vertical="center" wrapText="1"/>
    </xf>
    <xf numFmtId="165" fontId="9" fillId="2" borderId="2" xfId="0" applyNumberFormat="1" applyFont="1" applyFill="1" applyBorder="1" applyAlignment="1">
      <alignment horizontal="center" vertical="center" wrapText="1"/>
    </xf>
    <xf numFmtId="166" fontId="11" fillId="11" borderId="2" xfId="0" applyNumberFormat="1" applyFont="1" applyFill="1" applyBorder="1" applyAlignment="1">
      <alignment horizontal="center" vertical="center"/>
    </xf>
    <xf numFmtId="0" fontId="11" fillId="11" borderId="2" xfId="0" applyFont="1" applyFill="1" applyBorder="1" applyAlignment="1" applyProtection="1">
      <alignment horizontal="center" vertical="center"/>
      <protection locked="0"/>
    </xf>
    <xf numFmtId="0" fontId="11" fillId="13" borderId="2" xfId="0" applyFont="1" applyFill="1" applyBorder="1" applyAlignment="1" applyProtection="1">
      <alignment horizontal="center" vertical="center"/>
      <protection locked="0"/>
    </xf>
    <xf numFmtId="3" fontId="11" fillId="11" borderId="2" xfId="0" applyNumberFormat="1" applyFont="1" applyFill="1" applyBorder="1" applyAlignment="1">
      <alignment horizontal="center" vertical="center"/>
    </xf>
    <xf numFmtId="166" fontId="11" fillId="13" borderId="2" xfId="0" applyNumberFormat="1" applyFont="1" applyFill="1" applyBorder="1" applyAlignment="1" applyProtection="1">
      <alignment horizontal="center" vertical="center"/>
      <protection locked="0"/>
    </xf>
    <xf numFmtId="165" fontId="11" fillId="11" borderId="2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6" fontId="11" fillId="8" borderId="2" xfId="0" applyNumberFormat="1" applyFont="1" applyFill="1" applyBorder="1" applyAlignment="1">
      <alignment horizontal="center" vertical="center"/>
    </xf>
    <xf numFmtId="0" fontId="11" fillId="8" borderId="2" xfId="0" applyFont="1" applyFill="1" applyBorder="1" applyAlignment="1" applyProtection="1">
      <alignment horizontal="center" vertical="center"/>
      <protection locked="0"/>
    </xf>
    <xf numFmtId="3" fontId="11" fillId="8" borderId="2" xfId="0" applyNumberFormat="1" applyFont="1" applyFill="1" applyBorder="1" applyAlignment="1">
      <alignment horizontal="center" vertical="center"/>
    </xf>
    <xf numFmtId="165" fontId="11" fillId="8" borderId="2" xfId="0" applyNumberFormat="1" applyFont="1" applyFill="1" applyBorder="1" applyAlignment="1">
      <alignment horizontal="center" vertical="center"/>
    </xf>
    <xf numFmtId="0" fontId="10" fillId="3" borderId="2" xfId="0" applyFont="1" applyFill="1" applyBorder="1" applyAlignment="1">
      <alignment horizontal="center" vertical="center"/>
    </xf>
    <xf numFmtId="0" fontId="0" fillId="3" borderId="2" xfId="0" applyFill="1" applyBorder="1" applyAlignment="1">
      <alignment horizontal="center" vertical="center"/>
    </xf>
    <xf numFmtId="165" fontId="10" fillId="3" borderId="2" xfId="0" applyNumberFormat="1" applyFont="1" applyFill="1" applyBorder="1" applyAlignment="1">
      <alignment horizontal="center" vertical="center"/>
    </xf>
    <xf numFmtId="3" fontId="13" fillId="13" borderId="5" xfId="0" applyNumberFormat="1" applyFont="1" applyFill="1" applyBorder="1" applyAlignment="1" applyProtection="1">
      <alignment horizontal="center" vertical="center"/>
      <protection locked="0"/>
    </xf>
    <xf numFmtId="0" fontId="10" fillId="2" borderId="2" xfId="0" applyFont="1" applyFill="1" applyBorder="1" applyAlignment="1">
      <alignment horizontal="center" vertical="center"/>
    </xf>
    <xf numFmtId="0" fontId="0" fillId="2" borderId="2" xfId="0" applyFill="1" applyBorder="1" applyAlignment="1">
      <alignment horizontal="center" vertical="center"/>
    </xf>
    <xf numFmtId="165" fontId="10" fillId="2" borderId="2" xfId="0" applyNumberFormat="1" applyFont="1" applyFill="1" applyBorder="1" applyAlignment="1">
      <alignment horizontal="center" vertical="center"/>
    </xf>
    <xf numFmtId="3" fontId="9" fillId="2" borderId="2" xfId="0" applyNumberFormat="1" applyFont="1" applyFill="1" applyBorder="1" applyAlignment="1">
      <alignment horizontal="center" vertical="center"/>
    </xf>
    <xf numFmtId="0" fontId="14" fillId="14" borderId="6" xfId="0" applyFont="1" applyFill="1" applyBorder="1" applyAlignment="1" applyProtection="1">
      <alignment horizontal="center"/>
      <protection locked="0"/>
    </xf>
    <xf numFmtId="3" fontId="15" fillId="13" borderId="5" xfId="0" applyNumberFormat="1" applyFont="1" applyFill="1" applyBorder="1" applyAlignment="1" applyProtection="1">
      <alignment horizontal="center" vertical="center"/>
      <protection locked="0"/>
    </xf>
    <xf numFmtId="0" fontId="11" fillId="13" borderId="1" xfId="0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 vertical="center"/>
      <protection locked="0"/>
    </xf>
    <xf numFmtId="3" fontId="9" fillId="2" borderId="7" xfId="0" applyNumberFormat="1" applyFont="1" applyFill="1" applyBorder="1" applyAlignment="1">
      <alignment horizontal="center" vertical="center"/>
    </xf>
    <xf numFmtId="0" fontId="5" fillId="8" borderId="2" xfId="0" applyFont="1" applyFill="1" applyBorder="1" applyAlignment="1" applyProtection="1">
      <alignment horizontal="center" vertical="center"/>
      <protection locked="0"/>
    </xf>
    <xf numFmtId="0" fontId="5" fillId="11" borderId="2" xfId="0" applyFont="1" applyFill="1" applyBorder="1" applyAlignment="1" applyProtection="1">
      <alignment horizontal="center" vertical="center"/>
      <protection locked="0"/>
    </xf>
    <xf numFmtId="165" fontId="5" fillId="11" borderId="2" xfId="0" applyNumberFormat="1" applyFont="1" applyFill="1" applyBorder="1" applyAlignment="1">
      <alignment horizontal="center" vertical="center"/>
    </xf>
    <xf numFmtId="0" fontId="5" fillId="13" borderId="1" xfId="0" applyFont="1" applyFill="1" applyBorder="1" applyAlignment="1" applyProtection="1">
      <alignment horizontal="center" vertical="center"/>
      <protection locked="0"/>
    </xf>
    <xf numFmtId="0" fontId="16" fillId="13" borderId="1" xfId="0" applyFont="1" applyFill="1" applyBorder="1" applyAlignment="1" applyProtection="1">
      <alignment horizontal="center" vertical="center"/>
      <protection locked="0"/>
    </xf>
    <xf numFmtId="167" fontId="17" fillId="15" borderId="6" xfId="0" applyNumberFormat="1" applyFont="1" applyFill="1" applyBorder="1" applyAlignment="1" applyProtection="1">
      <alignment horizontal="center" wrapText="1"/>
      <protection locked="0"/>
    </xf>
    <xf numFmtId="0" fontId="5" fillId="13" borderId="2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5" fontId="0" fillId="0" borderId="0" xfId="0" applyNumberFormat="1" applyAlignment="1">
      <alignment horizontal="center"/>
    </xf>
    <xf numFmtId="164" fontId="11" fillId="11" borderId="2" xfId="0" applyNumberFormat="1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/>
      <protection locked="0"/>
    </xf>
    <xf numFmtId="0" fontId="0" fillId="3" borderId="2" xfId="0" applyFill="1" applyBorder="1" applyAlignment="1">
      <alignment horizontal="center"/>
    </xf>
    <xf numFmtId="164" fontId="11" fillId="8" borderId="2" xfId="0" applyNumberFormat="1" applyFont="1" applyFill="1" applyBorder="1" applyAlignment="1" applyProtection="1">
      <alignment horizontal="center" vertical="center"/>
      <protection locked="0"/>
    </xf>
    <xf numFmtId="0" fontId="0" fillId="2" borderId="2" xfId="0" applyFill="1" applyBorder="1" applyAlignment="1">
      <alignment horizontal="center"/>
    </xf>
    <xf numFmtId="165" fontId="5" fillId="8" borderId="2" xfId="0" applyNumberFormat="1" applyFont="1" applyFill="1" applyBorder="1" applyAlignment="1">
      <alignment horizontal="center" vertical="center"/>
    </xf>
    <xf numFmtId="166" fontId="5" fillId="13" borderId="2" xfId="0" applyNumberFormat="1" applyFont="1" applyFill="1" applyBorder="1" applyAlignment="1" applyProtection="1">
      <alignment horizontal="center" vertical="center"/>
      <protection locked="0"/>
    </xf>
    <xf numFmtId="3" fontId="0" fillId="0" borderId="0" xfId="0" applyNumberFormat="1"/>
    <xf numFmtId="164" fontId="5" fillId="8" borderId="2" xfId="0" applyNumberFormat="1" applyFont="1" applyFill="1" applyBorder="1" applyAlignment="1" applyProtection="1">
      <alignment horizontal="center" vertical="center"/>
      <protection locked="0"/>
    </xf>
    <xf numFmtId="14" fontId="9" fillId="2" borderId="2" xfId="0" applyNumberFormat="1" applyFont="1" applyFill="1" applyBorder="1" applyAlignment="1">
      <alignment horizontal="center" vertical="center" wrapText="1"/>
    </xf>
    <xf numFmtId="14" fontId="11" fillId="11" borderId="2" xfId="0" applyNumberFormat="1" applyFont="1" applyFill="1" applyBorder="1" applyAlignment="1">
      <alignment horizontal="center" vertical="center"/>
    </xf>
    <xf numFmtId="14" fontId="11" fillId="8" borderId="2" xfId="0" applyNumberFormat="1" applyFont="1" applyFill="1" applyBorder="1" applyAlignment="1">
      <alignment horizontal="center" vertical="center"/>
    </xf>
    <xf numFmtId="14" fontId="0" fillId="0" borderId="0" xfId="0" applyNumberFormat="1"/>
    <xf numFmtId="14" fontId="3" fillId="2" borderId="2" xfId="0" applyNumberFormat="1" applyFont="1" applyFill="1" applyBorder="1" applyAlignment="1">
      <alignment horizontal="center" vertical="center" wrapText="1"/>
    </xf>
    <xf numFmtId="14" fontId="5" fillId="8" borderId="2" xfId="0" applyNumberFormat="1" applyFont="1" applyFill="1" applyBorder="1" applyAlignment="1">
      <alignment horizontal="center" vertical="center"/>
    </xf>
    <xf numFmtId="14" fontId="5" fillId="9" borderId="2" xfId="0" applyNumberFormat="1" applyFont="1" applyFill="1" applyBorder="1" applyAlignment="1">
      <alignment horizontal="center" vertical="center"/>
    </xf>
    <xf numFmtId="14" fontId="0" fillId="0" borderId="0" xfId="0" applyNumberFormat="1" applyAlignment="1">
      <alignment horizontal="center" vertical="center"/>
    </xf>
    <xf numFmtId="14" fontId="0" fillId="0" borderId="0" xfId="0" applyNumberFormat="1" applyAlignment="1">
      <alignment horizontal="center"/>
    </xf>
    <xf numFmtId="0" fontId="11" fillId="13" borderId="2" xfId="0" applyFont="1" applyFill="1" applyBorder="1" applyAlignment="1" applyProtection="1">
      <alignment horizontal="center" vertical="center" wrapText="1"/>
      <protection locked="0"/>
    </xf>
    <xf numFmtId="3" fontId="19" fillId="13" borderId="5" xfId="0" applyNumberFormat="1" applyFont="1" applyFill="1" applyBorder="1" applyAlignment="1" applyProtection="1">
      <alignment horizontal="center" vertical="center"/>
      <protection locked="0"/>
    </xf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4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2" borderId="1" xfId="0" applyFont="1" applyFill="1" applyBorder="1" applyAlignment="1">
      <alignment horizontal="center" vertical="center" wrapText="1"/>
    </xf>
    <xf numFmtId="0" fontId="2" fillId="2" borderId="2" xfId="0" applyFont="1" applyFill="1" applyBorder="1" applyAlignment="1">
      <alignment horizontal="center" vertical="center"/>
    </xf>
    <xf numFmtId="0" fontId="8" fillId="2" borderId="2" xfId="0" applyFont="1" applyFill="1" applyBorder="1" applyAlignment="1">
      <alignment horizontal="center" vertical="center" wrapText="1"/>
    </xf>
    <xf numFmtId="0" fontId="8" fillId="10" borderId="3" xfId="0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left" vertical="center" wrapText="1"/>
    </xf>
    <xf numFmtId="165" fontId="20" fillId="8" borderId="2" xfId="0" applyNumberFormat="1" applyFont="1" applyFill="1" applyBorder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8080"/>
      <rgbColor rgb="FFBFBFBF"/>
      <rgbColor rgb="FF757575"/>
      <rgbColor rgb="FF9999FF"/>
      <rgbColor rgb="FFC0504D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4BACC6"/>
      <rgbColor rgb="FF9BBB59"/>
      <rgbColor rgb="FFFFC000"/>
      <rgbColor rgb="FFFF9900"/>
      <rgbColor rgb="FFFF6600"/>
      <rgbColor rgb="FF666699"/>
      <rgbColor rgb="FF969696"/>
      <rgbColor rgb="FF1B3A6B"/>
      <rgbColor rgb="FF339966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13" Type="http://schemas.openxmlformats.org/officeDocument/2006/relationships/customXml" Target="../customXml/item2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12" Type="http://schemas.openxmlformats.org/officeDocument/2006/relationships/customXml" Target="../customXml/item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alcChain" Target="calcChain.xml"/><Relationship Id="rId5" Type="http://schemas.openxmlformats.org/officeDocument/2006/relationships/worksheet" Target="worksheets/sheet5.xml"/><Relationship Id="rId10" Type="http://schemas.microsoft.com/office/2017/10/relationships/person" Target="persons/perso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Relationship Id="rId14" Type="http://schemas.openxmlformats.org/officeDocument/2006/relationships/customXml" Target="../customXml/item3.xml"/></Relationships>
</file>

<file path=xl/persons/person.xml><?xml version="1.0" encoding="utf-8"?>
<personList xmlns="http://schemas.microsoft.com/office/spreadsheetml/2018/threadedcomments" xmlns:x="http://schemas.openxmlformats.org/spreadsheetml/2006/main"/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G35"/>
  <sheetViews>
    <sheetView showGridLines="0" zoomScaleNormal="100" workbookViewId="0">
      <pane ySplit="3" topLeftCell="A4" activePane="bottomLeft" state="frozen"/>
      <selection pane="bottomLeft" activeCell="B3" sqref="B3"/>
    </sheetView>
  </sheetViews>
  <sheetFormatPr defaultColWidth="8.5703125" defaultRowHeight="15" x14ac:dyDescent="0.25"/>
  <cols>
    <col min="2" max="2" width="17.42578125" style="71" customWidth="1"/>
    <col min="3" max="3" width="21.42578125" customWidth="1"/>
    <col min="4" max="6" width="16" hidden="1" customWidth="1"/>
    <col min="7" max="7" width="34" customWidth="1"/>
  </cols>
  <sheetData>
    <row r="1" spans="1:7" ht="31.5" customHeight="1" x14ac:dyDescent="0.25">
      <c r="A1" s="85" t="s">
        <v>0</v>
      </c>
      <c r="B1" s="85"/>
      <c r="C1" s="85"/>
      <c r="D1" s="85"/>
      <c r="E1" s="85"/>
      <c r="F1" s="85"/>
      <c r="G1" s="85"/>
    </row>
    <row r="2" spans="1:7" ht="24.75" customHeight="1" x14ac:dyDescent="0.25">
      <c r="A2" s="86"/>
      <c r="B2" s="86"/>
      <c r="C2" s="1" t="s">
        <v>1</v>
      </c>
      <c r="D2" s="2" t="s">
        <v>2</v>
      </c>
      <c r="E2" s="3" t="s">
        <v>3</v>
      </c>
      <c r="F2" s="4" t="s">
        <v>4</v>
      </c>
      <c r="G2" s="5" t="s">
        <v>5</v>
      </c>
    </row>
    <row r="3" spans="1:7" ht="19.5" customHeight="1" x14ac:dyDescent="0.25">
      <c r="A3" s="6" t="s">
        <v>6</v>
      </c>
      <c r="B3" s="72" t="s">
        <v>7</v>
      </c>
      <c r="C3" s="6" t="s">
        <v>8</v>
      </c>
      <c r="D3" s="6" t="s">
        <v>8</v>
      </c>
      <c r="E3" s="6" t="s">
        <v>8</v>
      </c>
      <c r="F3" s="6" t="s">
        <v>8</v>
      </c>
      <c r="G3" s="6" t="s">
        <v>8</v>
      </c>
    </row>
    <row r="4" spans="1:7" ht="15.75" customHeight="1" x14ac:dyDescent="0.25">
      <c r="A4" s="7">
        <v>1</v>
      </c>
      <c r="B4" s="73">
        <v>46204</v>
      </c>
      <c r="C4" s="8">
        <f>IFERROR(Britador!O28,"")</f>
        <v>2672480</v>
      </c>
      <c r="D4" s="8">
        <f>IFERROR('Linha 1'!O28,"")</f>
        <v>1020460</v>
      </c>
      <c r="E4" s="8">
        <f>IFERROR('Linha 2'!O28,"")</f>
        <v>601030</v>
      </c>
      <c r="F4" s="8">
        <f>IFERROR('Linha 3'!O28,"")</f>
        <v>529300</v>
      </c>
      <c r="G4" s="9">
        <f t="shared" ref="G4:G34" si="0">IFERROR(D4+E4+F4,"")</f>
        <v>2150790</v>
      </c>
    </row>
    <row r="5" spans="1:7" ht="15.75" customHeight="1" x14ac:dyDescent="0.25">
      <c r="A5" s="10">
        <v>2</v>
      </c>
      <c r="B5" s="74">
        <v>46205</v>
      </c>
      <c r="C5" s="11">
        <f>IFERROR(Britador!O55,"")</f>
        <v>0</v>
      </c>
      <c r="D5" s="11">
        <f>IFERROR('Linha 1'!O55,"")</f>
        <v>0</v>
      </c>
      <c r="E5" s="11">
        <f>IFERROR('Linha 2'!O55,"")</f>
        <v>0</v>
      </c>
      <c r="F5" s="11">
        <f>IFERROR('Linha 3'!O55,"")</f>
        <v>0</v>
      </c>
      <c r="G5" s="12">
        <f t="shared" si="0"/>
        <v>0</v>
      </c>
    </row>
    <row r="6" spans="1:7" ht="15.75" customHeight="1" x14ac:dyDescent="0.25">
      <c r="A6" s="7">
        <v>3</v>
      </c>
      <c r="B6" s="73">
        <v>46206</v>
      </c>
      <c r="C6" s="8">
        <f>IFERROR(Britador!O82,"")</f>
        <v>0</v>
      </c>
      <c r="D6" s="8">
        <f>IFERROR('Linha 1'!O82,"")</f>
        <v>0</v>
      </c>
      <c r="E6" s="8">
        <f>IFERROR('Linha 2'!O82,"")</f>
        <v>0</v>
      </c>
      <c r="F6" s="8">
        <f>IFERROR('Linha 3'!O82,"")</f>
        <v>0</v>
      </c>
      <c r="G6" s="9">
        <f t="shared" si="0"/>
        <v>0</v>
      </c>
    </row>
    <row r="7" spans="1:7" ht="15.75" customHeight="1" x14ac:dyDescent="0.25">
      <c r="A7" s="10">
        <v>4</v>
      </c>
      <c r="B7" s="74">
        <v>46207</v>
      </c>
      <c r="C7" s="11">
        <f>IFERROR(Britador!O109,"")</f>
        <v>0</v>
      </c>
      <c r="D7" s="11">
        <f>IFERROR('Linha 1'!O109,"")</f>
        <v>0</v>
      </c>
      <c r="E7" s="11">
        <f>IFERROR('Linha 2'!O109,"")</f>
        <v>0</v>
      </c>
      <c r="F7" s="11">
        <f>IFERROR('Linha 3'!O109,"")</f>
        <v>0</v>
      </c>
      <c r="G7" s="12">
        <f t="shared" si="0"/>
        <v>0</v>
      </c>
    </row>
    <row r="8" spans="1:7" ht="15.75" customHeight="1" x14ac:dyDescent="0.25">
      <c r="A8" s="7">
        <v>5</v>
      </c>
      <c r="B8" s="73">
        <v>46208</v>
      </c>
      <c r="C8" s="8">
        <f>IFERROR(Britador!O136,"")</f>
        <v>0</v>
      </c>
      <c r="D8" s="8">
        <f>IFERROR('Linha 1'!O136,"")</f>
        <v>0</v>
      </c>
      <c r="E8" s="8">
        <f>IFERROR('Linha 2'!O136,"")</f>
        <v>0</v>
      </c>
      <c r="F8" s="8">
        <f>IFERROR('Linha 3'!O136,"")</f>
        <v>0</v>
      </c>
      <c r="G8" s="9">
        <f t="shared" si="0"/>
        <v>0</v>
      </c>
    </row>
    <row r="9" spans="1:7" ht="15.75" customHeight="1" x14ac:dyDescent="0.25">
      <c r="A9" s="10">
        <v>6</v>
      </c>
      <c r="B9" s="74">
        <v>46209</v>
      </c>
      <c r="C9" s="11">
        <f>IFERROR(Britador!O163,"")</f>
        <v>0</v>
      </c>
      <c r="D9" s="11">
        <f>IFERROR('Linha 1'!O163,"")</f>
        <v>0</v>
      </c>
      <c r="E9" s="11">
        <f>IFERROR('Linha 2'!O163,"")</f>
        <v>0</v>
      </c>
      <c r="F9" s="11">
        <f>IFERROR('Linha 3'!O163,"")</f>
        <v>0</v>
      </c>
      <c r="G9" s="12">
        <f t="shared" si="0"/>
        <v>0</v>
      </c>
    </row>
    <row r="10" spans="1:7" ht="15.75" customHeight="1" x14ac:dyDescent="0.25">
      <c r="A10" s="7">
        <v>7</v>
      </c>
      <c r="B10" s="73">
        <v>46210</v>
      </c>
      <c r="C10" s="8">
        <f>IFERROR(Britador!O190,"")</f>
        <v>0</v>
      </c>
      <c r="D10" s="8">
        <f>IFERROR('Linha 1'!O190,"")</f>
        <v>0</v>
      </c>
      <c r="E10" s="8">
        <f>IFERROR('Linha 2'!O190,"")</f>
        <v>0</v>
      </c>
      <c r="F10" s="8">
        <f>IFERROR('Linha 3'!O190,"")</f>
        <v>0</v>
      </c>
      <c r="G10" s="9">
        <f t="shared" si="0"/>
        <v>0</v>
      </c>
    </row>
    <row r="11" spans="1:7" ht="15.75" customHeight="1" x14ac:dyDescent="0.25">
      <c r="A11" s="10">
        <v>8</v>
      </c>
      <c r="B11" s="74">
        <v>46211</v>
      </c>
      <c r="C11" s="11">
        <f>IFERROR(Britador!O217,"")</f>
        <v>0</v>
      </c>
      <c r="D11" s="11">
        <f>IFERROR('Linha 1'!O217,"")</f>
        <v>0</v>
      </c>
      <c r="E11" s="11">
        <f>IFERROR('Linha 2'!O217,"")</f>
        <v>0</v>
      </c>
      <c r="F11" s="11">
        <f>IFERROR('Linha 3'!O217,"")</f>
        <v>0</v>
      </c>
      <c r="G11" s="12">
        <f t="shared" si="0"/>
        <v>0</v>
      </c>
    </row>
    <row r="12" spans="1:7" ht="15.75" customHeight="1" x14ac:dyDescent="0.25">
      <c r="A12" s="7">
        <v>9</v>
      </c>
      <c r="B12" s="73">
        <v>46212</v>
      </c>
      <c r="C12" s="8">
        <f>IFERROR(Britador!O244,"")</f>
        <v>0</v>
      </c>
      <c r="D12" s="8">
        <f>IFERROR('Linha 1'!O244,"")</f>
        <v>0</v>
      </c>
      <c r="E12" s="8">
        <f>IFERROR('Linha 2'!O244,"")</f>
        <v>0</v>
      </c>
      <c r="F12" s="8">
        <f>IFERROR('Linha 3'!O244,"")</f>
        <v>0</v>
      </c>
      <c r="G12" s="9">
        <f t="shared" si="0"/>
        <v>0</v>
      </c>
    </row>
    <row r="13" spans="1:7" ht="15.75" customHeight="1" x14ac:dyDescent="0.25">
      <c r="A13" s="10">
        <v>10</v>
      </c>
      <c r="B13" s="74">
        <v>46213</v>
      </c>
      <c r="C13" s="11">
        <f>IFERROR(Britador!O271,"")</f>
        <v>0</v>
      </c>
      <c r="D13" s="11">
        <f>IFERROR('Linha 1'!O271,"")</f>
        <v>0</v>
      </c>
      <c r="E13" s="11">
        <f>IFERROR('Linha 2'!O271,"")</f>
        <v>0</v>
      </c>
      <c r="F13" s="11">
        <f>IFERROR('Linha 3'!O271,"")</f>
        <v>0</v>
      </c>
      <c r="G13" s="12">
        <f t="shared" si="0"/>
        <v>0</v>
      </c>
    </row>
    <row r="14" spans="1:7" ht="15.75" customHeight="1" x14ac:dyDescent="0.25">
      <c r="A14" s="7">
        <v>11</v>
      </c>
      <c r="B14" s="73">
        <v>46214</v>
      </c>
      <c r="C14" s="8">
        <f>IFERROR(Britador!O298,"")</f>
        <v>0</v>
      </c>
      <c r="D14" s="8">
        <f>IFERROR('Linha 1'!O298,"")</f>
        <v>0</v>
      </c>
      <c r="E14" s="8">
        <f>IFERROR('Linha 2'!O298,"")</f>
        <v>0</v>
      </c>
      <c r="F14" s="8">
        <f>IFERROR('Linha 3'!O298,"")</f>
        <v>0</v>
      </c>
      <c r="G14" s="9">
        <f t="shared" si="0"/>
        <v>0</v>
      </c>
    </row>
    <row r="15" spans="1:7" ht="15.75" customHeight="1" x14ac:dyDescent="0.25">
      <c r="A15" s="10">
        <v>12</v>
      </c>
      <c r="B15" s="74">
        <v>46215</v>
      </c>
      <c r="C15" s="11">
        <f>IFERROR(Britador!O325,"")</f>
        <v>0</v>
      </c>
      <c r="D15" s="11">
        <f>IFERROR('Linha 1'!O325,"")</f>
        <v>0</v>
      </c>
      <c r="E15" s="11">
        <f>IFERROR('Linha 2'!O325,"")</f>
        <v>0</v>
      </c>
      <c r="F15" s="11">
        <f>IFERROR('Linha 3'!O325,"")</f>
        <v>0</v>
      </c>
      <c r="G15" s="12">
        <f t="shared" si="0"/>
        <v>0</v>
      </c>
    </row>
    <row r="16" spans="1:7" ht="15.75" customHeight="1" x14ac:dyDescent="0.25">
      <c r="A16" s="7">
        <v>13</v>
      </c>
      <c r="B16" s="73">
        <v>46216</v>
      </c>
      <c r="C16" s="8">
        <f>IFERROR(Britador!O352,"")</f>
        <v>0</v>
      </c>
      <c r="D16" s="8">
        <f>IFERROR('Linha 1'!O352,"")</f>
        <v>0</v>
      </c>
      <c r="E16" s="8">
        <f>IFERROR('Linha 2'!O352,"")</f>
        <v>0</v>
      </c>
      <c r="F16" s="8">
        <f>IFERROR('Linha 3'!O352,"")</f>
        <v>0</v>
      </c>
      <c r="G16" s="9">
        <f t="shared" si="0"/>
        <v>0</v>
      </c>
    </row>
    <row r="17" spans="1:7" ht="15.75" customHeight="1" x14ac:dyDescent="0.25">
      <c r="A17" s="10">
        <v>14</v>
      </c>
      <c r="B17" s="74">
        <v>46217</v>
      </c>
      <c r="C17" s="11">
        <f>IFERROR(Britador!O379,"")</f>
        <v>0</v>
      </c>
      <c r="D17" s="11">
        <f>IFERROR('Linha 1'!O379,"")</f>
        <v>0</v>
      </c>
      <c r="E17" s="11">
        <f>IFERROR('Linha 2'!O379,"")</f>
        <v>0</v>
      </c>
      <c r="F17" s="11">
        <f>IFERROR('Linha 3'!O379,"")</f>
        <v>0</v>
      </c>
      <c r="G17" s="12">
        <f t="shared" si="0"/>
        <v>0</v>
      </c>
    </row>
    <row r="18" spans="1:7" ht="15.75" customHeight="1" x14ac:dyDescent="0.25">
      <c r="A18" s="7">
        <v>15</v>
      </c>
      <c r="B18" s="73">
        <v>46218</v>
      </c>
      <c r="C18" s="8">
        <f>IFERROR(Britador!O406,"")</f>
        <v>0</v>
      </c>
      <c r="D18" s="8">
        <f>IFERROR('Linha 1'!O406,"")</f>
        <v>0</v>
      </c>
      <c r="E18" s="8">
        <f>IFERROR('Linha 2'!O406,"")</f>
        <v>0</v>
      </c>
      <c r="F18" s="8">
        <f>IFERROR('Linha 3'!O406,"")</f>
        <v>0</v>
      </c>
      <c r="G18" s="9">
        <f t="shared" si="0"/>
        <v>0</v>
      </c>
    </row>
    <row r="19" spans="1:7" ht="15.75" customHeight="1" x14ac:dyDescent="0.25">
      <c r="A19" s="10">
        <v>16</v>
      </c>
      <c r="B19" s="74">
        <v>46219</v>
      </c>
      <c r="C19" s="11">
        <f>IFERROR(Britador!O433,"")</f>
        <v>0</v>
      </c>
      <c r="D19" s="11">
        <f>IFERROR('Linha 1'!O433,"")</f>
        <v>0</v>
      </c>
      <c r="E19" s="11">
        <f>IFERROR('Linha 2'!O433,"")</f>
        <v>0</v>
      </c>
      <c r="F19" s="11">
        <f>IFERROR('Linha 3'!O433,"")</f>
        <v>0</v>
      </c>
      <c r="G19" s="12">
        <f t="shared" si="0"/>
        <v>0</v>
      </c>
    </row>
    <row r="20" spans="1:7" ht="15.75" customHeight="1" x14ac:dyDescent="0.25">
      <c r="A20" s="7">
        <v>17</v>
      </c>
      <c r="B20" s="73">
        <v>46220</v>
      </c>
      <c r="C20" s="8">
        <f>IFERROR(Britador!O460,"")</f>
        <v>0</v>
      </c>
      <c r="D20" s="8">
        <f>IFERROR('Linha 1'!O460,"")</f>
        <v>0</v>
      </c>
      <c r="E20" s="8">
        <f>IFERROR('Linha 2'!O460,"")</f>
        <v>0</v>
      </c>
      <c r="F20" s="8">
        <f>IFERROR('Linha 3'!O460,"")</f>
        <v>0</v>
      </c>
      <c r="G20" s="9">
        <f t="shared" si="0"/>
        <v>0</v>
      </c>
    </row>
    <row r="21" spans="1:7" ht="15.75" customHeight="1" x14ac:dyDescent="0.25">
      <c r="A21" s="10">
        <v>18</v>
      </c>
      <c r="B21" s="74">
        <v>46221</v>
      </c>
      <c r="C21" s="11">
        <f>IFERROR(Britador!O487,"")</f>
        <v>0</v>
      </c>
      <c r="D21" s="11">
        <f>IFERROR('Linha 1'!O487,"")</f>
        <v>0</v>
      </c>
      <c r="E21" s="11">
        <f>IFERROR('Linha 2'!O487,"")</f>
        <v>0</v>
      </c>
      <c r="F21" s="11">
        <f>IFERROR('Linha 3'!O487,"")</f>
        <v>0</v>
      </c>
      <c r="G21" s="12">
        <f t="shared" si="0"/>
        <v>0</v>
      </c>
    </row>
    <row r="22" spans="1:7" ht="15.75" customHeight="1" x14ac:dyDescent="0.25">
      <c r="A22" s="7">
        <v>19</v>
      </c>
      <c r="B22" s="73">
        <v>46222</v>
      </c>
      <c r="C22" s="8">
        <f>IFERROR(Britador!O514,"")</f>
        <v>0</v>
      </c>
      <c r="D22" s="8">
        <f>IFERROR('Linha 1'!O514,"")</f>
        <v>0</v>
      </c>
      <c r="E22" s="8">
        <f>IFERROR('Linha 2'!O514,"")</f>
        <v>0</v>
      </c>
      <c r="F22" s="8">
        <f>IFERROR('Linha 3'!O514,"")</f>
        <v>0</v>
      </c>
      <c r="G22" s="9">
        <f t="shared" si="0"/>
        <v>0</v>
      </c>
    </row>
    <row r="23" spans="1:7" ht="15.75" customHeight="1" x14ac:dyDescent="0.25">
      <c r="A23" s="10">
        <v>20</v>
      </c>
      <c r="B23" s="74">
        <v>46223</v>
      </c>
      <c r="C23" s="11">
        <f>IFERROR(Britador!O541,"")</f>
        <v>0</v>
      </c>
      <c r="D23" s="11">
        <f>IFERROR('Linha 1'!O541,"")</f>
        <v>0</v>
      </c>
      <c r="E23" s="11">
        <f>IFERROR('Linha 2'!O541,"")</f>
        <v>0</v>
      </c>
      <c r="F23" s="11">
        <f>IFERROR('Linha 3'!O541,"")</f>
        <v>0</v>
      </c>
      <c r="G23" s="12">
        <f t="shared" si="0"/>
        <v>0</v>
      </c>
    </row>
    <row r="24" spans="1:7" ht="15.75" customHeight="1" x14ac:dyDescent="0.25">
      <c r="A24" s="7">
        <v>21</v>
      </c>
      <c r="B24" s="73">
        <v>46224</v>
      </c>
      <c r="C24" s="8">
        <f>IFERROR(Britador!O568,"")</f>
        <v>0</v>
      </c>
      <c r="D24" s="8">
        <f>IFERROR('Linha 1'!O568,"")</f>
        <v>0</v>
      </c>
      <c r="E24" s="8">
        <f>IFERROR('Linha 2'!O568,"")</f>
        <v>0</v>
      </c>
      <c r="F24" s="8">
        <f>IFERROR('Linha 3'!O568,"")</f>
        <v>0</v>
      </c>
      <c r="G24" s="9">
        <f t="shared" si="0"/>
        <v>0</v>
      </c>
    </row>
    <row r="25" spans="1:7" ht="15.75" customHeight="1" x14ac:dyDescent="0.25">
      <c r="A25" s="10">
        <v>22</v>
      </c>
      <c r="B25" s="74">
        <v>46225</v>
      </c>
      <c r="C25" s="11">
        <f>IFERROR(Britador!O595,"")</f>
        <v>0</v>
      </c>
      <c r="D25" s="11">
        <f>IFERROR('Linha 1'!O595,"")</f>
        <v>0</v>
      </c>
      <c r="E25" s="11">
        <f>IFERROR('Linha 2'!O595,"")</f>
        <v>0</v>
      </c>
      <c r="F25" s="11">
        <f>IFERROR('Linha 3'!O595,"")</f>
        <v>0</v>
      </c>
      <c r="G25" s="12">
        <f t="shared" si="0"/>
        <v>0</v>
      </c>
    </row>
    <row r="26" spans="1:7" ht="15.75" customHeight="1" x14ac:dyDescent="0.25">
      <c r="A26" s="7">
        <v>23</v>
      </c>
      <c r="B26" s="73">
        <v>46226</v>
      </c>
      <c r="C26" s="8">
        <f>IFERROR(Britador!O622,"")</f>
        <v>0</v>
      </c>
      <c r="D26" s="8">
        <f>IFERROR('Linha 1'!O622,"")</f>
        <v>0</v>
      </c>
      <c r="E26" s="8">
        <f>IFERROR('Linha 2'!O622,"")</f>
        <v>0</v>
      </c>
      <c r="F26" s="8">
        <f>IFERROR('Linha 3'!O622,"")</f>
        <v>0</v>
      </c>
      <c r="G26" s="9">
        <f t="shared" si="0"/>
        <v>0</v>
      </c>
    </row>
    <row r="27" spans="1:7" ht="15.75" customHeight="1" x14ac:dyDescent="0.25">
      <c r="A27" s="10">
        <v>24</v>
      </c>
      <c r="B27" s="74">
        <v>46227</v>
      </c>
      <c r="C27" s="11">
        <f>IFERROR(Britador!O649,"")</f>
        <v>0</v>
      </c>
      <c r="D27" s="11">
        <f>IFERROR('Linha 1'!O649,"")</f>
        <v>0</v>
      </c>
      <c r="E27" s="11">
        <f>IFERROR('Linha 2'!O649,"")</f>
        <v>0</v>
      </c>
      <c r="F27" s="11">
        <f>IFERROR('Linha 3'!O649,"")</f>
        <v>0</v>
      </c>
      <c r="G27" s="12">
        <f t="shared" si="0"/>
        <v>0</v>
      </c>
    </row>
    <row r="28" spans="1:7" ht="15.75" customHeight="1" x14ac:dyDescent="0.25">
      <c r="A28" s="7">
        <v>25</v>
      </c>
      <c r="B28" s="73">
        <v>46228</v>
      </c>
      <c r="C28" s="8">
        <f>IFERROR(Britador!O676,"")</f>
        <v>0</v>
      </c>
      <c r="D28" s="8">
        <f>IFERROR('Linha 1'!O676,"")</f>
        <v>0</v>
      </c>
      <c r="E28" s="8">
        <f>IFERROR('Linha 2'!O676,"")</f>
        <v>0</v>
      </c>
      <c r="F28" s="8">
        <f>IFERROR('Linha 3'!O676,"")</f>
        <v>0</v>
      </c>
      <c r="G28" s="9">
        <f t="shared" si="0"/>
        <v>0</v>
      </c>
    </row>
    <row r="29" spans="1:7" ht="15.75" customHeight="1" x14ac:dyDescent="0.25">
      <c r="A29" s="10">
        <v>26</v>
      </c>
      <c r="B29" s="74">
        <v>46229</v>
      </c>
      <c r="C29" s="11">
        <f>IFERROR(Britador!O703,"")</f>
        <v>0</v>
      </c>
      <c r="D29" s="11">
        <f>IFERROR('Linha 1'!O703,"")</f>
        <v>0</v>
      </c>
      <c r="E29" s="11">
        <f>IFERROR('Linha 2'!O703,"")</f>
        <v>0</v>
      </c>
      <c r="F29" s="11">
        <f>IFERROR('Linha 3'!O703,"")</f>
        <v>0</v>
      </c>
      <c r="G29" s="12">
        <f t="shared" si="0"/>
        <v>0</v>
      </c>
    </row>
    <row r="30" spans="1:7" ht="15.75" customHeight="1" x14ac:dyDescent="0.25">
      <c r="A30" s="7">
        <v>27</v>
      </c>
      <c r="B30" s="73">
        <v>46230</v>
      </c>
      <c r="C30" s="8">
        <f>IFERROR(Britador!O730,"")</f>
        <v>0</v>
      </c>
      <c r="D30" s="8">
        <f>IFERROR('Linha 1'!O730,"")</f>
        <v>0</v>
      </c>
      <c r="E30" s="8">
        <f>IFERROR('Linha 2'!O730,"")</f>
        <v>0</v>
      </c>
      <c r="F30" s="8">
        <f>IFERROR('Linha 3'!O730,"")</f>
        <v>0</v>
      </c>
      <c r="G30" s="9">
        <f t="shared" si="0"/>
        <v>0</v>
      </c>
    </row>
    <row r="31" spans="1:7" ht="15.75" customHeight="1" x14ac:dyDescent="0.25">
      <c r="A31" s="10">
        <v>28</v>
      </c>
      <c r="B31" s="74">
        <v>46231</v>
      </c>
      <c r="C31" s="11">
        <f>IFERROR(Britador!O757,"")</f>
        <v>0</v>
      </c>
      <c r="D31" s="11">
        <f>IFERROR('Linha 1'!O757,"")</f>
        <v>0</v>
      </c>
      <c r="E31" s="11">
        <f>IFERROR('Linha 2'!O757,"")</f>
        <v>0</v>
      </c>
      <c r="F31" s="11">
        <f>IFERROR('Linha 3'!O757,"")</f>
        <v>0</v>
      </c>
      <c r="G31" s="12">
        <f t="shared" si="0"/>
        <v>0</v>
      </c>
    </row>
    <row r="32" spans="1:7" ht="15.75" customHeight="1" x14ac:dyDescent="0.25">
      <c r="A32" s="7">
        <v>29</v>
      </c>
      <c r="B32" s="73">
        <v>46232</v>
      </c>
      <c r="C32" s="8">
        <f>IFERROR(Britador!O784,"")</f>
        <v>0</v>
      </c>
      <c r="D32" s="8">
        <f>IFERROR('Linha 1'!O784,"")</f>
        <v>0</v>
      </c>
      <c r="E32" s="8">
        <f>IFERROR('Linha 2'!O784,"")</f>
        <v>0</v>
      </c>
      <c r="F32" s="8">
        <f>IFERROR('Linha 3'!O784,"")</f>
        <v>0</v>
      </c>
      <c r="G32" s="9">
        <f t="shared" si="0"/>
        <v>0</v>
      </c>
    </row>
    <row r="33" spans="1:7" ht="15.75" customHeight="1" x14ac:dyDescent="0.25">
      <c r="A33" s="10">
        <v>30</v>
      </c>
      <c r="B33" s="74">
        <v>46233</v>
      </c>
      <c r="C33" s="11">
        <f>IFERROR(Britador!O811,"")</f>
        <v>0</v>
      </c>
      <c r="D33" s="11">
        <f>IFERROR('Linha 1'!O811,"")</f>
        <v>0</v>
      </c>
      <c r="E33" s="11">
        <f>IFERROR('Linha 2'!O811,"")</f>
        <v>0</v>
      </c>
      <c r="F33" s="11">
        <f>IFERROR('Linha 3'!O811,"")</f>
        <v>0</v>
      </c>
      <c r="G33" s="12">
        <f t="shared" si="0"/>
        <v>0</v>
      </c>
    </row>
    <row r="34" spans="1:7" ht="21.75" customHeight="1" x14ac:dyDescent="0.25">
      <c r="A34" s="10">
        <v>31</v>
      </c>
      <c r="B34" s="74">
        <v>46234</v>
      </c>
      <c r="C34" s="11">
        <f>IFERROR(Britador!O838,"")</f>
        <v>0</v>
      </c>
      <c r="D34" s="11">
        <f>IFERROR('Linha 1'!O838,"")</f>
        <v>0</v>
      </c>
      <c r="E34" s="11">
        <f>IFERROR('Linha 2'!O838,"")</f>
        <v>0</v>
      </c>
      <c r="F34" s="11">
        <f>IFERROR('Linha 3'!O838,"")</f>
        <v>0</v>
      </c>
      <c r="G34" s="12">
        <f t="shared" si="0"/>
        <v>0</v>
      </c>
    </row>
    <row r="35" spans="1:7" ht="14.25" customHeight="1" x14ac:dyDescent="0.25">
      <c r="A35" s="87" t="s">
        <v>9</v>
      </c>
      <c r="B35" s="87"/>
      <c r="C35" s="13">
        <f>IFERROR(SUM(C4:C34),"")</f>
        <v>2672480</v>
      </c>
      <c r="D35" s="13">
        <f>IFERROR(SUM(D4:D34),"")</f>
        <v>1020460</v>
      </c>
      <c r="E35" s="13">
        <f>IFERROR(SUM(E4:E34),"")</f>
        <v>601030</v>
      </c>
      <c r="F35" s="13">
        <f>IFERROR(SUM(F4:F34),"")</f>
        <v>529300</v>
      </c>
      <c r="G35" s="13">
        <f>IFERROR(SUM(G4:G34),"")</f>
        <v>2150790</v>
      </c>
    </row>
  </sheetData>
  <mergeCells count="3">
    <mergeCell ref="A1:G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M113"/>
  <sheetViews>
    <sheetView showGridLines="0" topLeftCell="E1" zoomScale="85" zoomScaleNormal="85" workbookViewId="0">
      <selection activeCell="I51" sqref="I51"/>
    </sheetView>
  </sheetViews>
  <sheetFormatPr defaultColWidth="8.5703125" defaultRowHeight="15" x14ac:dyDescent="0.25"/>
  <cols>
    <col min="1" max="1" width="14" customWidth="1"/>
    <col min="2" max="2" width="2" customWidth="1"/>
    <col min="3" max="3" width="17.5703125" customWidth="1"/>
    <col min="4" max="4" width="2" customWidth="1"/>
    <col min="5" max="5" width="28" customWidth="1"/>
    <col min="6" max="6" width="2" customWidth="1"/>
    <col min="7" max="7" width="28" customWidth="1"/>
    <col min="8" max="8" width="4" customWidth="1"/>
    <col min="9" max="9" width="53.140625" customWidth="1"/>
    <col min="10" max="10" width="45.42578125" customWidth="1"/>
    <col min="11" max="11" width="42.140625" customWidth="1"/>
    <col min="12" max="12" width="36" customWidth="1"/>
    <col min="13" max="13" width="45.85546875" customWidth="1"/>
  </cols>
  <sheetData>
    <row r="1" spans="1:13" ht="27.75" customHeight="1" x14ac:dyDescent="0.25">
      <c r="A1" s="88" t="s">
        <v>10</v>
      </c>
      <c r="B1" s="88"/>
      <c r="C1" s="88"/>
      <c r="D1" s="88"/>
      <c r="E1" s="88"/>
      <c r="F1" s="88"/>
      <c r="G1" s="88"/>
      <c r="H1" s="89"/>
      <c r="I1" s="90" t="s">
        <v>11</v>
      </c>
      <c r="J1" s="90"/>
      <c r="K1" s="90"/>
      <c r="L1" s="90"/>
      <c r="M1" s="90"/>
    </row>
    <row r="2" spans="1:13" ht="4.5" customHeight="1" x14ac:dyDescent="0.25">
      <c r="H2" s="89"/>
    </row>
    <row r="3" spans="1:13" ht="21.75" customHeight="1" x14ac:dyDescent="0.25">
      <c r="A3" s="14" t="s">
        <v>12</v>
      </c>
      <c r="C3" s="14" t="s">
        <v>13</v>
      </c>
      <c r="E3" s="14" t="s">
        <v>14</v>
      </c>
      <c r="G3" s="14" t="s">
        <v>15</v>
      </c>
      <c r="H3" s="89"/>
      <c r="I3" s="15" t="s">
        <v>16</v>
      </c>
      <c r="J3" s="15" t="s">
        <v>17</v>
      </c>
      <c r="K3" s="15" t="s">
        <v>18</v>
      </c>
      <c r="L3" s="15" t="s">
        <v>19</v>
      </c>
      <c r="M3" s="15" t="s">
        <v>20</v>
      </c>
    </row>
    <row r="4" spans="1:13" ht="15.75" customHeight="1" x14ac:dyDescent="0.25">
      <c r="A4" s="16" t="s">
        <v>21</v>
      </c>
      <c r="C4" s="16" t="s">
        <v>22</v>
      </c>
      <c r="E4" s="16" t="s">
        <v>16</v>
      </c>
      <c r="G4" s="16" t="s">
        <v>23</v>
      </c>
      <c r="H4" s="89"/>
      <c r="I4" s="16" t="s">
        <v>24</v>
      </c>
      <c r="J4" s="16" t="s">
        <v>25</v>
      </c>
      <c r="K4" s="16" t="s">
        <v>26</v>
      </c>
      <c r="L4" s="16" t="s">
        <v>27</v>
      </c>
      <c r="M4" s="16" t="s">
        <v>28</v>
      </c>
    </row>
    <row r="5" spans="1:13" ht="15.75" customHeight="1" x14ac:dyDescent="0.25">
      <c r="A5" s="17" t="s">
        <v>29</v>
      </c>
      <c r="C5" s="17" t="s">
        <v>30</v>
      </c>
      <c r="E5" s="17" t="s">
        <v>17</v>
      </c>
      <c r="G5" s="17" t="s">
        <v>31</v>
      </c>
      <c r="H5" s="89"/>
      <c r="I5" s="17" t="s">
        <v>32</v>
      </c>
      <c r="J5" s="17" t="s">
        <v>33</v>
      </c>
      <c r="K5" s="17" t="s">
        <v>34</v>
      </c>
      <c r="L5" s="17" t="s">
        <v>35</v>
      </c>
      <c r="M5" s="17" t="s">
        <v>36</v>
      </c>
    </row>
    <row r="6" spans="1:13" ht="15.75" customHeight="1" x14ac:dyDescent="0.25">
      <c r="A6" s="16" t="s">
        <v>37</v>
      </c>
      <c r="C6" s="16" t="s">
        <v>38</v>
      </c>
      <c r="E6" s="16" t="s">
        <v>18</v>
      </c>
      <c r="G6" s="16" t="s">
        <v>39</v>
      </c>
      <c r="H6" s="89"/>
      <c r="I6" s="16" t="s">
        <v>40</v>
      </c>
      <c r="J6" s="16" t="s">
        <v>41</v>
      </c>
      <c r="K6" s="16" t="s">
        <v>42</v>
      </c>
      <c r="L6" s="16" t="s">
        <v>43</v>
      </c>
      <c r="M6" s="16" t="s">
        <v>44</v>
      </c>
    </row>
    <row r="7" spans="1:13" ht="15.75" customHeight="1" x14ac:dyDescent="0.25">
      <c r="A7" s="17" t="s">
        <v>45</v>
      </c>
      <c r="C7" s="17" t="s">
        <v>46</v>
      </c>
      <c r="E7" s="16" t="s">
        <v>19</v>
      </c>
      <c r="G7" s="17" t="s">
        <v>47</v>
      </c>
      <c r="H7" s="89"/>
      <c r="I7" s="17" t="s">
        <v>48</v>
      </c>
      <c r="J7" s="17" t="s">
        <v>49</v>
      </c>
      <c r="K7" s="17" t="s">
        <v>34</v>
      </c>
      <c r="L7" s="17" t="s">
        <v>50</v>
      </c>
      <c r="M7" s="17" t="s">
        <v>51</v>
      </c>
    </row>
    <row r="8" spans="1:13" ht="15.75" customHeight="1" x14ac:dyDescent="0.25">
      <c r="A8" s="16"/>
      <c r="C8" s="16"/>
      <c r="E8" s="17" t="s">
        <v>20</v>
      </c>
      <c r="G8" s="16" t="s">
        <v>52</v>
      </c>
      <c r="H8" s="89"/>
      <c r="I8" s="16" t="s">
        <v>53</v>
      </c>
      <c r="J8" s="16" t="s">
        <v>54</v>
      </c>
      <c r="K8" s="16" t="s">
        <v>42</v>
      </c>
      <c r="L8" s="16" t="s">
        <v>55</v>
      </c>
      <c r="M8" s="16" t="s">
        <v>56</v>
      </c>
    </row>
    <row r="9" spans="1:13" ht="15.75" customHeight="1" x14ac:dyDescent="0.25">
      <c r="A9" s="17"/>
      <c r="C9" s="17"/>
      <c r="E9" s="17"/>
      <c r="G9" s="17" t="s">
        <v>57</v>
      </c>
      <c r="H9" s="89"/>
      <c r="I9" s="17" t="s">
        <v>58</v>
      </c>
      <c r="J9" s="17" t="s">
        <v>59</v>
      </c>
      <c r="K9" s="17" t="s">
        <v>60</v>
      </c>
      <c r="L9" s="17" t="s">
        <v>61</v>
      </c>
      <c r="M9" s="17" t="s">
        <v>62</v>
      </c>
    </row>
    <row r="10" spans="1:13" ht="15.75" customHeight="1" x14ac:dyDescent="0.25">
      <c r="A10" s="16"/>
      <c r="C10" s="16"/>
      <c r="E10" s="16"/>
      <c r="G10" s="16" t="s">
        <v>63</v>
      </c>
      <c r="H10" s="89"/>
      <c r="I10" s="16" t="s">
        <v>64</v>
      </c>
      <c r="J10" s="16" t="s">
        <v>65</v>
      </c>
      <c r="K10" s="16" t="s">
        <v>66</v>
      </c>
      <c r="L10" s="16" t="s">
        <v>67</v>
      </c>
      <c r="M10" s="16" t="s">
        <v>68</v>
      </c>
    </row>
    <row r="11" spans="1:13" ht="15.75" customHeight="1" x14ac:dyDescent="0.25">
      <c r="A11" s="17"/>
      <c r="C11" s="17"/>
      <c r="E11" s="17"/>
      <c r="G11" s="17" t="s">
        <v>69</v>
      </c>
      <c r="H11" s="89"/>
      <c r="I11" s="17" t="s">
        <v>70</v>
      </c>
      <c r="J11" s="17" t="s">
        <v>71</v>
      </c>
      <c r="K11" s="17" t="s">
        <v>72</v>
      </c>
      <c r="L11" s="17" t="s">
        <v>73</v>
      </c>
      <c r="M11" s="17" t="s">
        <v>74</v>
      </c>
    </row>
    <row r="12" spans="1:13" ht="15.75" customHeight="1" x14ac:dyDescent="0.25">
      <c r="A12" s="16"/>
      <c r="C12" s="16"/>
      <c r="E12" s="16"/>
      <c r="G12" s="16" t="s">
        <v>75</v>
      </c>
      <c r="H12" s="89"/>
      <c r="I12" s="16" t="s">
        <v>76</v>
      </c>
      <c r="J12" s="16" t="s">
        <v>77</v>
      </c>
      <c r="K12" s="16" t="s">
        <v>61</v>
      </c>
      <c r="L12" s="16" t="s">
        <v>78</v>
      </c>
      <c r="M12" s="16" t="s">
        <v>79</v>
      </c>
    </row>
    <row r="13" spans="1:13" ht="15.75" customHeight="1" x14ac:dyDescent="0.25">
      <c r="A13" s="17"/>
      <c r="C13" s="17"/>
      <c r="E13" s="17"/>
      <c r="G13" s="17" t="s">
        <v>80</v>
      </c>
      <c r="H13" s="89"/>
      <c r="I13" s="17"/>
      <c r="J13" s="17" t="s">
        <v>81</v>
      </c>
      <c r="K13" s="17" t="s">
        <v>82</v>
      </c>
      <c r="L13" s="17" t="s">
        <v>83</v>
      </c>
      <c r="M13" s="17" t="s">
        <v>84</v>
      </c>
    </row>
    <row r="14" spans="1:13" ht="15.75" customHeight="1" x14ac:dyDescent="0.25">
      <c r="A14" s="16"/>
      <c r="C14" s="16"/>
      <c r="E14" s="16"/>
      <c r="G14" s="16" t="s">
        <v>85</v>
      </c>
      <c r="H14" s="89"/>
      <c r="I14" s="16"/>
      <c r="J14" s="16" t="s">
        <v>86</v>
      </c>
      <c r="K14" s="16" t="s">
        <v>87</v>
      </c>
      <c r="L14" s="16" t="s">
        <v>88</v>
      </c>
      <c r="M14" s="16" t="s">
        <v>89</v>
      </c>
    </row>
    <row r="15" spans="1:13" ht="15.75" customHeight="1" x14ac:dyDescent="0.25">
      <c r="A15" s="17"/>
      <c r="C15" s="17"/>
      <c r="E15" s="17"/>
      <c r="G15" s="17" t="s">
        <v>90</v>
      </c>
      <c r="H15" s="89"/>
      <c r="I15" s="17"/>
      <c r="J15" s="17" t="s">
        <v>91</v>
      </c>
      <c r="K15" s="17" t="s">
        <v>92</v>
      </c>
      <c r="L15" s="17" t="s">
        <v>93</v>
      </c>
      <c r="M15" s="17" t="s">
        <v>94</v>
      </c>
    </row>
    <row r="16" spans="1:13" ht="15.75" customHeight="1" x14ac:dyDescent="0.25">
      <c r="A16" s="16"/>
      <c r="C16" s="16"/>
      <c r="E16" s="16"/>
      <c r="G16" s="16" t="s">
        <v>95</v>
      </c>
      <c r="H16" s="89"/>
      <c r="I16" s="16"/>
      <c r="J16" s="16"/>
      <c r="K16" s="16" t="s">
        <v>96</v>
      </c>
      <c r="L16" s="16" t="s">
        <v>97</v>
      </c>
      <c r="M16" s="16" t="s">
        <v>98</v>
      </c>
    </row>
    <row r="17" spans="1:13" ht="15.75" customHeight="1" x14ac:dyDescent="0.25">
      <c r="A17" s="17"/>
      <c r="C17" s="17"/>
      <c r="E17" s="17"/>
      <c r="G17" s="17" t="s">
        <v>99</v>
      </c>
      <c r="H17" s="89"/>
      <c r="I17" s="17"/>
      <c r="J17" s="17"/>
      <c r="K17" s="17" t="s">
        <v>100</v>
      </c>
      <c r="L17" s="17" t="s">
        <v>101</v>
      </c>
      <c r="M17" s="17" t="s">
        <v>102</v>
      </c>
    </row>
    <row r="18" spans="1:13" ht="15.75" customHeight="1" x14ac:dyDescent="0.25">
      <c r="A18" s="16"/>
      <c r="C18" s="16"/>
      <c r="E18" s="16"/>
      <c r="G18" s="16" t="s">
        <v>103</v>
      </c>
      <c r="H18" s="89"/>
      <c r="I18" s="16"/>
      <c r="J18" s="16"/>
      <c r="K18" s="16" t="s">
        <v>104</v>
      </c>
      <c r="L18" s="16" t="s">
        <v>105</v>
      </c>
      <c r="M18" s="16" t="s">
        <v>106</v>
      </c>
    </row>
    <row r="19" spans="1:13" ht="15.75" customHeight="1" x14ac:dyDescent="0.25">
      <c r="A19" s="17"/>
      <c r="C19" s="17"/>
      <c r="E19" s="17"/>
      <c r="G19" s="17" t="s">
        <v>107</v>
      </c>
      <c r="H19" s="89"/>
      <c r="I19" s="17"/>
      <c r="J19" s="17"/>
      <c r="K19" s="17" t="s">
        <v>108</v>
      </c>
      <c r="L19" s="17"/>
      <c r="M19" s="17" t="s">
        <v>109</v>
      </c>
    </row>
    <row r="20" spans="1:13" ht="15.75" customHeight="1" x14ac:dyDescent="0.25">
      <c r="A20" s="16"/>
      <c r="C20" s="16"/>
      <c r="E20" s="16"/>
      <c r="G20" s="16" t="s">
        <v>110</v>
      </c>
      <c r="H20" s="89"/>
      <c r="I20" s="16"/>
      <c r="J20" s="16"/>
      <c r="K20" s="16" t="s">
        <v>111</v>
      </c>
      <c r="L20" s="16"/>
      <c r="M20" s="16" t="s">
        <v>112</v>
      </c>
    </row>
    <row r="21" spans="1:13" ht="15.75" customHeight="1" x14ac:dyDescent="0.25">
      <c r="A21" s="17"/>
      <c r="C21" s="17"/>
      <c r="E21" s="17"/>
      <c r="G21" s="17" t="s">
        <v>113</v>
      </c>
      <c r="H21" s="89"/>
      <c r="I21" s="17"/>
      <c r="J21" s="17"/>
      <c r="K21" s="17" t="s">
        <v>114</v>
      </c>
      <c r="L21" s="17"/>
      <c r="M21" s="17" t="s">
        <v>115</v>
      </c>
    </row>
    <row r="22" spans="1:13" ht="15.75" customHeight="1" x14ac:dyDescent="0.25">
      <c r="A22" s="16"/>
      <c r="C22" s="16"/>
      <c r="E22" s="16"/>
      <c r="G22" s="16" t="s">
        <v>116</v>
      </c>
      <c r="H22" s="89"/>
      <c r="I22" s="16"/>
      <c r="J22" s="16"/>
      <c r="K22" s="16" t="s">
        <v>117</v>
      </c>
      <c r="L22" s="16"/>
      <c r="M22" s="16" t="s">
        <v>118</v>
      </c>
    </row>
    <row r="23" spans="1:13" ht="15.75" customHeight="1" x14ac:dyDescent="0.25">
      <c r="A23" s="17"/>
      <c r="C23" s="17"/>
      <c r="E23" s="17"/>
      <c r="G23" s="17" t="s">
        <v>119</v>
      </c>
      <c r="H23" s="89"/>
      <c r="I23" s="17"/>
      <c r="J23" s="17"/>
      <c r="K23" s="17" t="s">
        <v>120</v>
      </c>
      <c r="L23" s="17"/>
      <c r="M23" s="17" t="s">
        <v>121</v>
      </c>
    </row>
    <row r="24" spans="1:13" ht="15.75" customHeight="1" x14ac:dyDescent="0.25">
      <c r="A24" s="16"/>
      <c r="C24" s="16"/>
      <c r="E24" s="16"/>
      <c r="G24" s="16" t="s">
        <v>122</v>
      </c>
      <c r="H24" s="89"/>
      <c r="I24" s="16"/>
      <c r="J24" s="16"/>
      <c r="K24" s="16" t="s">
        <v>123</v>
      </c>
      <c r="L24" s="16"/>
      <c r="M24" s="16" t="s">
        <v>124</v>
      </c>
    </row>
    <row r="25" spans="1:13" ht="15.75" customHeight="1" x14ac:dyDescent="0.25">
      <c r="A25" s="17"/>
      <c r="C25" s="17"/>
      <c r="E25" s="17"/>
      <c r="G25" s="17" t="s">
        <v>125</v>
      </c>
      <c r="H25" s="89"/>
      <c r="I25" s="17"/>
      <c r="J25" s="17"/>
      <c r="K25" s="17" t="s">
        <v>126</v>
      </c>
      <c r="L25" s="17"/>
      <c r="M25" s="17" t="s">
        <v>127</v>
      </c>
    </row>
    <row r="26" spans="1:13" ht="15.75" customHeight="1" x14ac:dyDescent="0.25">
      <c r="A26" s="16"/>
      <c r="C26" s="16"/>
      <c r="E26" s="16"/>
      <c r="G26" s="16" t="s">
        <v>128</v>
      </c>
      <c r="H26" s="89"/>
      <c r="I26" s="16"/>
      <c r="J26" s="16"/>
      <c r="K26" s="16" t="s">
        <v>129</v>
      </c>
      <c r="L26" s="16"/>
      <c r="M26" s="16"/>
    </row>
    <row r="27" spans="1:13" ht="15.75" customHeight="1" x14ac:dyDescent="0.25">
      <c r="A27" s="17"/>
      <c r="C27" s="17"/>
      <c r="E27" s="17"/>
      <c r="G27" s="17" t="s">
        <v>130</v>
      </c>
      <c r="H27" s="89"/>
      <c r="I27" s="17"/>
      <c r="J27" s="17"/>
      <c r="K27" s="17" t="s">
        <v>121</v>
      </c>
      <c r="L27" s="17"/>
      <c r="M27" s="17" t="s">
        <v>62</v>
      </c>
    </row>
    <row r="28" spans="1:13" ht="15.75" customHeight="1" x14ac:dyDescent="0.25">
      <c r="A28" s="16"/>
      <c r="C28" s="16"/>
      <c r="E28" s="16"/>
      <c r="G28" s="16" t="s">
        <v>131</v>
      </c>
      <c r="H28" s="89"/>
      <c r="I28" s="16"/>
      <c r="J28" s="16"/>
      <c r="K28" s="16" t="s">
        <v>124</v>
      </c>
      <c r="L28" s="16"/>
      <c r="M28" s="16" t="s">
        <v>132</v>
      </c>
    </row>
    <row r="29" spans="1:13" ht="15.75" customHeight="1" x14ac:dyDescent="0.25">
      <c r="A29" s="17"/>
      <c r="C29" s="17"/>
      <c r="E29" s="17"/>
      <c r="G29" s="17" t="s">
        <v>133</v>
      </c>
      <c r="H29" s="89"/>
      <c r="I29" s="17"/>
      <c r="J29" s="17"/>
      <c r="K29" s="17" t="s">
        <v>134</v>
      </c>
      <c r="L29" s="17"/>
      <c r="M29" s="17" t="s">
        <v>135</v>
      </c>
    </row>
    <row r="30" spans="1:13" ht="15.75" customHeight="1" x14ac:dyDescent="0.25">
      <c r="A30" s="16"/>
      <c r="C30" s="16"/>
      <c r="E30" s="16"/>
      <c r="G30" s="16" t="s">
        <v>136</v>
      </c>
      <c r="H30" s="89"/>
      <c r="I30" s="16"/>
      <c r="J30" s="16"/>
      <c r="K30" s="16" t="s">
        <v>137</v>
      </c>
      <c r="L30" s="16"/>
      <c r="M30" s="16" t="s">
        <v>138</v>
      </c>
    </row>
    <row r="31" spans="1:13" ht="15.75" customHeight="1" x14ac:dyDescent="0.25">
      <c r="A31" s="17"/>
      <c r="C31" s="17"/>
      <c r="E31" s="17"/>
      <c r="G31" s="17" t="s">
        <v>139</v>
      </c>
      <c r="H31" s="89"/>
      <c r="I31" s="17"/>
      <c r="J31" s="17"/>
      <c r="K31" s="18" t="s">
        <v>140</v>
      </c>
      <c r="L31" s="17"/>
      <c r="M31" s="17" t="s">
        <v>141</v>
      </c>
    </row>
    <row r="32" spans="1:13" ht="15.75" customHeight="1" x14ac:dyDescent="0.25">
      <c r="A32" s="16"/>
      <c r="C32" s="16"/>
      <c r="E32" s="16"/>
      <c r="G32" s="16" t="s">
        <v>142</v>
      </c>
      <c r="H32" s="89"/>
      <c r="I32" s="16"/>
      <c r="J32" s="16"/>
      <c r="K32" s="16" t="s">
        <v>143</v>
      </c>
      <c r="L32" s="16"/>
      <c r="M32" t="s">
        <v>144</v>
      </c>
    </row>
    <row r="33" spans="1:13" ht="15.75" customHeight="1" x14ac:dyDescent="0.25">
      <c r="A33" s="17"/>
      <c r="C33" s="17"/>
      <c r="E33" s="17"/>
      <c r="G33" s="17" t="s">
        <v>145</v>
      </c>
      <c r="H33" s="89"/>
      <c r="I33" s="17"/>
      <c r="J33" s="17"/>
      <c r="K33" s="18" t="s">
        <v>146</v>
      </c>
      <c r="L33" s="17"/>
      <c r="M33" s="17" t="s">
        <v>20</v>
      </c>
    </row>
    <row r="34" spans="1:13" ht="15.75" customHeight="1" x14ac:dyDescent="0.25">
      <c r="A34" s="16"/>
      <c r="C34" s="16"/>
      <c r="E34" s="16"/>
      <c r="G34" s="16" t="s">
        <v>147</v>
      </c>
      <c r="H34" s="89"/>
      <c r="I34" s="16"/>
      <c r="J34" s="16"/>
      <c r="K34" s="16" t="s">
        <v>79</v>
      </c>
      <c r="L34" s="16"/>
      <c r="M34" s="16" t="s">
        <v>148</v>
      </c>
    </row>
    <row r="35" spans="1:13" ht="15.75" customHeight="1" x14ac:dyDescent="0.25">
      <c r="A35" s="17"/>
      <c r="C35" s="17"/>
      <c r="E35" s="17"/>
      <c r="G35" s="17" t="s">
        <v>149</v>
      </c>
      <c r="H35" s="89"/>
      <c r="I35" s="17"/>
      <c r="J35" s="17"/>
      <c r="K35" s="17" t="s">
        <v>150</v>
      </c>
      <c r="L35" s="17"/>
      <c r="M35" s="17" t="s">
        <v>151</v>
      </c>
    </row>
    <row r="36" spans="1:13" ht="15.75" customHeight="1" x14ac:dyDescent="0.25">
      <c r="A36" s="16"/>
      <c r="C36" s="16"/>
      <c r="E36" s="16"/>
      <c r="G36" s="16" t="s">
        <v>152</v>
      </c>
      <c r="H36" s="89"/>
      <c r="I36" s="16"/>
      <c r="J36" s="16"/>
      <c r="K36" s="16" t="s">
        <v>153</v>
      </c>
      <c r="L36" s="16"/>
      <c r="M36" s="16" t="s">
        <v>154</v>
      </c>
    </row>
    <row r="37" spans="1:13" ht="15.75" customHeight="1" x14ac:dyDescent="0.25">
      <c r="A37" s="17"/>
      <c r="C37" s="17"/>
      <c r="E37" s="17"/>
      <c r="G37" s="17" t="s">
        <v>155</v>
      </c>
      <c r="H37" s="89"/>
      <c r="I37" s="17"/>
      <c r="J37" s="17"/>
      <c r="K37" s="17" t="s">
        <v>156</v>
      </c>
      <c r="L37" s="17"/>
      <c r="M37" s="17" t="s">
        <v>157</v>
      </c>
    </row>
    <row r="38" spans="1:13" ht="15.75" customHeight="1" x14ac:dyDescent="0.25">
      <c r="A38" s="16"/>
      <c r="C38" s="16"/>
      <c r="E38" s="16"/>
      <c r="G38" s="16"/>
      <c r="H38" s="89"/>
      <c r="I38" s="16"/>
      <c r="J38" s="16"/>
      <c r="K38" s="16" t="s">
        <v>158</v>
      </c>
      <c r="L38" s="16"/>
      <c r="M38" s="16" t="s">
        <v>159</v>
      </c>
    </row>
    <row r="39" spans="1:13" ht="15.75" customHeight="1" x14ac:dyDescent="0.25">
      <c r="A39" s="17"/>
      <c r="C39" s="17"/>
      <c r="E39" s="17"/>
      <c r="G39" s="17"/>
      <c r="H39" s="89"/>
      <c r="I39" s="17"/>
      <c r="J39" s="17"/>
      <c r="K39" s="17" t="s">
        <v>160</v>
      </c>
      <c r="L39" s="17"/>
      <c r="M39" s="17" t="s">
        <v>161</v>
      </c>
    </row>
    <row r="40" spans="1:13" ht="15.75" customHeight="1" x14ac:dyDescent="0.25">
      <c r="A40" s="16"/>
      <c r="C40" s="16"/>
      <c r="E40" s="16"/>
      <c r="G40" s="16"/>
      <c r="H40" s="89"/>
      <c r="I40" s="16"/>
      <c r="J40" s="16"/>
      <c r="K40" s="16" t="s">
        <v>162</v>
      </c>
      <c r="L40" s="16"/>
      <c r="M40" s="16" t="s">
        <v>163</v>
      </c>
    </row>
    <row r="41" spans="1:13" ht="15.75" customHeight="1" x14ac:dyDescent="0.25">
      <c r="A41" s="17"/>
      <c r="C41" s="17"/>
      <c r="E41" s="17"/>
      <c r="G41" s="17"/>
      <c r="H41" s="89"/>
      <c r="I41" s="17"/>
      <c r="J41" s="17"/>
      <c r="K41" s="17" t="s">
        <v>164</v>
      </c>
      <c r="L41" s="17"/>
      <c r="M41" s="17" t="s">
        <v>165</v>
      </c>
    </row>
    <row r="42" spans="1:13" ht="15.75" customHeight="1" x14ac:dyDescent="0.25">
      <c r="A42" s="16"/>
      <c r="C42" s="16"/>
      <c r="E42" s="16"/>
      <c r="G42" s="16"/>
      <c r="H42" s="89"/>
      <c r="I42" s="16"/>
      <c r="J42" s="16"/>
      <c r="K42" s="16" t="s">
        <v>166</v>
      </c>
      <c r="L42" s="16"/>
      <c r="M42" s="16" t="s">
        <v>167</v>
      </c>
    </row>
    <row r="43" spans="1:13" ht="15.75" customHeight="1" x14ac:dyDescent="0.25">
      <c r="A43" s="17"/>
      <c r="C43" s="17"/>
      <c r="E43" s="17"/>
      <c r="G43" s="17"/>
      <c r="H43" s="89"/>
      <c r="I43" s="17"/>
      <c r="J43" s="17"/>
      <c r="K43" s="17" t="s">
        <v>168</v>
      </c>
      <c r="L43" s="17"/>
      <c r="M43" s="17" t="s">
        <v>169</v>
      </c>
    </row>
    <row r="44" spans="1:13" ht="15.75" customHeight="1" x14ac:dyDescent="0.25">
      <c r="A44" s="16"/>
      <c r="C44" s="16"/>
      <c r="E44" s="16"/>
      <c r="G44" s="16"/>
      <c r="H44" s="89"/>
      <c r="I44" s="16"/>
      <c r="J44" s="16"/>
      <c r="K44" s="16" t="s">
        <v>170</v>
      </c>
      <c r="L44" s="16"/>
      <c r="M44" s="16"/>
    </row>
    <row r="45" spans="1:13" ht="15.75" customHeight="1" x14ac:dyDescent="0.25">
      <c r="A45" s="17"/>
      <c r="C45" s="17"/>
      <c r="E45" s="17"/>
      <c r="G45" s="17"/>
      <c r="H45" s="89"/>
      <c r="I45" s="17"/>
      <c r="J45" s="17"/>
      <c r="K45" s="17"/>
      <c r="L45" s="17"/>
      <c r="M45" s="17"/>
    </row>
    <row r="46" spans="1:13" ht="15.75" customHeight="1" x14ac:dyDescent="0.25">
      <c r="A46" s="16"/>
      <c r="C46" s="16"/>
      <c r="E46" s="16"/>
      <c r="G46" s="16"/>
      <c r="H46" s="89"/>
      <c r="I46" s="16"/>
      <c r="J46" s="16"/>
      <c r="K46" s="16" t="s">
        <v>171</v>
      </c>
      <c r="L46" s="16"/>
      <c r="M46" s="16"/>
    </row>
    <row r="47" spans="1:13" ht="15.75" customHeight="1" x14ac:dyDescent="0.25">
      <c r="A47" s="17"/>
      <c r="C47" s="17"/>
      <c r="E47" s="17"/>
      <c r="G47" s="17"/>
      <c r="H47" s="89"/>
      <c r="I47" s="17"/>
      <c r="J47" s="17"/>
      <c r="K47" s="17" t="s">
        <v>172</v>
      </c>
      <c r="L47" s="17"/>
      <c r="M47" s="17"/>
    </row>
    <row r="48" spans="1:13" ht="15.75" customHeight="1" x14ac:dyDescent="0.25">
      <c r="A48" s="16"/>
      <c r="C48" s="16"/>
      <c r="E48" s="16"/>
      <c r="G48" s="16"/>
      <c r="H48" s="89"/>
      <c r="I48" s="16"/>
      <c r="J48" s="16"/>
      <c r="K48" s="16" t="s">
        <v>173</v>
      </c>
      <c r="L48" s="16"/>
      <c r="M48" s="16"/>
    </row>
    <row r="49" spans="1:13" ht="18" customHeight="1" x14ac:dyDescent="0.25">
      <c r="H49" s="89"/>
      <c r="I49" s="17"/>
      <c r="J49" s="17"/>
      <c r="K49" s="17" t="s">
        <v>174</v>
      </c>
      <c r="L49" s="17"/>
      <c r="M49" s="17"/>
    </row>
    <row r="50" spans="1:13" ht="21" customHeight="1" x14ac:dyDescent="0.25">
      <c r="A50" s="19" t="s">
        <v>175</v>
      </c>
      <c r="B50" s="19"/>
      <c r="C50" s="19"/>
      <c r="D50" s="19"/>
      <c r="E50" s="19"/>
      <c r="F50" s="19"/>
      <c r="G50" s="19"/>
      <c r="H50" s="89"/>
      <c r="I50" s="16"/>
      <c r="J50" s="16"/>
      <c r="K50" s="16" t="s">
        <v>176</v>
      </c>
      <c r="L50" s="16"/>
      <c r="M50" s="16"/>
    </row>
    <row r="51" spans="1:13" ht="24" customHeight="1" x14ac:dyDescent="0.25">
      <c r="H51" s="89"/>
      <c r="I51" s="17"/>
      <c r="J51" s="17"/>
      <c r="K51" s="17"/>
      <c r="L51" s="17"/>
      <c r="M51" s="17"/>
    </row>
    <row r="52" spans="1:13" ht="24" customHeight="1" x14ac:dyDescent="0.25">
      <c r="H52" s="89"/>
      <c r="I52" s="16"/>
      <c r="J52" s="16"/>
      <c r="K52" s="16"/>
      <c r="L52" s="16"/>
      <c r="M52" s="16"/>
    </row>
    <row r="53" spans="1:13" ht="36" customHeight="1" x14ac:dyDescent="0.25">
      <c r="H53" s="89"/>
      <c r="I53" s="17"/>
      <c r="J53" s="17"/>
      <c r="K53" s="17"/>
      <c r="L53" s="17"/>
      <c r="M53" s="17"/>
    </row>
    <row r="54" spans="1:13" ht="15" customHeight="1" x14ac:dyDescent="0.25">
      <c r="H54" s="89"/>
      <c r="I54" s="16"/>
      <c r="J54" s="16"/>
      <c r="K54" s="16"/>
      <c r="L54" s="16"/>
      <c r="M54" s="16"/>
    </row>
    <row r="55" spans="1:13" ht="15" customHeight="1" x14ac:dyDescent="0.25">
      <c r="H55" s="89"/>
      <c r="I55" s="17"/>
      <c r="J55" s="17"/>
      <c r="K55" s="17"/>
      <c r="L55" s="17"/>
      <c r="M55" s="17"/>
    </row>
    <row r="56" spans="1:13" ht="15" customHeight="1" x14ac:dyDescent="0.25">
      <c r="H56" s="89"/>
      <c r="I56" s="16"/>
      <c r="J56" s="16"/>
      <c r="K56" s="16"/>
      <c r="L56" s="16"/>
      <c r="M56" s="16"/>
    </row>
    <row r="57" spans="1:13" ht="15" customHeight="1" x14ac:dyDescent="0.25">
      <c r="H57" s="89"/>
      <c r="I57" s="17"/>
      <c r="J57" s="17"/>
      <c r="K57" s="17"/>
      <c r="L57" s="17"/>
      <c r="M57" s="17"/>
    </row>
    <row r="58" spans="1:13" ht="15" customHeight="1" x14ac:dyDescent="0.25">
      <c r="H58" s="89"/>
      <c r="I58" s="16"/>
      <c r="J58" s="16"/>
      <c r="K58" s="16"/>
      <c r="L58" s="16"/>
      <c r="M58" s="16"/>
    </row>
    <row r="59" spans="1:13" ht="15" customHeight="1" x14ac:dyDescent="0.25">
      <c r="H59" s="89"/>
      <c r="I59" s="17"/>
      <c r="J59" s="17"/>
      <c r="K59" s="17"/>
      <c r="L59" s="17"/>
      <c r="M59" s="17"/>
    </row>
    <row r="60" spans="1:13" ht="15" customHeight="1" x14ac:dyDescent="0.25">
      <c r="H60" s="89"/>
      <c r="I60" s="16"/>
      <c r="J60" s="16"/>
      <c r="K60" s="16"/>
      <c r="L60" s="16"/>
      <c r="M60" s="16"/>
    </row>
    <row r="61" spans="1:13" ht="15" customHeight="1" x14ac:dyDescent="0.25">
      <c r="H61" s="89"/>
      <c r="I61" s="17"/>
      <c r="J61" s="17"/>
      <c r="K61" s="17"/>
      <c r="L61" s="17"/>
      <c r="M61" s="17"/>
    </row>
    <row r="62" spans="1:13" ht="15" customHeight="1" x14ac:dyDescent="0.25">
      <c r="H62" s="89"/>
      <c r="I62" s="16"/>
      <c r="J62" s="16"/>
      <c r="K62" s="16"/>
      <c r="L62" s="16"/>
      <c r="M62" s="16"/>
    </row>
    <row r="63" spans="1:13" ht="15" customHeight="1" x14ac:dyDescent="0.25">
      <c r="H63" s="89"/>
      <c r="I63" s="17"/>
      <c r="J63" s="17"/>
      <c r="K63" s="17"/>
      <c r="L63" s="17"/>
      <c r="M63" s="17"/>
    </row>
    <row r="64" spans="1:13" ht="15" customHeight="1" x14ac:dyDescent="0.25">
      <c r="H64" s="89"/>
      <c r="I64" s="16"/>
      <c r="J64" s="16"/>
      <c r="K64" s="16"/>
      <c r="L64" s="16"/>
      <c r="M64" s="16"/>
    </row>
    <row r="65" spans="8:13" ht="15" customHeight="1" x14ac:dyDescent="0.25">
      <c r="H65" s="89"/>
      <c r="I65" s="17"/>
      <c r="J65" s="17"/>
      <c r="K65" s="17"/>
      <c r="L65" s="17"/>
      <c r="M65" s="17"/>
    </row>
    <row r="66" spans="8:13" ht="15" customHeight="1" x14ac:dyDescent="0.25">
      <c r="H66" s="89"/>
      <c r="I66" s="16"/>
      <c r="J66" s="16"/>
      <c r="K66" s="16"/>
      <c r="L66" s="16"/>
      <c r="M66" s="16"/>
    </row>
    <row r="67" spans="8:13" ht="15" customHeight="1" x14ac:dyDescent="0.25">
      <c r="H67" s="89"/>
      <c r="I67" s="17"/>
      <c r="J67" s="17"/>
      <c r="K67" s="17"/>
      <c r="L67" s="17"/>
      <c r="M67" s="17"/>
    </row>
    <row r="68" spans="8:13" ht="15" customHeight="1" x14ac:dyDescent="0.25">
      <c r="H68" s="89"/>
      <c r="I68" s="16"/>
      <c r="J68" s="16"/>
      <c r="K68" s="16"/>
      <c r="L68" s="16"/>
      <c r="M68" s="16"/>
    </row>
    <row r="69" spans="8:13" ht="15" customHeight="1" x14ac:dyDescent="0.25">
      <c r="H69" s="89"/>
      <c r="I69" s="17"/>
      <c r="J69" s="17"/>
      <c r="K69" s="17"/>
      <c r="L69" s="17"/>
      <c r="M69" s="17"/>
    </row>
    <row r="70" spans="8:13" ht="15" customHeight="1" x14ac:dyDescent="0.25">
      <c r="H70" s="89"/>
      <c r="I70" s="16"/>
      <c r="J70" s="16"/>
      <c r="K70" s="16"/>
      <c r="L70" s="16"/>
      <c r="M70" s="16"/>
    </row>
    <row r="71" spans="8:13" ht="15" customHeight="1" x14ac:dyDescent="0.25">
      <c r="H71" s="89"/>
      <c r="I71" s="17"/>
      <c r="J71" s="17"/>
      <c r="K71" s="17"/>
      <c r="L71" s="17"/>
      <c r="M71" s="17"/>
    </row>
    <row r="72" spans="8:13" ht="15" customHeight="1" x14ac:dyDescent="0.25">
      <c r="H72" s="89"/>
      <c r="I72" s="16"/>
      <c r="J72" s="16"/>
      <c r="K72" s="16"/>
      <c r="L72" s="16"/>
      <c r="M72" s="16"/>
    </row>
    <row r="73" spans="8:13" ht="15" customHeight="1" x14ac:dyDescent="0.25">
      <c r="H73" s="89"/>
      <c r="I73" s="17"/>
      <c r="J73" s="17"/>
      <c r="K73" s="17"/>
      <c r="L73" s="17"/>
      <c r="M73" s="17"/>
    </row>
    <row r="74" spans="8:13" ht="15" customHeight="1" x14ac:dyDescent="0.25">
      <c r="H74" s="89"/>
      <c r="I74" s="16"/>
      <c r="J74" s="16"/>
      <c r="K74" s="16"/>
      <c r="L74" s="16"/>
      <c r="M74" s="16"/>
    </row>
    <row r="75" spans="8:13" ht="15" customHeight="1" x14ac:dyDescent="0.25">
      <c r="H75" s="89"/>
      <c r="I75" s="17"/>
      <c r="J75" s="17"/>
      <c r="K75" s="17"/>
      <c r="L75" s="17"/>
      <c r="M75" s="17"/>
    </row>
    <row r="76" spans="8:13" ht="15" customHeight="1" x14ac:dyDescent="0.25"/>
    <row r="77" spans="8:13" ht="15" customHeight="1" x14ac:dyDescent="0.25"/>
    <row r="78" spans="8:13" ht="15" customHeight="1" x14ac:dyDescent="0.25"/>
    <row r="79" spans="8:13" ht="15" customHeight="1" x14ac:dyDescent="0.25"/>
    <row r="80" spans="8:13" ht="15" customHeight="1" x14ac:dyDescent="0.25"/>
    <row r="81" ht="15" customHeight="1" x14ac:dyDescent="0.25"/>
    <row r="82" ht="15" customHeight="1" x14ac:dyDescent="0.25"/>
    <row r="83" ht="15" customHeight="1" x14ac:dyDescent="0.25"/>
    <row r="84" ht="15" customHeight="1" x14ac:dyDescent="0.25"/>
    <row r="85" ht="15" customHeight="1" x14ac:dyDescent="0.25"/>
    <row r="86" ht="15" customHeight="1" x14ac:dyDescent="0.25"/>
    <row r="87" ht="15" customHeight="1" x14ac:dyDescent="0.25"/>
    <row r="88" ht="15" customHeight="1" x14ac:dyDescent="0.25"/>
    <row r="89" ht="15" customHeight="1" x14ac:dyDescent="0.25"/>
    <row r="90" ht="15" customHeight="1" x14ac:dyDescent="0.25"/>
    <row r="91" ht="15" customHeight="1" x14ac:dyDescent="0.25"/>
    <row r="92" ht="15" customHeight="1" x14ac:dyDescent="0.25"/>
    <row r="93" ht="15" customHeight="1" x14ac:dyDescent="0.25"/>
    <row r="94" ht="15" customHeight="1" x14ac:dyDescent="0.25"/>
    <row r="95" ht="15" customHeight="1" x14ac:dyDescent="0.25"/>
    <row r="96" ht="15" customHeight="1" x14ac:dyDescent="0.25"/>
    <row r="97" ht="15" customHeight="1" x14ac:dyDescent="0.25"/>
    <row r="98" ht="15" customHeight="1" x14ac:dyDescent="0.25"/>
    <row r="99" ht="15" customHeight="1" x14ac:dyDescent="0.25"/>
    <row r="100" ht="15" customHeight="1" x14ac:dyDescent="0.25"/>
    <row r="101" ht="15" customHeight="1" x14ac:dyDescent="0.25"/>
    <row r="102" ht="15" customHeight="1" x14ac:dyDescent="0.25"/>
    <row r="103" ht="15" customHeight="1" x14ac:dyDescent="0.25"/>
    <row r="104" ht="15" customHeight="1" x14ac:dyDescent="0.25"/>
    <row r="105" ht="15" customHeight="1" x14ac:dyDescent="0.25"/>
    <row r="106" ht="15" customHeight="1" x14ac:dyDescent="0.25"/>
    <row r="107" ht="15" customHeight="1" x14ac:dyDescent="0.25"/>
    <row r="108" ht="15" customHeight="1" x14ac:dyDescent="0.25"/>
    <row r="109" ht="15" customHeight="1" x14ac:dyDescent="0.25"/>
    <row r="110" ht="15" customHeight="1" x14ac:dyDescent="0.25"/>
    <row r="111" ht="15" customHeight="1" x14ac:dyDescent="0.25"/>
    <row r="112" ht="15" customHeight="1" x14ac:dyDescent="0.25"/>
    <row r="113" ht="15" customHeight="1" x14ac:dyDescent="0.25"/>
  </sheetData>
  <mergeCells count="3">
    <mergeCell ref="A1:G1"/>
    <mergeCell ref="H1:H75"/>
    <mergeCell ref="I1:M1"/>
  </mergeCells>
  <pageMargins left="0.75" right="0.75" top="1" bottom="1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1F497D"/>
  </sheetPr>
  <dimension ref="A1:O811"/>
  <sheetViews>
    <sheetView showGridLines="0" zoomScale="85" zoomScaleNormal="85" workbookViewId="0">
      <pane ySplit="1" topLeftCell="A2" activePane="bottomLeft" state="frozen"/>
      <selection pane="bottomLeft" activeCell="E36" sqref="E36"/>
    </sheetView>
  </sheetViews>
  <sheetFormatPr defaultColWidth="8.5703125" defaultRowHeight="15" x14ac:dyDescent="0.25"/>
  <cols>
    <col min="1" max="1" width="13" style="71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33.140625" style="20" customWidth="1"/>
    <col min="9" max="9" width="23.42578125" style="20" customWidth="1"/>
    <col min="10" max="10" width="43.140625" style="20" customWidth="1"/>
    <col min="11" max="11" width="14" style="20" customWidth="1"/>
    <col min="12" max="12" width="13.140625" style="21" customWidth="1"/>
    <col min="13" max="13" width="14" style="20" customWidth="1"/>
    <col min="14" max="14" width="50.42578125" style="20" customWidth="1"/>
    <col min="15" max="15" width="14" customWidth="1"/>
  </cols>
  <sheetData>
    <row r="1" spans="1:15" ht="37.5" customHeight="1" x14ac:dyDescent="0.25">
      <c r="A1" s="68" t="s">
        <v>7</v>
      </c>
      <c r="B1" s="23" t="s">
        <v>177</v>
      </c>
      <c r="C1" s="23" t="s">
        <v>12</v>
      </c>
      <c r="D1" s="22" t="s">
        <v>13</v>
      </c>
      <c r="E1" s="22" t="s">
        <v>178</v>
      </c>
      <c r="F1" s="23" t="s">
        <v>179</v>
      </c>
      <c r="G1" s="23" t="s">
        <v>180</v>
      </c>
      <c r="H1" s="23" t="s">
        <v>14</v>
      </c>
      <c r="I1" s="23" t="s">
        <v>15</v>
      </c>
      <c r="J1" s="23" t="s">
        <v>181</v>
      </c>
      <c r="K1" s="23" t="s">
        <v>182</v>
      </c>
      <c r="L1" s="23" t="s">
        <v>183</v>
      </c>
      <c r="M1" s="24" t="s">
        <v>184</v>
      </c>
      <c r="N1" s="23" t="s">
        <v>185</v>
      </c>
      <c r="O1" s="23" t="s">
        <v>186</v>
      </c>
    </row>
    <row r="2" spans="1:15" ht="15" customHeight="1" x14ac:dyDescent="0.25">
      <c r="A2" s="69">
        <v>46204</v>
      </c>
      <c r="B2" s="25">
        <v>0.33333333333333298</v>
      </c>
      <c r="C2" s="26" t="s">
        <v>29</v>
      </c>
      <c r="D2" s="20" t="s">
        <v>187</v>
      </c>
      <c r="E2" s="59" t="s">
        <v>188</v>
      </c>
      <c r="F2" s="27">
        <v>0</v>
      </c>
      <c r="G2" s="28">
        <f t="shared" ref="G2:G13" si="0">IF(F2="","",IF(E2="PC 17",F2*4.2,IF(E2="PC 19",F2*5,"")))</f>
        <v>0</v>
      </c>
      <c r="H2" s="26" t="s">
        <v>19</v>
      </c>
      <c r="I2" s="26" t="s">
        <v>23</v>
      </c>
      <c r="J2" s="26" t="s">
        <v>101</v>
      </c>
      <c r="K2" s="29">
        <v>0.29166666666666669</v>
      </c>
      <c r="L2" s="29">
        <v>0.37152777777777779</v>
      </c>
      <c r="M2" s="30">
        <f ca="1">IFERROR(IF(K2="","",IF(L2="",MOD(NOW()-K2,1),IF(L2&gt;=K2,L2-K2,L2+1-K2))),"")</f>
        <v>7.9861111111111105E-2</v>
      </c>
      <c r="N2" s="27" t="s">
        <v>189</v>
      </c>
      <c r="O2" s="31"/>
    </row>
    <row r="3" spans="1:15" ht="15" customHeight="1" x14ac:dyDescent="0.25">
      <c r="A3" s="70">
        <v>46204</v>
      </c>
      <c r="B3" s="32">
        <f t="shared" ref="B3:B13" si="1">B2+TIME(0,60,0)</f>
        <v>0.37499999999999967</v>
      </c>
      <c r="C3" s="26" t="s">
        <v>29</v>
      </c>
      <c r="D3" s="59" t="s">
        <v>30</v>
      </c>
      <c r="E3" s="59" t="s">
        <v>188</v>
      </c>
      <c r="F3" s="27">
        <v>0</v>
      </c>
      <c r="G3" s="34">
        <f t="shared" si="0"/>
        <v>0</v>
      </c>
      <c r="H3" s="33" t="s">
        <v>20</v>
      </c>
      <c r="I3" s="33" t="s">
        <v>23</v>
      </c>
      <c r="J3" s="33" t="s">
        <v>135</v>
      </c>
      <c r="K3" s="29">
        <v>0.40694444444444444</v>
      </c>
      <c r="L3" s="29">
        <v>0.4548611111111111</v>
      </c>
      <c r="M3" s="35">
        <f t="shared" ref="M3:M13" ca="1" si="2">IFERROR(IF(K3="","",IF(L3="",MOD(NOW()-K3,1),IF(L3&gt;=K3,L3-K3,L3+1-K3))),"")</f>
        <v>4.7916666666666663E-2</v>
      </c>
      <c r="N3" s="27"/>
      <c r="O3" s="31"/>
    </row>
    <row r="4" spans="1:15" ht="15" customHeight="1" x14ac:dyDescent="0.25">
      <c r="A4" s="69">
        <v>46204</v>
      </c>
      <c r="B4" s="25">
        <f t="shared" si="1"/>
        <v>0.41666666666666635</v>
      </c>
      <c r="C4" s="26" t="s">
        <v>29</v>
      </c>
      <c r="D4" s="59" t="s">
        <v>30</v>
      </c>
      <c r="E4" s="59" t="s">
        <v>188</v>
      </c>
      <c r="F4" s="27">
        <v>0</v>
      </c>
      <c r="G4" s="28">
        <f t="shared" si="0"/>
        <v>0</v>
      </c>
      <c r="H4" s="26"/>
      <c r="I4" s="26"/>
      <c r="J4" s="26"/>
      <c r="K4" s="29"/>
      <c r="L4" s="29"/>
      <c r="M4" s="30" t="str">
        <f t="shared" ca="1" si="2"/>
        <v/>
      </c>
      <c r="N4" s="27"/>
      <c r="O4" s="31"/>
    </row>
    <row r="5" spans="1:15" ht="15" customHeight="1" x14ac:dyDescent="0.25">
      <c r="A5" s="70">
        <v>46204</v>
      </c>
      <c r="B5" s="32">
        <f t="shared" si="1"/>
        <v>0.45833333333333304</v>
      </c>
      <c r="C5" s="26" t="s">
        <v>29</v>
      </c>
      <c r="D5" s="59" t="s">
        <v>30</v>
      </c>
      <c r="E5" s="59" t="s">
        <v>188</v>
      </c>
      <c r="F5" s="27">
        <v>25</v>
      </c>
      <c r="G5" s="34">
        <f t="shared" si="0"/>
        <v>125</v>
      </c>
      <c r="H5" s="33"/>
      <c r="I5" s="33"/>
      <c r="J5" s="33"/>
      <c r="K5" s="29"/>
      <c r="L5" s="29"/>
      <c r="M5" s="35" t="str">
        <f t="shared" ca="1" si="2"/>
        <v/>
      </c>
      <c r="N5" s="27"/>
      <c r="O5" s="31"/>
    </row>
    <row r="6" spans="1:15" ht="15" customHeight="1" x14ac:dyDescent="0.25">
      <c r="A6" s="69">
        <v>46204</v>
      </c>
      <c r="B6" s="25">
        <f t="shared" si="1"/>
        <v>0.49999999999999972</v>
      </c>
      <c r="C6" s="26" t="s">
        <v>29</v>
      </c>
      <c r="D6" s="59" t="s">
        <v>30</v>
      </c>
      <c r="E6" s="59" t="s">
        <v>188</v>
      </c>
      <c r="F6" s="27">
        <v>50</v>
      </c>
      <c r="G6" s="28">
        <f t="shared" si="0"/>
        <v>250</v>
      </c>
      <c r="H6" s="26"/>
      <c r="I6" s="26"/>
      <c r="J6" s="26"/>
      <c r="K6" s="29"/>
      <c r="L6" s="29"/>
      <c r="M6" s="30" t="str">
        <f t="shared" ca="1" si="2"/>
        <v/>
      </c>
      <c r="N6" s="27"/>
      <c r="O6" s="31"/>
    </row>
    <row r="7" spans="1:15" ht="15" customHeight="1" x14ac:dyDescent="0.25">
      <c r="A7" s="70">
        <v>46204</v>
      </c>
      <c r="B7" s="32">
        <f t="shared" si="1"/>
        <v>0.54166666666666641</v>
      </c>
      <c r="C7" s="26" t="s">
        <v>29</v>
      </c>
      <c r="D7" s="59" t="s">
        <v>30</v>
      </c>
      <c r="E7" s="59" t="s">
        <v>188</v>
      </c>
      <c r="F7" s="27">
        <v>28</v>
      </c>
      <c r="G7" s="34">
        <f t="shared" si="0"/>
        <v>140</v>
      </c>
      <c r="H7" s="33"/>
      <c r="I7" s="33"/>
      <c r="J7" s="33"/>
      <c r="K7" s="29"/>
      <c r="L7" s="29"/>
      <c r="M7" s="35" t="str">
        <f t="shared" ca="1" si="2"/>
        <v/>
      </c>
      <c r="N7" s="27"/>
      <c r="O7" s="31"/>
    </row>
    <row r="8" spans="1:15" ht="15" customHeight="1" x14ac:dyDescent="0.25">
      <c r="A8" s="69">
        <v>46204</v>
      </c>
      <c r="B8" s="25">
        <f t="shared" si="1"/>
        <v>0.58333333333333304</v>
      </c>
      <c r="C8" s="26" t="s">
        <v>29</v>
      </c>
      <c r="D8" s="59" t="s">
        <v>30</v>
      </c>
      <c r="E8" s="59" t="s">
        <v>188</v>
      </c>
      <c r="F8" s="27">
        <v>32</v>
      </c>
      <c r="G8" s="28">
        <f t="shared" si="0"/>
        <v>160</v>
      </c>
      <c r="H8" s="26"/>
      <c r="I8" s="26"/>
      <c r="J8" s="26"/>
      <c r="K8" s="29"/>
      <c r="L8" s="29"/>
      <c r="M8" s="30" t="str">
        <f t="shared" ca="1" si="2"/>
        <v/>
      </c>
      <c r="N8" s="27"/>
      <c r="O8" s="31"/>
    </row>
    <row r="9" spans="1:15" ht="15" customHeight="1" x14ac:dyDescent="0.25">
      <c r="A9" s="70">
        <v>46204</v>
      </c>
      <c r="B9" s="32">
        <f t="shared" si="1"/>
        <v>0.62499999999999967</v>
      </c>
      <c r="C9" s="26" t="s">
        <v>29</v>
      </c>
      <c r="D9" s="59" t="s">
        <v>30</v>
      </c>
      <c r="E9" s="59" t="s">
        <v>188</v>
      </c>
      <c r="F9" s="27">
        <v>27</v>
      </c>
      <c r="G9" s="34">
        <f t="shared" si="0"/>
        <v>135</v>
      </c>
      <c r="H9" s="33"/>
      <c r="I9" s="33"/>
      <c r="J9" s="33"/>
      <c r="K9" s="29"/>
      <c r="L9" s="29"/>
      <c r="M9" s="35" t="str">
        <f t="shared" ca="1" si="2"/>
        <v/>
      </c>
      <c r="N9" s="27"/>
      <c r="O9" s="31"/>
    </row>
    <row r="10" spans="1:15" ht="15" customHeight="1" x14ac:dyDescent="0.25">
      <c r="A10" s="69">
        <v>46204</v>
      </c>
      <c r="B10" s="25">
        <f t="shared" si="1"/>
        <v>0.6666666666666663</v>
      </c>
      <c r="C10" s="26" t="s">
        <v>29</v>
      </c>
      <c r="D10" s="59" t="s">
        <v>30</v>
      </c>
      <c r="E10" s="59" t="s">
        <v>188</v>
      </c>
      <c r="F10" s="27">
        <v>40</v>
      </c>
      <c r="G10" s="28">
        <f t="shared" si="0"/>
        <v>200</v>
      </c>
      <c r="H10" s="26"/>
      <c r="I10" s="26"/>
      <c r="J10" s="26"/>
      <c r="K10" s="29"/>
      <c r="L10" s="29"/>
      <c r="M10" s="30" t="str">
        <f t="shared" ca="1" si="2"/>
        <v/>
      </c>
      <c r="N10" s="27"/>
      <c r="O10" s="31"/>
    </row>
    <row r="11" spans="1:15" ht="15" customHeight="1" x14ac:dyDescent="0.25">
      <c r="A11" s="70">
        <v>46204</v>
      </c>
      <c r="B11" s="32">
        <f t="shared" si="1"/>
        <v>0.70833333333333293</v>
      </c>
      <c r="C11" s="26" t="s">
        <v>29</v>
      </c>
      <c r="D11" s="59" t="s">
        <v>30</v>
      </c>
      <c r="E11" s="59" t="s">
        <v>188</v>
      </c>
      <c r="F11" s="27">
        <v>30</v>
      </c>
      <c r="G11" s="34">
        <f t="shared" si="0"/>
        <v>150</v>
      </c>
      <c r="H11" s="33"/>
      <c r="I11" s="33"/>
      <c r="J11" s="33"/>
      <c r="K11" s="29"/>
      <c r="L11" s="29"/>
      <c r="M11" s="35" t="str">
        <f t="shared" ca="1" si="2"/>
        <v/>
      </c>
      <c r="N11" s="27"/>
      <c r="O11" s="31"/>
    </row>
    <row r="12" spans="1:15" ht="15" customHeight="1" x14ac:dyDescent="0.25">
      <c r="A12" s="69">
        <v>46204</v>
      </c>
      <c r="B12" s="25">
        <f t="shared" si="1"/>
        <v>0.74999999999999956</v>
      </c>
      <c r="C12" s="26" t="s">
        <v>29</v>
      </c>
      <c r="D12" s="59" t="s">
        <v>30</v>
      </c>
      <c r="E12" s="59" t="s">
        <v>188</v>
      </c>
      <c r="F12" s="27">
        <v>30</v>
      </c>
      <c r="G12" s="28">
        <f t="shared" si="0"/>
        <v>150</v>
      </c>
      <c r="H12" s="26"/>
      <c r="I12" s="26"/>
      <c r="J12" s="26"/>
      <c r="K12" s="29"/>
      <c r="L12" s="29"/>
      <c r="M12" s="30" t="str">
        <f t="shared" ca="1" si="2"/>
        <v/>
      </c>
      <c r="N12" s="27"/>
      <c r="O12" s="31"/>
    </row>
    <row r="13" spans="1:15" ht="15" customHeight="1" x14ac:dyDescent="0.25">
      <c r="A13" s="70">
        <v>46204</v>
      </c>
      <c r="B13" s="32">
        <f t="shared" si="1"/>
        <v>0.79166666666666619</v>
      </c>
      <c r="C13" s="26" t="s">
        <v>29</v>
      </c>
      <c r="D13" s="59" t="s">
        <v>30</v>
      </c>
      <c r="E13" s="59" t="s">
        <v>188</v>
      </c>
      <c r="F13" s="27">
        <v>10</v>
      </c>
      <c r="G13" s="34">
        <f t="shared" si="0"/>
        <v>50</v>
      </c>
      <c r="H13" s="33"/>
      <c r="I13" s="33"/>
      <c r="J13" s="33"/>
      <c r="K13" s="29"/>
      <c r="L13" s="29"/>
      <c r="M13" s="35" t="str">
        <f t="shared" ca="1" si="2"/>
        <v/>
      </c>
      <c r="N13" s="27"/>
      <c r="O13" s="31"/>
    </row>
    <row r="14" spans="1:15" ht="15.75" customHeight="1" x14ac:dyDescent="0.25">
      <c r="A14" s="79" t="s">
        <v>190</v>
      </c>
      <c r="B14" s="80"/>
      <c r="C14" s="80"/>
      <c r="D14" s="80"/>
      <c r="E14" s="81"/>
      <c r="F14" s="36">
        <f>SUM(F2:F13)</f>
        <v>272</v>
      </c>
      <c r="G14" s="36">
        <f>SUM(G2:G13)</f>
        <v>1360</v>
      </c>
      <c r="H14" s="37"/>
      <c r="I14" s="37"/>
      <c r="J14" s="37"/>
      <c r="K14" s="37"/>
      <c r="L14" s="37"/>
      <c r="M14" s="38">
        <f ca="1">IFERROR(SUM(M2:M13),"")</f>
        <v>0.12777777777777777</v>
      </c>
      <c r="N14" s="36" t="s">
        <v>191</v>
      </c>
      <c r="O14" s="39">
        <v>1489420</v>
      </c>
    </row>
    <row r="15" spans="1:15" ht="15" customHeight="1" x14ac:dyDescent="0.25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188</v>
      </c>
      <c r="F15" s="27">
        <v>12</v>
      </c>
      <c r="G15" s="34">
        <f t="shared" ref="G15:G26" si="3">IF(F15="","",IF(E15="PC 17",F15*4.2,IF(E15="PC 19",F15*5,"")))</f>
        <v>60</v>
      </c>
      <c r="H15" s="33"/>
      <c r="I15" s="33"/>
      <c r="J15" s="33"/>
      <c r="K15" s="29"/>
      <c r="L15" s="29"/>
      <c r="M15" s="35" t="str">
        <f t="shared" ref="M15:M26" ca="1" si="4">IFERROR(IF(K15="","",IF(L15="",MOD(NOW()-K15,1),IF(L15&gt;=K15,L15-K15,L15+1-K15))),"")</f>
        <v/>
      </c>
      <c r="N15" s="27"/>
      <c r="O15" s="31"/>
    </row>
    <row r="16" spans="1:15" ht="15" customHeight="1" x14ac:dyDescent="0.25">
      <c r="A16" s="69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188</v>
      </c>
      <c r="F16" s="27">
        <v>15</v>
      </c>
      <c r="G16" s="34">
        <f t="shared" si="3"/>
        <v>75</v>
      </c>
      <c r="H16" s="26"/>
      <c r="I16" s="26"/>
      <c r="J16" s="26"/>
      <c r="K16" s="29"/>
      <c r="L16" s="29"/>
      <c r="M16" s="30" t="str">
        <f t="shared" ca="1" si="4"/>
        <v/>
      </c>
      <c r="N16" s="27"/>
      <c r="O16" s="31"/>
    </row>
    <row r="17" spans="1:15" ht="15" customHeight="1" x14ac:dyDescent="0.25">
      <c r="A17" s="70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188</v>
      </c>
      <c r="F17" s="27">
        <v>17</v>
      </c>
      <c r="G17" s="34">
        <f t="shared" si="3"/>
        <v>85</v>
      </c>
      <c r="H17" s="33"/>
      <c r="I17" s="33"/>
      <c r="J17" s="33"/>
      <c r="K17" s="29"/>
      <c r="L17" s="29"/>
      <c r="M17" s="35" t="str">
        <f t="shared" ca="1" si="4"/>
        <v/>
      </c>
      <c r="N17" s="27"/>
      <c r="O17" s="31"/>
    </row>
    <row r="18" spans="1:15" ht="15" customHeight="1" x14ac:dyDescent="0.25">
      <c r="A18" s="69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188</v>
      </c>
      <c r="F18" s="27">
        <v>26</v>
      </c>
      <c r="G18" s="34">
        <f t="shared" si="3"/>
        <v>130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31"/>
    </row>
    <row r="19" spans="1:15" ht="15" customHeight="1" x14ac:dyDescent="0.25">
      <c r="A19" s="70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188</v>
      </c>
      <c r="F19" s="27">
        <v>18</v>
      </c>
      <c r="G19" s="34">
        <f t="shared" si="3"/>
        <v>90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31"/>
    </row>
    <row r="20" spans="1:15" ht="15" customHeight="1" x14ac:dyDescent="0.25">
      <c r="A20" s="69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188</v>
      </c>
      <c r="F20" s="27">
        <v>25</v>
      </c>
      <c r="G20" s="34">
        <f t="shared" si="3"/>
        <v>125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31"/>
    </row>
    <row r="21" spans="1:15" ht="15" customHeight="1" x14ac:dyDescent="0.25">
      <c r="A21" s="70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188</v>
      </c>
      <c r="F21" s="27">
        <v>23</v>
      </c>
      <c r="G21" s="34">
        <f t="shared" si="3"/>
        <v>115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31"/>
    </row>
    <row r="22" spans="1:15" ht="15" customHeight="1" x14ac:dyDescent="0.25">
      <c r="A22" s="69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188</v>
      </c>
      <c r="F22" s="27">
        <v>26</v>
      </c>
      <c r="G22" s="34">
        <f t="shared" si="3"/>
        <v>130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31"/>
    </row>
    <row r="23" spans="1:15" ht="15" customHeight="1" x14ac:dyDescent="0.25">
      <c r="A23" s="70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188</v>
      </c>
      <c r="F23" s="27">
        <v>19</v>
      </c>
      <c r="G23" s="34">
        <f t="shared" si="3"/>
        <v>95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31"/>
    </row>
    <row r="24" spans="1:15" ht="15" customHeight="1" x14ac:dyDescent="0.25">
      <c r="A24" s="69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188</v>
      </c>
      <c r="F24" s="27">
        <v>21</v>
      </c>
      <c r="G24" s="34">
        <f t="shared" si="3"/>
        <v>105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31"/>
    </row>
    <row r="25" spans="1:15" ht="15" customHeight="1" x14ac:dyDescent="0.25">
      <c r="A25" s="70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188</v>
      </c>
      <c r="F25" s="27">
        <v>25</v>
      </c>
      <c r="G25" s="34">
        <f t="shared" si="3"/>
        <v>125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31"/>
    </row>
    <row r="26" spans="1:15" ht="15" customHeight="1" x14ac:dyDescent="0.25">
      <c r="A26" s="69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188</v>
      </c>
      <c r="F26" s="27">
        <v>8</v>
      </c>
      <c r="G26" s="34">
        <f t="shared" si="3"/>
        <v>40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31"/>
    </row>
    <row r="27" spans="1:15" ht="15.75" customHeight="1" x14ac:dyDescent="0.25">
      <c r="A27" s="79" t="s">
        <v>192</v>
      </c>
      <c r="B27" s="80"/>
      <c r="C27" s="80"/>
      <c r="D27" s="80"/>
      <c r="E27" s="81"/>
      <c r="F27" s="36">
        <f>SUM(F15:F26)</f>
        <v>235</v>
      </c>
      <c r="G27" s="36">
        <f>SUM(G15:G26)</f>
        <v>1175</v>
      </c>
      <c r="H27" s="37"/>
      <c r="I27" s="37"/>
      <c r="J27" s="37"/>
      <c r="K27" s="37"/>
      <c r="L27" s="37"/>
      <c r="M27" s="38">
        <f ca="1">IFERROR(SUM(M15:M26),"")</f>
        <v>0</v>
      </c>
      <c r="N27" s="36" t="s">
        <v>191</v>
      </c>
      <c r="O27" s="39">
        <v>1183060</v>
      </c>
    </row>
    <row r="28" spans="1:15" ht="18" customHeight="1" x14ac:dyDescent="0.25">
      <c r="A28" s="82" t="s">
        <v>193</v>
      </c>
      <c r="B28" s="83"/>
      <c r="C28" s="83"/>
      <c r="D28" s="83"/>
      <c r="E28" s="84"/>
      <c r="F28" s="40">
        <f>F14+F27</f>
        <v>507</v>
      </c>
      <c r="G28" s="40">
        <f>G14+G27</f>
        <v>2535</v>
      </c>
      <c r="H28" s="41"/>
      <c r="I28" s="41"/>
      <c r="J28" s="41"/>
      <c r="K28" s="41"/>
      <c r="L28" s="41"/>
      <c r="M28" s="42">
        <f ca="1">IFERROR(M14+M27,"")</f>
        <v>0.12777777777777777</v>
      </c>
      <c r="N28" s="40" t="s">
        <v>194</v>
      </c>
      <c r="O28" s="43">
        <f>IFERROR(O14+O27,"")</f>
        <v>2672480</v>
      </c>
    </row>
    <row r="29" spans="1:15" ht="15" customHeight="1" x14ac:dyDescent="0.25">
      <c r="A29" s="69">
        <v>46205</v>
      </c>
      <c r="B29" s="25">
        <v>0.33333333333333298</v>
      </c>
      <c r="C29" s="26" t="s">
        <v>21</v>
      </c>
      <c r="D29" s="59" t="s">
        <v>30</v>
      </c>
      <c r="E29" s="59"/>
      <c r="F29" s="27"/>
      <c r="G29" s="28" t="str">
        <f t="shared" ref="G29:G40" si="6">IF(F29="","",IF(E29="PC 17",F29*4.2,IF(E29="PC 19",F29*5,"")))</f>
        <v/>
      </c>
      <c r="H29" s="33"/>
      <c r="I29" s="33" t="s">
        <v>23</v>
      </c>
      <c r="J29" s="33"/>
      <c r="K29" s="29">
        <v>0.32083333333333336</v>
      </c>
      <c r="L29" s="29"/>
      <c r="M29" s="35" t="str">
        <f t="shared" ref="M29:M40" ca="1" si="7">IFERROR(IF(K29="","",IF(L29="",MOD(NOW()-K29,1),IF(L29&gt;=K29,L29-K29,L29+1-K29))),"")</f>
        <v/>
      </c>
      <c r="N29" s="27"/>
      <c r="O29" s="31"/>
    </row>
    <row r="30" spans="1:15" ht="15" customHeight="1" x14ac:dyDescent="0.25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/>
      <c r="F30" s="27"/>
      <c r="G30" s="34" t="str">
        <f t="shared" si="6"/>
        <v/>
      </c>
      <c r="H30" s="26"/>
      <c r="I30" s="26"/>
      <c r="J30" s="26"/>
      <c r="K30" s="29"/>
      <c r="L30" s="29"/>
      <c r="M30" s="30" t="str">
        <f t="shared" ca="1" si="7"/>
        <v/>
      </c>
      <c r="N30" s="27"/>
      <c r="O30" s="31"/>
    </row>
    <row r="31" spans="1:15" ht="15" customHeight="1" x14ac:dyDescent="0.25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/>
      <c r="F31" s="27"/>
      <c r="G31" s="28" t="str">
        <f t="shared" si="6"/>
        <v/>
      </c>
      <c r="H31" s="33"/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 x14ac:dyDescent="0.25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/>
      <c r="F32" s="27"/>
      <c r="G32" s="34" t="str">
        <f t="shared" si="6"/>
        <v/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 x14ac:dyDescent="0.25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/>
      <c r="F33" s="27"/>
      <c r="G33" s="28" t="str">
        <f t="shared" si="6"/>
        <v/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 x14ac:dyDescent="0.25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/>
      <c r="F34" s="27"/>
      <c r="G34" s="34" t="str">
        <f t="shared" si="6"/>
        <v/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 x14ac:dyDescent="0.25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/>
      <c r="F35" s="27"/>
      <c r="G35" s="28" t="str">
        <f t="shared" si="6"/>
        <v/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 x14ac:dyDescent="0.25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/>
      <c r="F36" s="27"/>
      <c r="G36" s="34" t="str">
        <f t="shared" si="6"/>
        <v/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 x14ac:dyDescent="0.25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/>
      <c r="F37" s="27"/>
      <c r="G37" s="28" t="str">
        <f t="shared" si="6"/>
        <v/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 x14ac:dyDescent="0.25">
      <c r="A38" s="70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/>
      <c r="F38" s="27"/>
      <c r="G38" s="34" t="str">
        <f t="shared" si="6"/>
        <v/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 x14ac:dyDescent="0.25">
      <c r="A39" s="69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/>
      <c r="F39" s="27"/>
      <c r="G39" s="28" t="str">
        <f t="shared" si="6"/>
        <v/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 x14ac:dyDescent="0.25">
      <c r="A40" s="70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/>
      <c r="F40" s="27"/>
      <c r="G40" s="34" t="str">
        <f t="shared" si="6"/>
        <v/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 x14ac:dyDescent="0.25">
      <c r="A41" s="79" t="s">
        <v>190</v>
      </c>
      <c r="B41" s="80"/>
      <c r="C41" s="80"/>
      <c r="D41" s="80"/>
      <c r="E41" s="81">
        <f>SUM(E29:E40)</f>
        <v>0</v>
      </c>
      <c r="F41" s="36">
        <f>SUM(F29:F40)</f>
        <v>0</v>
      </c>
      <c r="G41" s="36">
        <f>SUM(G29:G40)</f>
        <v>0</v>
      </c>
      <c r="H41" s="37"/>
      <c r="I41" s="37"/>
      <c r="J41" s="37"/>
      <c r="K41" s="37"/>
      <c r="L41" s="37"/>
      <c r="M41" s="38">
        <f ca="1">IFERROR(SUM(M29:M40),"")</f>
        <v>0</v>
      </c>
      <c r="N41" s="36" t="s">
        <v>191</v>
      </c>
      <c r="O41" s="39"/>
    </row>
    <row r="42" spans="1:15" ht="15" customHeight="1" x14ac:dyDescent="0.25">
      <c r="A42" s="70">
        <v>46205</v>
      </c>
      <c r="B42" s="32">
        <v>0.83333333333333304</v>
      </c>
      <c r="C42" s="33"/>
      <c r="D42" s="62"/>
      <c r="E42" s="62"/>
      <c r="F42" s="27"/>
      <c r="G42" s="34" t="str">
        <f t="shared" ref="G42:G53" si="9">IF(F42="","",IF(E42="PC 17",F42*4.2,IF(E42="PC 19",F42*5,"")))</f>
        <v/>
      </c>
      <c r="H42" s="26"/>
      <c r="I42" s="26"/>
      <c r="J42" s="26"/>
      <c r="K42" s="29"/>
      <c r="L42" s="29"/>
      <c r="M42" s="30" t="str">
        <f t="shared" ref="M42:M53" ca="1" si="10">IFERROR(IF(K42="","",IF(L42="",MOD(NOW()-K42,1),IF(L42&gt;=K42,L42-K42,L42+1-K42))),"")</f>
        <v/>
      </c>
      <c r="N42" s="27"/>
      <c r="O42" s="31"/>
    </row>
    <row r="43" spans="1:15" ht="15" customHeight="1" x14ac:dyDescent="0.25">
      <c r="A43" s="69">
        <v>46205</v>
      </c>
      <c r="B43" s="25">
        <f t="shared" ref="B43:B53" si="11">B42+TIME(0,60,0)</f>
        <v>0.87499999999999967</v>
      </c>
      <c r="C43" s="33"/>
      <c r="D43" s="62"/>
      <c r="E43" s="62"/>
      <c r="F43" s="27"/>
      <c r="G43" s="28" t="str">
        <f t="shared" si="9"/>
        <v/>
      </c>
      <c r="H43" s="33"/>
      <c r="I43" s="33"/>
      <c r="J43" s="33"/>
      <c r="K43" s="29"/>
      <c r="L43" s="29"/>
      <c r="M43" s="35" t="str">
        <f t="shared" ca="1" si="10"/>
        <v/>
      </c>
      <c r="N43" s="27"/>
      <c r="O43" s="31"/>
    </row>
    <row r="44" spans="1:15" ht="15" customHeight="1" x14ac:dyDescent="0.25">
      <c r="A44" s="70">
        <v>46205</v>
      </c>
      <c r="B44" s="32">
        <f t="shared" si="11"/>
        <v>0.9166666666666663</v>
      </c>
      <c r="C44" s="33"/>
      <c r="D44" s="62"/>
      <c r="E44" s="62"/>
      <c r="F44" s="27"/>
      <c r="G44" s="34" t="str">
        <f t="shared" si="9"/>
        <v/>
      </c>
      <c r="H44" s="26"/>
      <c r="I44" s="26"/>
      <c r="J44" s="26"/>
      <c r="K44" s="29"/>
      <c r="L44" s="29"/>
      <c r="M44" s="30" t="str">
        <f t="shared" ca="1" si="10"/>
        <v/>
      </c>
      <c r="N44" s="27"/>
      <c r="O44" s="31"/>
    </row>
    <row r="45" spans="1:15" ht="15" customHeight="1" x14ac:dyDescent="0.25">
      <c r="A45" s="69">
        <v>46205</v>
      </c>
      <c r="B45" s="25">
        <f t="shared" si="11"/>
        <v>0.95833333333333293</v>
      </c>
      <c r="C45" s="33"/>
      <c r="D45" s="62"/>
      <c r="E45" s="62"/>
      <c r="F45" s="27"/>
      <c r="G45" s="28" t="str">
        <f t="shared" si="9"/>
        <v/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31"/>
    </row>
    <row r="46" spans="1:15" ht="15" customHeight="1" x14ac:dyDescent="0.25">
      <c r="A46" s="70">
        <v>46205</v>
      </c>
      <c r="B46" s="32">
        <f t="shared" si="11"/>
        <v>0.99999999999999956</v>
      </c>
      <c r="C46" s="33"/>
      <c r="D46" s="62"/>
      <c r="E46" s="62"/>
      <c r="F46" s="27"/>
      <c r="G46" s="34" t="str">
        <f t="shared" si="9"/>
        <v/>
      </c>
      <c r="H46" s="26"/>
      <c r="I46" s="26"/>
      <c r="J46" s="26"/>
      <c r="K46" s="29"/>
      <c r="L46" s="29"/>
      <c r="M46" s="30" t="str">
        <f t="shared" ca="1" si="10"/>
        <v/>
      </c>
      <c r="N46" s="27"/>
      <c r="O46" s="31"/>
    </row>
    <row r="47" spans="1:15" ht="15" customHeight="1" x14ac:dyDescent="0.25">
      <c r="A47" s="69">
        <v>46205</v>
      </c>
      <c r="B47" s="25">
        <f t="shared" si="11"/>
        <v>1.0416666666666663</v>
      </c>
      <c r="C47" s="33"/>
      <c r="D47" s="62"/>
      <c r="E47" s="62"/>
      <c r="F47" s="27"/>
      <c r="G47" s="28" t="str">
        <f t="shared" si="9"/>
        <v/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31"/>
    </row>
    <row r="48" spans="1:15" ht="15" customHeight="1" x14ac:dyDescent="0.25">
      <c r="A48" s="70">
        <v>46205</v>
      </c>
      <c r="B48" s="32">
        <f t="shared" si="11"/>
        <v>1.083333333333333</v>
      </c>
      <c r="C48" s="33"/>
      <c r="D48" s="62"/>
      <c r="E48" s="62"/>
      <c r="F48" s="27"/>
      <c r="G48" s="34" t="str">
        <f t="shared" si="9"/>
        <v/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 x14ac:dyDescent="0.25">
      <c r="A49" s="69">
        <v>46205</v>
      </c>
      <c r="B49" s="25">
        <f t="shared" si="11"/>
        <v>1.1249999999999998</v>
      </c>
      <c r="C49" s="33"/>
      <c r="D49" s="62"/>
      <c r="E49" s="62"/>
      <c r="F49" s="27"/>
      <c r="G49" s="28" t="str">
        <f t="shared" si="9"/>
        <v/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 x14ac:dyDescent="0.25">
      <c r="A50" s="70">
        <v>46205</v>
      </c>
      <c r="B50" s="32">
        <f t="shared" si="11"/>
        <v>1.1666666666666665</v>
      </c>
      <c r="C50" s="33"/>
      <c r="D50" s="62"/>
      <c r="E50" s="62"/>
      <c r="F50" s="27"/>
      <c r="G50" s="34" t="str">
        <f t="shared" si="9"/>
        <v/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 x14ac:dyDescent="0.25">
      <c r="A51" s="69">
        <v>46205</v>
      </c>
      <c r="B51" s="25">
        <f t="shared" si="11"/>
        <v>1.2083333333333333</v>
      </c>
      <c r="C51" s="33"/>
      <c r="D51" s="62"/>
      <c r="E51" s="62"/>
      <c r="F51" s="27"/>
      <c r="G51" s="28" t="str">
        <f t="shared" si="9"/>
        <v/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 x14ac:dyDescent="0.25">
      <c r="A52" s="70">
        <v>46205</v>
      </c>
      <c r="B52" s="32">
        <f t="shared" si="11"/>
        <v>1.25</v>
      </c>
      <c r="C52" s="33"/>
      <c r="D52" s="62"/>
      <c r="E52" s="62"/>
      <c r="F52" s="27"/>
      <c r="G52" s="34" t="str">
        <f t="shared" si="9"/>
        <v/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 x14ac:dyDescent="0.25">
      <c r="A53" s="69">
        <v>46205</v>
      </c>
      <c r="B53" s="25">
        <f t="shared" si="11"/>
        <v>1.2916666666666667</v>
      </c>
      <c r="C53" s="33"/>
      <c r="D53" s="62"/>
      <c r="E53" s="62"/>
      <c r="F53" s="27"/>
      <c r="G53" s="28" t="str">
        <f t="shared" si="9"/>
        <v/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 x14ac:dyDescent="0.25">
      <c r="A54" s="79" t="s">
        <v>192</v>
      </c>
      <c r="B54" s="80"/>
      <c r="C54" s="80"/>
      <c r="D54" s="80"/>
      <c r="E54" s="81">
        <f>SUM(E42:E53)</f>
        <v>0</v>
      </c>
      <c r="F54" s="36">
        <f>SUM(F42:F53)</f>
        <v>0</v>
      </c>
      <c r="G54" s="36">
        <f>SUM(G42:G53)</f>
        <v>0</v>
      </c>
      <c r="H54" s="37"/>
      <c r="I54" s="37"/>
      <c r="J54" s="37"/>
      <c r="K54" s="37"/>
      <c r="L54" s="37"/>
      <c r="M54" s="38">
        <f ca="1">IFERROR(SUM(M42:M53),"")</f>
        <v>0</v>
      </c>
      <c r="N54" s="36" t="s">
        <v>191</v>
      </c>
      <c r="O54" s="39"/>
    </row>
    <row r="55" spans="1:15" ht="18" customHeight="1" x14ac:dyDescent="0.25">
      <c r="A55" s="82" t="s">
        <v>193</v>
      </c>
      <c r="B55" s="83"/>
      <c r="C55" s="83"/>
      <c r="D55" s="83"/>
      <c r="E55" s="84">
        <f>E41+E54</f>
        <v>0</v>
      </c>
      <c r="F55" s="40">
        <f>F41+F54</f>
        <v>0</v>
      </c>
      <c r="G55" s="40">
        <f>G41+G54</f>
        <v>0</v>
      </c>
      <c r="H55" s="41"/>
      <c r="I55" s="41"/>
      <c r="J55" s="41"/>
      <c r="K55" s="41"/>
      <c r="L55" s="41"/>
      <c r="M55" s="42">
        <f ca="1">IFERROR(M41+M54,"")</f>
        <v>0</v>
      </c>
      <c r="N55" s="40" t="s">
        <v>194</v>
      </c>
      <c r="O55" s="43">
        <f>IFERROR(O41+O54,"")</f>
        <v>0</v>
      </c>
    </row>
    <row r="56" spans="1:15" ht="15" customHeight="1" x14ac:dyDescent="0.25">
      <c r="A56" s="69">
        <v>46206</v>
      </c>
      <c r="B56" s="25">
        <v>0.33333333333333298</v>
      </c>
      <c r="C56" s="26"/>
      <c r="D56" s="59"/>
      <c r="E56" s="59"/>
      <c r="F56" s="27"/>
      <c r="G56" s="28" t="str">
        <f t="shared" ref="G56:G67" si="12">IF(F56="","",IF(E56="PC 17",F56*4.2,IF(E56="PC 19",F56*5,"")))</f>
        <v/>
      </c>
      <c r="H56" s="26"/>
      <c r="I56" s="26"/>
      <c r="J56" s="26"/>
      <c r="K56" s="29"/>
      <c r="L56" s="29"/>
      <c r="M56" s="30" t="str">
        <f t="shared" ref="M56:M67" ca="1" si="13">IFERROR(IF(K56="","",IF(L56="",MOD(NOW()-K56,1),IF(L56&gt;=K56,L56-K56,L56+1-K56))),"")</f>
        <v/>
      </c>
      <c r="N56" s="27"/>
      <c r="O56" s="31"/>
    </row>
    <row r="57" spans="1:15" ht="15" customHeight="1" x14ac:dyDescent="0.25">
      <c r="A57" s="70">
        <v>46206</v>
      </c>
      <c r="B57" s="32">
        <f t="shared" ref="B57:B67" si="14">B56+TIME(0,60,0)</f>
        <v>0.37499999999999967</v>
      </c>
      <c r="C57" s="26"/>
      <c r="D57" s="59"/>
      <c r="E57" s="59"/>
      <c r="F57" s="27"/>
      <c r="G57" s="34" t="str">
        <f t="shared" si="12"/>
        <v/>
      </c>
      <c r="H57" s="33"/>
      <c r="I57" s="33"/>
      <c r="J57" s="33"/>
      <c r="K57" s="29"/>
      <c r="L57" s="29"/>
      <c r="M57" s="35" t="str">
        <f t="shared" ca="1" si="13"/>
        <v/>
      </c>
      <c r="N57" s="27"/>
      <c r="O57" s="31"/>
    </row>
    <row r="58" spans="1:15" ht="15" customHeight="1" x14ac:dyDescent="0.25">
      <c r="A58" s="69">
        <v>46206</v>
      </c>
      <c r="B58" s="25">
        <f t="shared" si="14"/>
        <v>0.41666666666666635</v>
      </c>
      <c r="C58" s="26"/>
      <c r="D58" s="59"/>
      <c r="E58" s="59"/>
      <c r="F58" s="27"/>
      <c r="G58" s="28" t="str">
        <f t="shared" si="12"/>
        <v/>
      </c>
      <c r="H58" s="26"/>
      <c r="I58" s="26"/>
      <c r="J58" s="26"/>
      <c r="K58" s="29"/>
      <c r="L58" s="29"/>
      <c r="M58" s="30" t="str">
        <f t="shared" ca="1" si="13"/>
        <v/>
      </c>
      <c r="N58" s="27"/>
      <c r="O58" s="31"/>
    </row>
    <row r="59" spans="1:15" ht="15" customHeight="1" x14ac:dyDescent="0.25">
      <c r="A59" s="70">
        <v>46206</v>
      </c>
      <c r="B59" s="32">
        <f t="shared" si="14"/>
        <v>0.45833333333333304</v>
      </c>
      <c r="C59" s="26"/>
      <c r="D59" s="59"/>
      <c r="E59" s="59"/>
      <c r="F59" s="27"/>
      <c r="G59" s="34" t="str">
        <f t="shared" si="12"/>
        <v/>
      </c>
      <c r="H59" s="33"/>
      <c r="I59" s="33"/>
      <c r="J59" s="33"/>
      <c r="K59" s="29"/>
      <c r="L59" s="29"/>
      <c r="M59" s="35" t="str">
        <f t="shared" ca="1" si="13"/>
        <v/>
      </c>
      <c r="N59" s="27"/>
      <c r="O59" s="31"/>
    </row>
    <row r="60" spans="1:15" ht="15" customHeight="1" x14ac:dyDescent="0.25">
      <c r="A60" s="69">
        <v>46206</v>
      </c>
      <c r="B60" s="25">
        <f t="shared" si="14"/>
        <v>0.49999999999999972</v>
      </c>
      <c r="C60" s="26"/>
      <c r="D60" s="59"/>
      <c r="E60" s="59"/>
      <c r="F60" s="27"/>
      <c r="G60" s="28" t="str">
        <f t="shared" si="12"/>
        <v/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 x14ac:dyDescent="0.25">
      <c r="A61" s="70">
        <v>46206</v>
      </c>
      <c r="B61" s="32">
        <f t="shared" si="14"/>
        <v>0.54166666666666641</v>
      </c>
      <c r="C61" s="26"/>
      <c r="D61" s="59"/>
      <c r="E61" s="59"/>
      <c r="F61" s="27"/>
      <c r="G61" s="34" t="str">
        <f t="shared" si="12"/>
        <v/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 x14ac:dyDescent="0.25">
      <c r="A62" s="69">
        <v>46206</v>
      </c>
      <c r="B62" s="25">
        <f t="shared" si="14"/>
        <v>0.58333333333333304</v>
      </c>
      <c r="C62" s="26"/>
      <c r="D62" s="59"/>
      <c r="E62" s="59"/>
      <c r="F62" s="27"/>
      <c r="G62" s="28" t="str">
        <f t="shared" si="12"/>
        <v/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 x14ac:dyDescent="0.25">
      <c r="A63" s="70">
        <v>46206</v>
      </c>
      <c r="B63" s="32">
        <f t="shared" si="14"/>
        <v>0.62499999999999967</v>
      </c>
      <c r="C63" s="26"/>
      <c r="D63" s="59"/>
      <c r="E63" s="59"/>
      <c r="F63" s="27"/>
      <c r="G63" s="34" t="str">
        <f t="shared" si="12"/>
        <v/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 x14ac:dyDescent="0.25">
      <c r="A64" s="69">
        <v>46206</v>
      </c>
      <c r="B64" s="25">
        <f t="shared" si="14"/>
        <v>0.6666666666666663</v>
      </c>
      <c r="C64" s="26"/>
      <c r="D64" s="59"/>
      <c r="E64" s="59"/>
      <c r="F64" s="27"/>
      <c r="G64" s="28" t="str">
        <f t="shared" si="12"/>
        <v/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 x14ac:dyDescent="0.25">
      <c r="A65" s="70">
        <v>46206</v>
      </c>
      <c r="B65" s="32">
        <f t="shared" si="14"/>
        <v>0.70833333333333293</v>
      </c>
      <c r="C65" s="26"/>
      <c r="D65" s="59"/>
      <c r="E65" s="59"/>
      <c r="F65" s="27"/>
      <c r="G65" s="34" t="str">
        <f t="shared" si="12"/>
        <v/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 x14ac:dyDescent="0.25">
      <c r="A66" s="69">
        <v>46206</v>
      </c>
      <c r="B66" s="25">
        <f t="shared" si="14"/>
        <v>0.74999999999999956</v>
      </c>
      <c r="C66" s="26"/>
      <c r="D66" s="59"/>
      <c r="E66" s="59"/>
      <c r="F66" s="27"/>
      <c r="G66" s="28" t="str">
        <f t="shared" si="12"/>
        <v/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 x14ac:dyDescent="0.25">
      <c r="A67" s="70">
        <v>46206</v>
      </c>
      <c r="B67" s="32">
        <f t="shared" si="14"/>
        <v>0.79166666666666619</v>
      </c>
      <c r="C67" s="26"/>
      <c r="D67" s="59"/>
      <c r="E67" s="59"/>
      <c r="F67" s="27"/>
      <c r="G67" s="34" t="str">
        <f t="shared" si="12"/>
        <v/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 x14ac:dyDescent="0.25">
      <c r="A68" s="79" t="s">
        <v>190</v>
      </c>
      <c r="B68" s="80"/>
      <c r="C68" s="80"/>
      <c r="D68" s="80"/>
      <c r="E68" s="81">
        <f>SUM(E56:E67)</f>
        <v>0</v>
      </c>
      <c r="F68" s="36">
        <f>SUM(F56:F67)</f>
        <v>0</v>
      </c>
      <c r="G68" s="36">
        <f>SUM(G56:G67)</f>
        <v>0</v>
      </c>
      <c r="H68" s="37"/>
      <c r="I68" s="37"/>
      <c r="J68" s="37"/>
      <c r="K68" s="37"/>
      <c r="L68" s="37"/>
      <c r="M68" s="38">
        <f ca="1">IFERROR(SUM(M56:M67),"")</f>
        <v>0</v>
      </c>
      <c r="N68" s="36" t="s">
        <v>191</v>
      </c>
      <c r="O68" s="39"/>
    </row>
    <row r="69" spans="1:15" ht="15" customHeight="1" x14ac:dyDescent="0.25">
      <c r="A69" s="70">
        <v>46206</v>
      </c>
      <c r="B69" s="32">
        <v>0.83333333333333304</v>
      </c>
      <c r="C69" s="33"/>
      <c r="D69" s="62"/>
      <c r="E69" s="62"/>
      <c r="F69" s="27"/>
      <c r="G69" s="34" t="str">
        <f t="shared" ref="G69:G80" si="15">IF(F69="","",IF(E69="PC 17",F69*4.2,IF(E69="PC 19",F69*5,"")))</f>
        <v/>
      </c>
      <c r="H69" s="33"/>
      <c r="I69" s="33"/>
      <c r="J69" s="33"/>
      <c r="K69" s="29"/>
      <c r="L69" s="29"/>
      <c r="M69" s="35" t="str">
        <f t="shared" ref="M69:M80" ca="1" si="16">IFERROR(IF(K69="","",IF(L69="",MOD(NOW()-K69,1),IF(L69&gt;=K69,L69-K69,L69+1-K69))),"")</f>
        <v/>
      </c>
      <c r="N69" s="27"/>
      <c r="O69" s="31"/>
    </row>
    <row r="70" spans="1:15" ht="15" customHeight="1" x14ac:dyDescent="0.25">
      <c r="A70" s="69">
        <v>46206</v>
      </c>
      <c r="B70" s="25">
        <f t="shared" ref="B70:B80" si="17">B69+TIME(0,60,0)</f>
        <v>0.87499999999999967</v>
      </c>
      <c r="C70" s="33"/>
      <c r="D70" s="62"/>
      <c r="E70" s="62"/>
      <c r="F70" s="27"/>
      <c r="G70" s="28" t="str">
        <f t="shared" si="15"/>
        <v/>
      </c>
      <c r="H70" s="26"/>
      <c r="I70" s="26"/>
      <c r="J70" s="26"/>
      <c r="K70" s="29"/>
      <c r="L70" s="29"/>
      <c r="M70" s="30" t="str">
        <f t="shared" ca="1" si="16"/>
        <v/>
      </c>
      <c r="N70" s="27"/>
      <c r="O70" s="31"/>
    </row>
    <row r="71" spans="1:15" ht="15" customHeight="1" x14ac:dyDescent="0.25">
      <c r="A71" s="70">
        <v>46206</v>
      </c>
      <c r="B71" s="32">
        <f t="shared" si="17"/>
        <v>0.9166666666666663</v>
      </c>
      <c r="C71" s="33"/>
      <c r="D71" s="62"/>
      <c r="E71" s="62"/>
      <c r="F71" s="27"/>
      <c r="G71" s="34" t="str">
        <f t="shared" si="15"/>
        <v/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 x14ac:dyDescent="0.25">
      <c r="A72" s="69">
        <v>46206</v>
      </c>
      <c r="B72" s="25">
        <f t="shared" si="17"/>
        <v>0.95833333333333293</v>
      </c>
      <c r="C72" s="33"/>
      <c r="D72" s="62"/>
      <c r="E72" s="62"/>
      <c r="F72" s="27"/>
      <c r="G72" s="28" t="str">
        <f t="shared" si="15"/>
        <v/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 x14ac:dyDescent="0.25">
      <c r="A73" s="70">
        <v>46206</v>
      </c>
      <c r="B73" s="32">
        <f t="shared" si="17"/>
        <v>0.99999999999999956</v>
      </c>
      <c r="C73" s="33"/>
      <c r="D73" s="62"/>
      <c r="E73" s="62"/>
      <c r="F73" s="27"/>
      <c r="G73" s="34" t="str">
        <f t="shared" si="15"/>
        <v/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 x14ac:dyDescent="0.25">
      <c r="A74" s="69">
        <v>46206</v>
      </c>
      <c r="B74" s="25">
        <f t="shared" si="17"/>
        <v>1.0416666666666663</v>
      </c>
      <c r="C74" s="33"/>
      <c r="D74" s="62"/>
      <c r="E74" s="62"/>
      <c r="F74" s="27"/>
      <c r="G74" s="28" t="str">
        <f t="shared" si="15"/>
        <v/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 x14ac:dyDescent="0.25">
      <c r="A75" s="70">
        <v>46206</v>
      </c>
      <c r="B75" s="32">
        <f t="shared" si="17"/>
        <v>1.083333333333333</v>
      </c>
      <c r="C75" s="33"/>
      <c r="D75" s="62"/>
      <c r="E75" s="62"/>
      <c r="F75" s="27"/>
      <c r="G75" s="34" t="str">
        <f t="shared" si="15"/>
        <v/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 x14ac:dyDescent="0.25">
      <c r="A76" s="69">
        <v>46206</v>
      </c>
      <c r="B76" s="25">
        <f t="shared" si="17"/>
        <v>1.1249999999999998</v>
      </c>
      <c r="C76" s="33"/>
      <c r="D76" s="62"/>
      <c r="E76" s="62"/>
      <c r="F76" s="27"/>
      <c r="G76" s="28" t="str">
        <f t="shared" si="15"/>
        <v/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 x14ac:dyDescent="0.25">
      <c r="A77" s="70">
        <v>46206</v>
      </c>
      <c r="B77" s="32">
        <f t="shared" si="17"/>
        <v>1.1666666666666665</v>
      </c>
      <c r="C77" s="33"/>
      <c r="D77" s="62"/>
      <c r="E77" s="62"/>
      <c r="F77" s="27"/>
      <c r="G77" s="34" t="str">
        <f t="shared" si="15"/>
        <v/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 x14ac:dyDescent="0.25">
      <c r="A78" s="69">
        <v>46206</v>
      </c>
      <c r="B78" s="25">
        <f t="shared" si="17"/>
        <v>1.2083333333333333</v>
      </c>
      <c r="C78" s="33"/>
      <c r="D78" s="62"/>
      <c r="E78" s="62"/>
      <c r="F78" s="27"/>
      <c r="G78" s="28" t="str">
        <f t="shared" si="15"/>
        <v/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 x14ac:dyDescent="0.25">
      <c r="A79" s="70">
        <v>46206</v>
      </c>
      <c r="B79" s="32">
        <f t="shared" si="17"/>
        <v>1.25</v>
      </c>
      <c r="C79" s="33"/>
      <c r="D79" s="62"/>
      <c r="E79" s="62"/>
      <c r="F79" s="27"/>
      <c r="G79" s="34" t="str">
        <f t="shared" si="15"/>
        <v/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 x14ac:dyDescent="0.25">
      <c r="A80" s="69">
        <v>46206</v>
      </c>
      <c r="B80" s="25">
        <f t="shared" si="17"/>
        <v>1.2916666666666667</v>
      </c>
      <c r="C80" s="33"/>
      <c r="D80" s="62"/>
      <c r="E80" s="62"/>
      <c r="F80" s="27"/>
      <c r="G80" s="28" t="str">
        <f t="shared" si="15"/>
        <v/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 x14ac:dyDescent="0.25">
      <c r="A81" s="79" t="s">
        <v>192</v>
      </c>
      <c r="B81" s="80"/>
      <c r="C81" s="80"/>
      <c r="D81" s="80"/>
      <c r="E81" s="81">
        <f>SUM(E69:E80)</f>
        <v>0</v>
      </c>
      <c r="F81" s="36">
        <f>SUM(F69:F80)</f>
        <v>0</v>
      </c>
      <c r="G81" s="36">
        <f>SUM(G69:G80)</f>
        <v>0</v>
      </c>
      <c r="H81" s="37"/>
      <c r="I81" s="37"/>
      <c r="J81" s="37"/>
      <c r="K81" s="37"/>
      <c r="L81" s="37"/>
      <c r="M81" s="38">
        <f ca="1">IFERROR(SUM(M69:M80),"")</f>
        <v>0</v>
      </c>
      <c r="N81" s="36" t="s">
        <v>191</v>
      </c>
      <c r="O81" s="39"/>
    </row>
    <row r="82" spans="1:15" ht="18" customHeight="1" x14ac:dyDescent="0.25">
      <c r="A82" s="82" t="s">
        <v>193</v>
      </c>
      <c r="B82" s="83"/>
      <c r="C82" s="83"/>
      <c r="D82" s="83"/>
      <c r="E82" s="84">
        <f>E68+E81</f>
        <v>0</v>
      </c>
      <c r="F82" s="40">
        <f>F68+F81</f>
        <v>0</v>
      </c>
      <c r="G82" s="40">
        <f>G68+G81</f>
        <v>0</v>
      </c>
      <c r="H82" s="41"/>
      <c r="I82" s="41"/>
      <c r="J82" s="41"/>
      <c r="K82" s="41"/>
      <c r="L82" s="41"/>
      <c r="M82" s="42">
        <f ca="1">IFERROR(M68+M81,"")</f>
        <v>0</v>
      </c>
      <c r="N82" s="40" t="s">
        <v>194</v>
      </c>
      <c r="O82" s="43">
        <f>IFERROR(O68+O81,"")</f>
        <v>0</v>
      </c>
    </row>
    <row r="83" spans="1:15" ht="15" customHeight="1" x14ac:dyDescent="0.25">
      <c r="A83" s="69">
        <v>46207</v>
      </c>
      <c r="B83" s="25">
        <v>0.33333333333333298</v>
      </c>
      <c r="C83" s="26"/>
      <c r="D83" s="59"/>
      <c r="E83" s="59"/>
      <c r="F83" s="27"/>
      <c r="G83" s="28" t="str">
        <f t="shared" ref="G83:G94" si="18">IF(F83="","",IF(E83="PC 17",F83*4.2,IF(E83="PC 19",F83*5,"")))</f>
        <v/>
      </c>
      <c r="H83" s="33"/>
      <c r="I83" s="33"/>
      <c r="J83" s="33"/>
      <c r="K83" s="29"/>
      <c r="L83" s="29"/>
      <c r="M83" s="35" t="str">
        <f t="shared" ref="M83:M94" ca="1" si="19">IFERROR(IF(K83="","",IF(L83="",MOD(NOW()-K83,1),IF(L83&gt;=K83,L83-K83,L83+1-K83))),"")</f>
        <v/>
      </c>
      <c r="N83" s="27"/>
      <c r="O83" s="31"/>
    </row>
    <row r="84" spans="1:15" ht="15" customHeight="1" x14ac:dyDescent="0.25">
      <c r="A84" s="70">
        <v>46207</v>
      </c>
      <c r="B84" s="32">
        <f t="shared" ref="B84:B94" si="20">B83+TIME(0,60,0)</f>
        <v>0.37499999999999967</v>
      </c>
      <c r="C84" s="26"/>
      <c r="D84" s="59"/>
      <c r="E84" s="59"/>
      <c r="F84" s="27"/>
      <c r="G84" s="34" t="str">
        <f t="shared" si="18"/>
        <v/>
      </c>
      <c r="H84" s="26"/>
      <c r="I84" s="26"/>
      <c r="J84" s="26"/>
      <c r="K84" s="29"/>
      <c r="L84" s="29"/>
      <c r="M84" s="30" t="str">
        <f t="shared" ca="1" si="19"/>
        <v/>
      </c>
      <c r="N84" s="27"/>
      <c r="O84" s="31"/>
    </row>
    <row r="85" spans="1:15" ht="15" customHeight="1" x14ac:dyDescent="0.25">
      <c r="A85" s="69">
        <v>46207</v>
      </c>
      <c r="B85" s="25">
        <f t="shared" si="20"/>
        <v>0.41666666666666635</v>
      </c>
      <c r="C85" s="26"/>
      <c r="D85" s="59"/>
      <c r="E85" s="59"/>
      <c r="F85" s="27"/>
      <c r="G85" s="28" t="str">
        <f t="shared" si="18"/>
        <v/>
      </c>
      <c r="H85" s="33"/>
      <c r="I85" s="33"/>
      <c r="J85" s="33"/>
      <c r="K85" s="29"/>
      <c r="L85" s="29"/>
      <c r="M85" s="35" t="str">
        <f t="shared" ca="1" si="19"/>
        <v/>
      </c>
      <c r="N85" s="27"/>
      <c r="O85" s="31"/>
    </row>
    <row r="86" spans="1:15" ht="15" customHeight="1" x14ac:dyDescent="0.25">
      <c r="A86" s="70">
        <v>46207</v>
      </c>
      <c r="B86" s="32">
        <f t="shared" si="20"/>
        <v>0.45833333333333304</v>
      </c>
      <c r="C86" s="26"/>
      <c r="D86" s="59"/>
      <c r="E86" s="59"/>
      <c r="F86" s="27"/>
      <c r="G86" s="34" t="str">
        <f t="shared" si="18"/>
        <v/>
      </c>
      <c r="H86" s="26"/>
      <c r="I86" s="26"/>
      <c r="J86" s="26"/>
      <c r="K86" s="29"/>
      <c r="L86" s="29"/>
      <c r="M86" s="30" t="str">
        <f t="shared" ca="1" si="19"/>
        <v/>
      </c>
      <c r="N86" s="27"/>
      <c r="O86" s="31"/>
    </row>
    <row r="87" spans="1:15" ht="15" customHeight="1" x14ac:dyDescent="0.25">
      <c r="A87" s="69">
        <v>46207</v>
      </c>
      <c r="B87" s="25">
        <f t="shared" si="20"/>
        <v>0.49999999999999972</v>
      </c>
      <c r="C87" s="26"/>
      <c r="D87" s="59"/>
      <c r="E87" s="59"/>
      <c r="F87" s="27"/>
      <c r="G87" s="28" t="str">
        <f t="shared" si="18"/>
        <v/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 x14ac:dyDescent="0.25">
      <c r="A88" s="70">
        <v>46207</v>
      </c>
      <c r="B88" s="32">
        <f t="shared" si="20"/>
        <v>0.54166666666666641</v>
      </c>
      <c r="C88" s="26"/>
      <c r="D88" s="59"/>
      <c r="E88" s="59"/>
      <c r="F88" s="27"/>
      <c r="G88" s="34" t="str">
        <f t="shared" si="18"/>
        <v/>
      </c>
      <c r="H88" s="26"/>
      <c r="I88" s="26"/>
      <c r="J88" s="26"/>
      <c r="K88" s="29"/>
      <c r="L88" s="29"/>
      <c r="M88" s="30" t="str">
        <f t="shared" ca="1" si="19"/>
        <v/>
      </c>
      <c r="N88" s="27"/>
      <c r="O88" s="31"/>
    </row>
    <row r="89" spans="1:15" ht="15" customHeight="1" x14ac:dyDescent="0.25">
      <c r="A89" s="69">
        <v>46207</v>
      </c>
      <c r="B89" s="25">
        <f t="shared" si="20"/>
        <v>0.58333333333333304</v>
      </c>
      <c r="C89" s="26"/>
      <c r="D89" s="59"/>
      <c r="E89" s="59"/>
      <c r="F89" s="27"/>
      <c r="G89" s="28" t="str">
        <f t="shared" si="18"/>
        <v/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 x14ac:dyDescent="0.25">
      <c r="A90" s="70">
        <v>46207</v>
      </c>
      <c r="B90" s="32">
        <f t="shared" si="20"/>
        <v>0.62499999999999967</v>
      </c>
      <c r="C90" s="26"/>
      <c r="D90" s="59"/>
      <c r="E90" s="59"/>
      <c r="F90" s="27"/>
      <c r="G90" s="34" t="str">
        <f t="shared" si="18"/>
        <v/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 x14ac:dyDescent="0.25">
      <c r="A91" s="69">
        <v>46207</v>
      </c>
      <c r="B91" s="25">
        <f t="shared" si="20"/>
        <v>0.6666666666666663</v>
      </c>
      <c r="C91" s="26"/>
      <c r="D91" s="59"/>
      <c r="E91" s="59"/>
      <c r="F91" s="27"/>
      <c r="G91" s="28" t="str">
        <f t="shared" si="18"/>
        <v/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 x14ac:dyDescent="0.25">
      <c r="A92" s="70">
        <v>46207</v>
      </c>
      <c r="B92" s="32">
        <f t="shared" si="20"/>
        <v>0.70833333333333293</v>
      </c>
      <c r="C92" s="26"/>
      <c r="D92" s="59"/>
      <c r="E92" s="59"/>
      <c r="F92" s="27"/>
      <c r="G92" s="34" t="str">
        <f t="shared" si="18"/>
        <v/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 x14ac:dyDescent="0.25">
      <c r="A93" s="69">
        <v>46207</v>
      </c>
      <c r="B93" s="25">
        <f t="shared" si="20"/>
        <v>0.74999999999999956</v>
      </c>
      <c r="C93" s="26"/>
      <c r="D93" s="59"/>
      <c r="E93" s="59"/>
      <c r="F93" s="27"/>
      <c r="G93" s="28" t="str">
        <f t="shared" si="18"/>
        <v/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 x14ac:dyDescent="0.25">
      <c r="A94" s="70">
        <v>46207</v>
      </c>
      <c r="B94" s="32">
        <f t="shared" si="20"/>
        <v>0.79166666666666619</v>
      </c>
      <c r="C94" s="26"/>
      <c r="D94" s="59"/>
      <c r="E94" s="59"/>
      <c r="F94" s="27"/>
      <c r="G94" s="34" t="str">
        <f t="shared" si="18"/>
        <v/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 x14ac:dyDescent="0.25">
      <c r="A95" s="79" t="s">
        <v>190</v>
      </c>
      <c r="B95" s="80"/>
      <c r="C95" s="80"/>
      <c r="D95" s="80"/>
      <c r="E95" s="81">
        <f>SUM(E83:E94)</f>
        <v>0</v>
      </c>
      <c r="F95" s="36">
        <f>SUM(F83:F94)</f>
        <v>0</v>
      </c>
      <c r="G95" s="36">
        <f>SUM(G83:G94)</f>
        <v>0</v>
      </c>
      <c r="H95" s="37"/>
      <c r="I95" s="37"/>
      <c r="J95" s="37"/>
      <c r="K95" s="37"/>
      <c r="L95" s="37"/>
      <c r="M95" s="38">
        <f ca="1">IFERROR(SUM(M83:M94),"")</f>
        <v>0</v>
      </c>
      <c r="N95" s="36" t="s">
        <v>191</v>
      </c>
      <c r="O95" s="39"/>
    </row>
    <row r="96" spans="1:15" ht="15" customHeight="1" x14ac:dyDescent="0.25">
      <c r="A96" s="70">
        <v>46207</v>
      </c>
      <c r="B96" s="32">
        <v>0.83333333333333304</v>
      </c>
      <c r="C96" s="33"/>
      <c r="D96" s="62"/>
      <c r="E96" s="62"/>
      <c r="F96" s="27"/>
      <c r="G96" s="34" t="str">
        <f t="shared" ref="G96:G107" si="21">IF(F96="","",IF(E96="PC 17",F96*4.2,IF(E96="PC 19",F96*5,"")))</f>
        <v/>
      </c>
      <c r="H96" s="26"/>
      <c r="I96" s="26"/>
      <c r="J96" s="26"/>
      <c r="K96" s="29"/>
      <c r="L96" s="29"/>
      <c r="M96" s="30" t="str">
        <f t="shared" ref="M96:M107" ca="1" si="22">IFERROR(IF(K96="","",IF(L96="",MOD(NOW()-K96,1),IF(L96&gt;=K96,L96-K96,L96+1-K96))),"")</f>
        <v/>
      </c>
      <c r="N96" s="27"/>
      <c r="O96" s="31"/>
    </row>
    <row r="97" spans="1:15" ht="15" customHeight="1" x14ac:dyDescent="0.25">
      <c r="A97" s="69">
        <v>46207</v>
      </c>
      <c r="B97" s="25">
        <f t="shared" ref="B97:B107" si="23">B96+TIME(0,60,0)</f>
        <v>0.87499999999999967</v>
      </c>
      <c r="C97" s="33"/>
      <c r="D97" s="62"/>
      <c r="E97" s="62"/>
      <c r="F97" s="27"/>
      <c r="G97" s="28" t="str">
        <f t="shared" si="21"/>
        <v/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 x14ac:dyDescent="0.25">
      <c r="A98" s="70">
        <v>46207</v>
      </c>
      <c r="B98" s="32">
        <f t="shared" si="23"/>
        <v>0.9166666666666663</v>
      </c>
      <c r="C98" s="33"/>
      <c r="D98" s="62"/>
      <c r="E98" s="62"/>
      <c r="F98" s="27"/>
      <c r="G98" s="34" t="str">
        <f t="shared" si="21"/>
        <v/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 x14ac:dyDescent="0.25">
      <c r="A99" s="69">
        <v>46207</v>
      </c>
      <c r="B99" s="25">
        <f t="shared" si="23"/>
        <v>0.95833333333333293</v>
      </c>
      <c r="C99" s="33"/>
      <c r="D99" s="62"/>
      <c r="E99" s="62"/>
      <c r="F99" s="27"/>
      <c r="G99" s="28" t="str">
        <f t="shared" si="21"/>
        <v/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 x14ac:dyDescent="0.25">
      <c r="A100" s="70">
        <v>46207</v>
      </c>
      <c r="B100" s="32">
        <f t="shared" si="23"/>
        <v>0.99999999999999956</v>
      </c>
      <c r="C100" s="33"/>
      <c r="D100" s="62"/>
      <c r="E100" s="62"/>
      <c r="F100" s="27"/>
      <c r="G100" s="34" t="str">
        <f t="shared" si="21"/>
        <v/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 x14ac:dyDescent="0.25">
      <c r="A101" s="69">
        <v>46207</v>
      </c>
      <c r="B101" s="25">
        <f t="shared" si="23"/>
        <v>1.0416666666666663</v>
      </c>
      <c r="C101" s="33"/>
      <c r="D101" s="62"/>
      <c r="E101" s="62"/>
      <c r="F101" s="27"/>
      <c r="G101" s="28" t="str">
        <f t="shared" si="21"/>
        <v/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 x14ac:dyDescent="0.25">
      <c r="A102" s="70">
        <v>46207</v>
      </c>
      <c r="B102" s="32">
        <f t="shared" si="23"/>
        <v>1.083333333333333</v>
      </c>
      <c r="C102" s="33"/>
      <c r="D102" s="62"/>
      <c r="E102" s="62"/>
      <c r="F102" s="27"/>
      <c r="G102" s="34" t="str">
        <f t="shared" si="21"/>
        <v/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 x14ac:dyDescent="0.25">
      <c r="A103" s="69">
        <v>46207</v>
      </c>
      <c r="B103" s="25">
        <f t="shared" si="23"/>
        <v>1.1249999999999998</v>
      </c>
      <c r="C103" s="33"/>
      <c r="D103" s="62"/>
      <c r="E103" s="62"/>
      <c r="F103" s="27"/>
      <c r="G103" s="28" t="str">
        <f t="shared" si="21"/>
        <v/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 x14ac:dyDescent="0.25">
      <c r="A104" s="70">
        <v>46207</v>
      </c>
      <c r="B104" s="32">
        <f t="shared" si="23"/>
        <v>1.1666666666666665</v>
      </c>
      <c r="C104" s="33"/>
      <c r="D104" s="62"/>
      <c r="E104" s="62"/>
      <c r="F104" s="27"/>
      <c r="G104" s="34" t="str">
        <f t="shared" si="21"/>
        <v/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 x14ac:dyDescent="0.25">
      <c r="A105" s="69">
        <v>46207</v>
      </c>
      <c r="B105" s="25">
        <f t="shared" si="23"/>
        <v>1.2083333333333333</v>
      </c>
      <c r="C105" s="33"/>
      <c r="D105" s="62"/>
      <c r="E105" s="62"/>
      <c r="F105" s="27"/>
      <c r="G105" s="28" t="str">
        <f t="shared" si="21"/>
        <v/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 x14ac:dyDescent="0.25">
      <c r="A106" s="70">
        <v>46207</v>
      </c>
      <c r="B106" s="32">
        <f t="shared" si="23"/>
        <v>1.25</v>
      </c>
      <c r="C106" s="33"/>
      <c r="D106" s="62"/>
      <c r="E106" s="62"/>
      <c r="F106" s="27"/>
      <c r="G106" s="34" t="str">
        <f t="shared" si="21"/>
        <v/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 x14ac:dyDescent="0.25">
      <c r="A107" s="69">
        <v>46207</v>
      </c>
      <c r="B107" s="25">
        <f t="shared" si="23"/>
        <v>1.2916666666666667</v>
      </c>
      <c r="C107" s="33"/>
      <c r="D107" s="62"/>
      <c r="E107" s="62"/>
      <c r="F107" s="27"/>
      <c r="G107" s="28" t="str">
        <f t="shared" si="21"/>
        <v/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 x14ac:dyDescent="0.25">
      <c r="A108" s="79" t="s">
        <v>192</v>
      </c>
      <c r="B108" s="80"/>
      <c r="C108" s="80"/>
      <c r="D108" s="80"/>
      <c r="E108" s="81">
        <f>SUM(E96:E107)</f>
        <v>0</v>
      </c>
      <c r="F108" s="36">
        <f>SUM(F96:F107)</f>
        <v>0</v>
      </c>
      <c r="G108" s="36">
        <f>SUM(G96:G107)</f>
        <v>0</v>
      </c>
      <c r="H108" s="37"/>
      <c r="I108" s="37"/>
      <c r="J108" s="37"/>
      <c r="K108" s="37"/>
      <c r="L108" s="37"/>
      <c r="M108" s="38">
        <f ca="1">IFERROR(SUM(M96:M107),"")</f>
        <v>0</v>
      </c>
      <c r="N108" s="36" t="s">
        <v>191</v>
      </c>
      <c r="O108" s="39"/>
    </row>
    <row r="109" spans="1:15" ht="18" customHeight="1" x14ac:dyDescent="0.25">
      <c r="A109" s="82" t="s">
        <v>193</v>
      </c>
      <c r="B109" s="83"/>
      <c r="C109" s="83"/>
      <c r="D109" s="83"/>
      <c r="E109" s="84">
        <f>E95+E108</f>
        <v>0</v>
      </c>
      <c r="F109" s="40">
        <f>F95+F108</f>
        <v>0</v>
      </c>
      <c r="G109" s="40">
        <f>G95+G108</f>
        <v>0</v>
      </c>
      <c r="H109" s="41"/>
      <c r="I109" s="41"/>
      <c r="J109" s="41"/>
      <c r="K109" s="41"/>
      <c r="L109" s="41"/>
      <c r="M109" s="42">
        <f ca="1">IFERROR(M95+M108,"")</f>
        <v>0</v>
      </c>
      <c r="N109" s="40" t="s">
        <v>194</v>
      </c>
      <c r="O109" s="43">
        <f>IFERROR(O95+O108,"")</f>
        <v>0</v>
      </c>
    </row>
    <row r="110" spans="1:15" ht="15" customHeight="1" x14ac:dyDescent="0.25">
      <c r="A110" s="69">
        <v>46208</v>
      </c>
      <c r="B110" s="25">
        <v>0.33333333333333298</v>
      </c>
      <c r="C110" s="26"/>
      <c r="D110" s="59"/>
      <c r="E110" s="59"/>
      <c r="F110" s="27"/>
      <c r="G110" s="28" t="str">
        <f t="shared" ref="G110:G121" si="24">IF(F110="","",IF(E110="PC 17",F110*4.2,IF(E110="PC 19",F110*5,"")))</f>
        <v/>
      </c>
      <c r="H110" s="26"/>
      <c r="I110" s="26"/>
      <c r="J110" s="26"/>
      <c r="K110" s="29"/>
      <c r="L110" s="29"/>
      <c r="M110" s="30" t="str">
        <f t="shared" ref="M110:M121" ca="1" si="25">IFERROR(IF(K110="","",IF(L110="",MOD(NOW()-K110,1),IF(L110&gt;=K110,L110-K110,L110+1-K110))),"")</f>
        <v/>
      </c>
      <c r="N110" s="27"/>
      <c r="O110" s="31"/>
    </row>
    <row r="111" spans="1:15" ht="15" customHeight="1" x14ac:dyDescent="0.25">
      <c r="A111" s="70">
        <v>46208</v>
      </c>
      <c r="B111" s="32">
        <f t="shared" ref="B111:B121" si="26">B110+TIME(0,60,0)</f>
        <v>0.37499999999999967</v>
      </c>
      <c r="C111" s="26"/>
      <c r="D111" s="59"/>
      <c r="E111" s="59"/>
      <c r="F111" s="27"/>
      <c r="G111" s="34" t="str">
        <f t="shared" si="24"/>
        <v/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 x14ac:dyDescent="0.25">
      <c r="A112" s="69">
        <v>46208</v>
      </c>
      <c r="B112" s="25">
        <f t="shared" si="26"/>
        <v>0.41666666666666635</v>
      </c>
      <c r="C112" s="26"/>
      <c r="D112" s="59"/>
      <c r="E112" s="59"/>
      <c r="F112" s="27"/>
      <c r="G112" s="28" t="str">
        <f t="shared" si="24"/>
        <v/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 x14ac:dyDescent="0.25">
      <c r="A113" s="70">
        <v>46208</v>
      </c>
      <c r="B113" s="32">
        <f t="shared" si="26"/>
        <v>0.45833333333333304</v>
      </c>
      <c r="C113" s="26"/>
      <c r="D113" s="59"/>
      <c r="E113" s="59"/>
      <c r="F113" s="27"/>
      <c r="G113" s="34" t="str">
        <f t="shared" si="24"/>
        <v/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 x14ac:dyDescent="0.25">
      <c r="A114" s="69">
        <v>46208</v>
      </c>
      <c r="B114" s="25">
        <f t="shared" si="26"/>
        <v>0.49999999999999972</v>
      </c>
      <c r="C114" s="26"/>
      <c r="D114" s="59"/>
      <c r="E114" s="59"/>
      <c r="F114" s="27"/>
      <c r="G114" s="28" t="str">
        <f t="shared" si="24"/>
        <v/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 x14ac:dyDescent="0.25">
      <c r="A115" s="70">
        <v>46208</v>
      </c>
      <c r="B115" s="32">
        <f t="shared" si="26"/>
        <v>0.54166666666666641</v>
      </c>
      <c r="C115" s="26"/>
      <c r="D115" s="59"/>
      <c r="E115" s="59"/>
      <c r="F115" s="27"/>
      <c r="G115" s="34" t="str">
        <f t="shared" si="24"/>
        <v/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 x14ac:dyDescent="0.25">
      <c r="A116" s="69">
        <v>46208</v>
      </c>
      <c r="B116" s="25">
        <f t="shared" si="26"/>
        <v>0.58333333333333304</v>
      </c>
      <c r="C116" s="26"/>
      <c r="D116" s="59"/>
      <c r="E116" s="59"/>
      <c r="F116" s="27"/>
      <c r="G116" s="28" t="str">
        <f t="shared" si="24"/>
        <v/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 x14ac:dyDescent="0.25">
      <c r="A117" s="70">
        <v>46208</v>
      </c>
      <c r="B117" s="32">
        <f t="shared" si="26"/>
        <v>0.62499999999999967</v>
      </c>
      <c r="C117" s="26"/>
      <c r="D117" s="59"/>
      <c r="E117" s="59"/>
      <c r="F117" s="27"/>
      <c r="G117" s="34" t="str">
        <f t="shared" si="24"/>
        <v/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 x14ac:dyDescent="0.25">
      <c r="A118" s="69">
        <v>46208</v>
      </c>
      <c r="B118" s="25">
        <f t="shared" si="26"/>
        <v>0.6666666666666663</v>
      </c>
      <c r="C118" s="26"/>
      <c r="D118" s="59"/>
      <c r="E118" s="59"/>
      <c r="F118" s="27"/>
      <c r="G118" s="28" t="str">
        <f t="shared" si="24"/>
        <v/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 x14ac:dyDescent="0.25">
      <c r="A119" s="70">
        <v>46208</v>
      </c>
      <c r="B119" s="32">
        <f t="shared" si="26"/>
        <v>0.70833333333333293</v>
      </c>
      <c r="C119" s="26"/>
      <c r="D119" s="59"/>
      <c r="E119" s="59"/>
      <c r="F119" s="27"/>
      <c r="G119" s="34" t="str">
        <f t="shared" si="24"/>
        <v/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 x14ac:dyDescent="0.25">
      <c r="A120" s="69">
        <v>46208</v>
      </c>
      <c r="B120" s="25">
        <f t="shared" si="26"/>
        <v>0.74999999999999956</v>
      </c>
      <c r="C120" s="26"/>
      <c r="D120" s="59"/>
      <c r="E120" s="59"/>
      <c r="F120" s="27"/>
      <c r="G120" s="28" t="str">
        <f t="shared" si="24"/>
        <v/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 x14ac:dyDescent="0.25">
      <c r="A121" s="70">
        <v>46208</v>
      </c>
      <c r="B121" s="32">
        <f t="shared" si="26"/>
        <v>0.79166666666666619</v>
      </c>
      <c r="C121" s="26"/>
      <c r="D121" s="59"/>
      <c r="E121" s="59"/>
      <c r="F121" s="27"/>
      <c r="G121" s="34" t="str">
        <f t="shared" si="24"/>
        <v/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 x14ac:dyDescent="0.25">
      <c r="A122" s="79" t="s">
        <v>190</v>
      </c>
      <c r="B122" s="80"/>
      <c r="C122" s="80"/>
      <c r="D122" s="80"/>
      <c r="E122" s="81">
        <f>SUM(E110:E121)</f>
        <v>0</v>
      </c>
      <c r="F122" s="36">
        <f>SUM(F110:F121)</f>
        <v>0</v>
      </c>
      <c r="G122" s="36">
        <f>SUM(G110:G121)</f>
        <v>0</v>
      </c>
      <c r="H122" s="37"/>
      <c r="I122" s="37"/>
      <c r="J122" s="37"/>
      <c r="K122" s="37"/>
      <c r="L122" s="37"/>
      <c r="M122" s="38">
        <f ca="1">IFERROR(SUM(M110:M121),"")</f>
        <v>0</v>
      </c>
      <c r="N122" s="36" t="s">
        <v>191</v>
      </c>
      <c r="O122" s="39"/>
    </row>
    <row r="123" spans="1:15" ht="15" customHeight="1" x14ac:dyDescent="0.25">
      <c r="A123" s="70">
        <v>46208</v>
      </c>
      <c r="B123" s="32">
        <v>0.83333333333333304</v>
      </c>
      <c r="C123" s="33"/>
      <c r="D123" s="62"/>
      <c r="E123" s="62"/>
      <c r="F123" s="27"/>
      <c r="G123" s="34" t="str">
        <f t="shared" ref="G123:G134" si="27">IF(F123="","",IF(E123="PC 17",F123*4.2,IF(E123="PC 19",F123*5,"")))</f>
        <v/>
      </c>
      <c r="H123" s="33"/>
      <c r="I123" s="33"/>
      <c r="J123" s="33"/>
      <c r="K123" s="29"/>
      <c r="L123" s="29"/>
      <c r="M123" s="35" t="str">
        <f t="shared" ref="M123:M134" ca="1" si="28">IFERROR(IF(K123="","",IF(L123="",MOD(NOW()-K123,1),IF(L123&gt;=K123,L123-K123,L123+1-K123))),"")</f>
        <v/>
      </c>
      <c r="N123" s="27"/>
      <c r="O123" s="31"/>
    </row>
    <row r="124" spans="1:15" ht="15" customHeight="1" x14ac:dyDescent="0.25">
      <c r="A124" s="69">
        <v>46208</v>
      </c>
      <c r="B124" s="25">
        <f t="shared" ref="B124:B134" si="29">B123+TIME(0,60,0)</f>
        <v>0.87499999999999967</v>
      </c>
      <c r="C124" s="33"/>
      <c r="D124" s="62"/>
      <c r="E124" s="62"/>
      <c r="F124" s="27"/>
      <c r="G124" s="28" t="str">
        <f t="shared" si="27"/>
        <v/>
      </c>
      <c r="H124" s="26"/>
      <c r="I124" s="26"/>
      <c r="J124" s="26"/>
      <c r="K124" s="29"/>
      <c r="L124" s="29"/>
      <c r="M124" s="30" t="str">
        <f t="shared" ca="1" si="28"/>
        <v/>
      </c>
      <c r="N124" s="27"/>
      <c r="O124" s="31"/>
    </row>
    <row r="125" spans="1:15" ht="15" customHeight="1" x14ac:dyDescent="0.25">
      <c r="A125" s="70">
        <v>46208</v>
      </c>
      <c r="B125" s="32">
        <f t="shared" si="29"/>
        <v>0.9166666666666663</v>
      </c>
      <c r="C125" s="33"/>
      <c r="D125" s="62"/>
      <c r="E125" s="62"/>
      <c r="F125" s="27"/>
      <c r="G125" s="34" t="str">
        <f t="shared" si="27"/>
        <v/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 x14ac:dyDescent="0.25">
      <c r="A126" s="69">
        <v>46208</v>
      </c>
      <c r="B126" s="25">
        <f t="shared" si="29"/>
        <v>0.95833333333333293</v>
      </c>
      <c r="C126" s="33"/>
      <c r="D126" s="62"/>
      <c r="E126" s="62"/>
      <c r="F126" s="27"/>
      <c r="G126" s="28" t="str">
        <f t="shared" si="27"/>
        <v/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 x14ac:dyDescent="0.25">
      <c r="A127" s="70">
        <v>46208</v>
      </c>
      <c r="B127" s="32">
        <f t="shared" si="29"/>
        <v>0.99999999999999956</v>
      </c>
      <c r="C127" s="33"/>
      <c r="D127" s="62"/>
      <c r="E127" s="62"/>
      <c r="F127" s="27"/>
      <c r="G127" s="34" t="str">
        <f t="shared" si="27"/>
        <v/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 x14ac:dyDescent="0.25">
      <c r="A128" s="69">
        <v>46208</v>
      </c>
      <c r="B128" s="25">
        <f t="shared" si="29"/>
        <v>1.0416666666666663</v>
      </c>
      <c r="C128" s="33"/>
      <c r="D128" s="62"/>
      <c r="E128" s="62"/>
      <c r="F128" s="27"/>
      <c r="G128" s="28" t="str">
        <f t="shared" si="27"/>
        <v/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 x14ac:dyDescent="0.25">
      <c r="A129" s="70">
        <v>46208</v>
      </c>
      <c r="B129" s="32">
        <f t="shared" si="29"/>
        <v>1.083333333333333</v>
      </c>
      <c r="C129" s="33"/>
      <c r="D129" s="62"/>
      <c r="E129" s="62"/>
      <c r="F129" s="27"/>
      <c r="G129" s="34" t="str">
        <f t="shared" si="27"/>
        <v/>
      </c>
      <c r="H129" s="33"/>
      <c r="I129" s="33"/>
      <c r="J129" s="33"/>
      <c r="K129" s="29"/>
      <c r="L129" s="29"/>
      <c r="M129" s="35" t="str">
        <f t="shared" ca="1" si="28"/>
        <v/>
      </c>
      <c r="N129" s="27"/>
      <c r="O129" s="31"/>
    </row>
    <row r="130" spans="1:15" ht="15" customHeight="1" x14ac:dyDescent="0.25">
      <c r="A130" s="69">
        <v>46208</v>
      </c>
      <c r="B130" s="25">
        <f t="shared" si="29"/>
        <v>1.1249999999999998</v>
      </c>
      <c r="C130" s="33"/>
      <c r="D130" s="62"/>
      <c r="E130" s="62"/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 x14ac:dyDescent="0.25">
      <c r="A131" s="70">
        <v>46208</v>
      </c>
      <c r="B131" s="32">
        <f t="shared" si="29"/>
        <v>1.1666666666666665</v>
      </c>
      <c r="C131" s="33"/>
      <c r="D131" s="62"/>
      <c r="E131" s="62"/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 x14ac:dyDescent="0.25">
      <c r="A132" s="69">
        <v>46208</v>
      </c>
      <c r="B132" s="25">
        <f t="shared" si="29"/>
        <v>1.2083333333333333</v>
      </c>
      <c r="C132" s="33"/>
      <c r="D132" s="62"/>
      <c r="E132" s="62"/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 x14ac:dyDescent="0.25">
      <c r="A133" s="70">
        <v>46208</v>
      </c>
      <c r="B133" s="32">
        <f t="shared" si="29"/>
        <v>1.25</v>
      </c>
      <c r="C133" s="33"/>
      <c r="D133" s="62"/>
      <c r="E133" s="62"/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 x14ac:dyDescent="0.25">
      <c r="A134" s="69">
        <v>46208</v>
      </c>
      <c r="B134" s="25">
        <f t="shared" si="29"/>
        <v>1.2916666666666667</v>
      </c>
      <c r="C134" s="33"/>
      <c r="D134" s="62"/>
      <c r="E134" s="62"/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 x14ac:dyDescent="0.25">
      <c r="A135" s="79" t="s">
        <v>192</v>
      </c>
      <c r="B135" s="80"/>
      <c r="C135" s="80"/>
      <c r="D135" s="80"/>
      <c r="E135" s="81">
        <f>SUM(E123:E134)</f>
        <v>0</v>
      </c>
      <c r="F135" s="36">
        <f>SUM(F123:F134)</f>
        <v>0</v>
      </c>
      <c r="G135" s="36">
        <f>SUM(G123:G134)</f>
        <v>0</v>
      </c>
      <c r="H135" s="37"/>
      <c r="I135" s="37"/>
      <c r="J135" s="37"/>
      <c r="K135" s="37"/>
      <c r="L135" s="37"/>
      <c r="M135" s="38">
        <f ca="1">IFERROR(SUM(M123:M134),"")</f>
        <v>0</v>
      </c>
      <c r="N135" s="36" t="s">
        <v>191</v>
      </c>
      <c r="O135" s="39"/>
    </row>
    <row r="136" spans="1:15" ht="18" customHeight="1" x14ac:dyDescent="0.25">
      <c r="A136" s="82" t="s">
        <v>193</v>
      </c>
      <c r="B136" s="83"/>
      <c r="C136" s="83"/>
      <c r="D136" s="83"/>
      <c r="E136" s="84">
        <f>E122+E135</f>
        <v>0</v>
      </c>
      <c r="F136" s="40">
        <f>F122+F135</f>
        <v>0</v>
      </c>
      <c r="G136" s="40">
        <f>G122+G135</f>
        <v>0</v>
      </c>
      <c r="H136" s="41"/>
      <c r="I136" s="41"/>
      <c r="J136" s="41"/>
      <c r="K136" s="41"/>
      <c r="L136" s="41"/>
      <c r="M136" s="42">
        <f ca="1">IFERROR(M122+M135,"")</f>
        <v>0</v>
      </c>
      <c r="N136" s="40" t="s">
        <v>194</v>
      </c>
      <c r="O136" s="43">
        <f>IFERROR(O122+O135,"")</f>
        <v>0</v>
      </c>
    </row>
    <row r="137" spans="1:15" ht="15" customHeight="1" x14ac:dyDescent="0.25">
      <c r="A137" s="70">
        <v>46209</v>
      </c>
      <c r="B137" s="32">
        <v>0.33333333333333298</v>
      </c>
      <c r="C137" s="33"/>
      <c r="D137" s="62"/>
      <c r="E137" s="62"/>
      <c r="F137" s="27"/>
      <c r="G137" s="34" t="str">
        <f t="shared" ref="G137:G148" si="30">IF(F137="","",IF(E137="PC 17",F137*4.2,IF(E137="PC 19",F137*5,"")))</f>
        <v/>
      </c>
      <c r="H137" s="33"/>
      <c r="I137" s="33"/>
      <c r="J137" s="33"/>
      <c r="K137" s="29"/>
      <c r="L137" s="29"/>
      <c r="M137" s="35" t="str">
        <f t="shared" ref="M137:M148" ca="1" si="31">IFERROR(IF(K137="","",IF(L137="",MOD(NOW()-K137,1),IF(L137&gt;=K137,L137-K137,L137+1-K137))),"")</f>
        <v/>
      </c>
      <c r="N137" s="27"/>
      <c r="O137" s="31"/>
    </row>
    <row r="138" spans="1:15" ht="15" customHeight="1" x14ac:dyDescent="0.25">
      <c r="A138" s="69">
        <v>46209</v>
      </c>
      <c r="B138" s="25">
        <f t="shared" ref="B138:B148" si="32">B137+TIME(0,60,0)</f>
        <v>0.37499999999999967</v>
      </c>
      <c r="C138" s="33"/>
      <c r="D138" s="62"/>
      <c r="E138" s="62"/>
      <c r="F138" s="27"/>
      <c r="G138" s="28" t="str">
        <f t="shared" si="30"/>
        <v/>
      </c>
      <c r="H138" s="26"/>
      <c r="I138" s="26"/>
      <c r="J138" s="26"/>
      <c r="K138" s="29"/>
      <c r="L138" s="29"/>
      <c r="M138" s="30" t="str">
        <f t="shared" ca="1" si="31"/>
        <v/>
      </c>
      <c r="N138" s="27"/>
      <c r="O138" s="31"/>
    </row>
    <row r="139" spans="1:15" ht="15" customHeight="1" x14ac:dyDescent="0.25">
      <c r="A139" s="70">
        <v>46209</v>
      </c>
      <c r="B139" s="32">
        <f t="shared" si="32"/>
        <v>0.41666666666666635</v>
      </c>
      <c r="C139" s="33"/>
      <c r="D139" s="62"/>
      <c r="E139" s="62"/>
      <c r="F139" s="27"/>
      <c r="G139" s="34" t="str">
        <f t="shared" si="30"/>
        <v/>
      </c>
      <c r="H139" s="33"/>
      <c r="I139" s="33"/>
      <c r="J139" s="33"/>
      <c r="K139" s="29"/>
      <c r="L139" s="29"/>
      <c r="M139" s="35" t="str">
        <f t="shared" ca="1" si="31"/>
        <v/>
      </c>
      <c r="N139" s="27"/>
      <c r="O139" s="31"/>
    </row>
    <row r="140" spans="1:15" ht="15" customHeight="1" x14ac:dyDescent="0.25">
      <c r="A140" s="69">
        <v>46209</v>
      </c>
      <c r="B140" s="25">
        <f t="shared" si="32"/>
        <v>0.45833333333333304</v>
      </c>
      <c r="C140" s="33"/>
      <c r="D140" s="62"/>
      <c r="E140" s="62"/>
      <c r="F140" s="27"/>
      <c r="G140" s="28" t="str">
        <f t="shared" si="30"/>
        <v/>
      </c>
      <c r="H140" s="26"/>
      <c r="I140" s="26"/>
      <c r="J140" s="26"/>
      <c r="K140" s="29"/>
      <c r="L140" s="29"/>
      <c r="M140" s="30" t="str">
        <f t="shared" ca="1" si="31"/>
        <v/>
      </c>
      <c r="N140" s="27"/>
      <c r="O140" s="31"/>
    </row>
    <row r="141" spans="1:15" ht="15" customHeight="1" x14ac:dyDescent="0.25">
      <c r="A141" s="70">
        <v>46209</v>
      </c>
      <c r="B141" s="32">
        <f t="shared" si="32"/>
        <v>0.49999999999999972</v>
      </c>
      <c r="C141" s="33"/>
      <c r="D141" s="62"/>
      <c r="E141" s="62"/>
      <c r="F141" s="27"/>
      <c r="G141" s="34" t="str">
        <f t="shared" si="30"/>
        <v/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5" ht="15" customHeight="1" x14ac:dyDescent="0.25">
      <c r="A142" s="69">
        <v>46209</v>
      </c>
      <c r="B142" s="25">
        <f t="shared" si="32"/>
        <v>0.54166666666666641</v>
      </c>
      <c r="C142" s="33"/>
      <c r="D142" s="62"/>
      <c r="E142" s="62"/>
      <c r="F142" s="27"/>
      <c r="G142" s="28" t="str">
        <f t="shared" si="30"/>
        <v/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 x14ac:dyDescent="0.25">
      <c r="A143" s="70">
        <v>46209</v>
      </c>
      <c r="B143" s="32">
        <f t="shared" si="32"/>
        <v>0.58333333333333304</v>
      </c>
      <c r="C143" s="33"/>
      <c r="D143" s="62"/>
      <c r="E143" s="62"/>
      <c r="F143" s="27"/>
      <c r="G143" s="34" t="str">
        <f t="shared" si="30"/>
        <v/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 x14ac:dyDescent="0.25">
      <c r="A144" s="69">
        <v>46209</v>
      </c>
      <c r="B144" s="25">
        <f t="shared" si="32"/>
        <v>0.62499999999999967</v>
      </c>
      <c r="C144" s="33"/>
      <c r="D144" s="62"/>
      <c r="E144" s="62"/>
      <c r="F144" s="27"/>
      <c r="G144" s="28" t="str">
        <f t="shared" si="30"/>
        <v/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 x14ac:dyDescent="0.25">
      <c r="A145" s="70">
        <v>46209</v>
      </c>
      <c r="B145" s="32">
        <f t="shared" si="32"/>
        <v>0.6666666666666663</v>
      </c>
      <c r="C145" s="33"/>
      <c r="D145" s="62"/>
      <c r="E145" s="62"/>
      <c r="F145" s="27"/>
      <c r="G145" s="34" t="str">
        <f t="shared" si="30"/>
        <v/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 x14ac:dyDescent="0.25">
      <c r="A146" s="69">
        <v>46209</v>
      </c>
      <c r="B146" s="25">
        <f t="shared" si="32"/>
        <v>0.70833333333333293</v>
      </c>
      <c r="C146" s="33"/>
      <c r="D146" s="62"/>
      <c r="E146" s="62"/>
      <c r="F146" s="27"/>
      <c r="G146" s="28" t="str">
        <f t="shared" si="30"/>
        <v/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 x14ac:dyDescent="0.25">
      <c r="A147" s="70">
        <v>46209</v>
      </c>
      <c r="B147" s="32">
        <f t="shared" si="32"/>
        <v>0.74999999999999956</v>
      </c>
      <c r="C147" s="33"/>
      <c r="D147" s="62"/>
      <c r="E147" s="62"/>
      <c r="F147" s="27"/>
      <c r="G147" s="34" t="str">
        <f t="shared" si="30"/>
        <v/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 x14ac:dyDescent="0.25">
      <c r="A148" s="69">
        <v>46209</v>
      </c>
      <c r="B148" s="25">
        <f t="shared" si="32"/>
        <v>0.79166666666666619</v>
      </c>
      <c r="C148" s="33"/>
      <c r="D148" s="62"/>
      <c r="E148" s="62"/>
      <c r="F148" s="27"/>
      <c r="G148" s="28" t="str">
        <f t="shared" si="30"/>
        <v/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 x14ac:dyDescent="0.3">
      <c r="A149" s="79" t="s">
        <v>190</v>
      </c>
      <c r="B149" s="80"/>
      <c r="C149" s="80"/>
      <c r="D149" s="80"/>
      <c r="E149" s="81">
        <f>SUM(E137:E148)</f>
        <v>0</v>
      </c>
      <c r="F149" s="36">
        <f>SUM(F137:F148)</f>
        <v>0</v>
      </c>
      <c r="G149" s="36">
        <f>SUM(G137:G148)</f>
        <v>0</v>
      </c>
      <c r="H149" s="37"/>
      <c r="I149" s="37"/>
      <c r="J149" s="37"/>
      <c r="K149" s="37"/>
      <c r="L149" s="37"/>
      <c r="M149" s="38">
        <f ca="1">IFERROR(SUM(M137:M148),"")</f>
        <v>0</v>
      </c>
      <c r="N149" s="36" t="s">
        <v>191</v>
      </c>
      <c r="O149" s="44"/>
    </row>
    <row r="150" spans="1:15" ht="15" customHeight="1" x14ac:dyDescent="0.25">
      <c r="A150" s="69">
        <v>46209</v>
      </c>
      <c r="B150" s="25">
        <v>0.83333333333333304</v>
      </c>
      <c r="C150" s="26"/>
      <c r="D150" s="59"/>
      <c r="E150" s="59"/>
      <c r="F150" s="27"/>
      <c r="G150" s="28" t="str">
        <f t="shared" ref="G150:G161" si="33">IF(F150="","",IF(E150="PC 17",F150*4.2,IF(E150="PC 19",F150*5,"")))</f>
        <v/>
      </c>
      <c r="H150" s="26"/>
      <c r="I150" s="26"/>
      <c r="J150" s="26"/>
      <c r="K150" s="29"/>
      <c r="L150" s="29"/>
      <c r="M150" s="30" t="str">
        <f t="shared" ref="M150:M161" ca="1" si="34">IFERROR(IF(K150="","",IF(L150="",MOD(NOW()-K150,1),IF(L150&gt;=K150,L150-K150,L150+1-K150))),"")</f>
        <v/>
      </c>
      <c r="N150" s="27"/>
      <c r="O150" s="31"/>
    </row>
    <row r="151" spans="1:15" ht="15" customHeight="1" x14ac:dyDescent="0.25">
      <c r="A151" s="70">
        <v>46209</v>
      </c>
      <c r="B151" s="32">
        <f t="shared" ref="B151:B161" si="35">B150+TIME(0,60,0)</f>
        <v>0.87499999999999967</v>
      </c>
      <c r="C151" s="26"/>
      <c r="D151" s="59"/>
      <c r="E151" s="59"/>
      <c r="F151" s="27"/>
      <c r="G151" s="34" t="str">
        <f t="shared" si="33"/>
        <v/>
      </c>
      <c r="H151" s="33"/>
      <c r="I151" s="33"/>
      <c r="J151" s="33"/>
      <c r="K151" s="29"/>
      <c r="L151" s="29"/>
      <c r="M151" s="35" t="str">
        <f t="shared" ca="1" si="34"/>
        <v/>
      </c>
      <c r="N151" s="27"/>
      <c r="O151" s="31"/>
    </row>
    <row r="152" spans="1:15" ht="15" customHeight="1" x14ac:dyDescent="0.25">
      <c r="A152" s="69">
        <v>46209</v>
      </c>
      <c r="B152" s="25">
        <f t="shared" si="35"/>
        <v>0.9166666666666663</v>
      </c>
      <c r="C152" s="26"/>
      <c r="D152" s="59"/>
      <c r="E152" s="59"/>
      <c r="F152" s="27"/>
      <c r="G152" s="28" t="str">
        <f t="shared" si="33"/>
        <v/>
      </c>
      <c r="H152" s="26"/>
      <c r="I152" s="26"/>
      <c r="J152" s="26"/>
      <c r="K152" s="29"/>
      <c r="L152" s="29"/>
      <c r="M152" s="30" t="str">
        <f t="shared" ca="1" si="34"/>
        <v/>
      </c>
      <c r="N152" s="27"/>
      <c r="O152" s="31"/>
    </row>
    <row r="153" spans="1:15" ht="15" customHeight="1" x14ac:dyDescent="0.25">
      <c r="A153" s="70">
        <v>46209</v>
      </c>
      <c r="B153" s="32">
        <f t="shared" si="35"/>
        <v>0.95833333333333293</v>
      </c>
      <c r="C153" s="26"/>
      <c r="D153" s="59"/>
      <c r="E153" s="59"/>
      <c r="F153" s="27"/>
      <c r="G153" s="34" t="str">
        <f t="shared" si="33"/>
        <v/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 x14ac:dyDescent="0.25">
      <c r="A154" s="69">
        <v>46209</v>
      </c>
      <c r="B154" s="25">
        <f t="shared" si="35"/>
        <v>0.99999999999999956</v>
      </c>
      <c r="C154" s="26"/>
      <c r="D154" s="59"/>
      <c r="E154" s="59"/>
      <c r="F154" s="27"/>
      <c r="G154" s="28" t="str">
        <f t="shared" si="33"/>
        <v/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 x14ac:dyDescent="0.25">
      <c r="A155" s="70">
        <v>46209</v>
      </c>
      <c r="B155" s="32">
        <f t="shared" si="35"/>
        <v>1.0416666666666663</v>
      </c>
      <c r="C155" s="26"/>
      <c r="D155" s="59"/>
      <c r="E155" s="59"/>
      <c r="F155" s="27"/>
      <c r="G155" s="34" t="str">
        <f t="shared" si="33"/>
        <v/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 x14ac:dyDescent="0.25">
      <c r="A156" s="69">
        <v>46209</v>
      </c>
      <c r="B156" s="25">
        <f t="shared" si="35"/>
        <v>1.083333333333333</v>
      </c>
      <c r="C156" s="26"/>
      <c r="D156" s="59"/>
      <c r="E156" s="59"/>
      <c r="F156" s="27"/>
      <c r="G156" s="28" t="str">
        <f t="shared" si="33"/>
        <v/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 x14ac:dyDescent="0.25">
      <c r="A157" s="70">
        <v>46209</v>
      </c>
      <c r="B157" s="32">
        <f t="shared" si="35"/>
        <v>1.1249999999999998</v>
      </c>
      <c r="C157" s="26"/>
      <c r="D157" s="59"/>
      <c r="E157" s="59"/>
      <c r="F157" s="27"/>
      <c r="G157" s="34" t="str">
        <f t="shared" si="33"/>
        <v/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 x14ac:dyDescent="0.25">
      <c r="A158" s="69">
        <v>46209</v>
      </c>
      <c r="B158" s="25">
        <f t="shared" si="35"/>
        <v>1.1666666666666665</v>
      </c>
      <c r="C158" s="26"/>
      <c r="D158" s="59"/>
      <c r="E158" s="59"/>
      <c r="F158" s="27"/>
      <c r="G158" s="28" t="str">
        <f t="shared" si="33"/>
        <v/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 x14ac:dyDescent="0.25">
      <c r="A159" s="70">
        <v>46209</v>
      </c>
      <c r="B159" s="32">
        <f t="shared" si="35"/>
        <v>1.2083333333333333</v>
      </c>
      <c r="C159" s="26"/>
      <c r="D159" s="59"/>
      <c r="E159" s="59"/>
      <c r="F159" s="27"/>
      <c r="G159" s="34" t="str">
        <f t="shared" si="33"/>
        <v/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 x14ac:dyDescent="0.25">
      <c r="A160" s="69">
        <v>46209</v>
      </c>
      <c r="B160" s="25">
        <f t="shared" si="35"/>
        <v>1.25</v>
      </c>
      <c r="C160" s="26"/>
      <c r="D160" s="59"/>
      <c r="E160" s="59"/>
      <c r="F160" s="27"/>
      <c r="G160" s="28" t="str">
        <f t="shared" si="33"/>
        <v/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 x14ac:dyDescent="0.25">
      <c r="A161" s="70">
        <v>46209</v>
      </c>
      <c r="B161" s="32">
        <f t="shared" si="35"/>
        <v>1.2916666666666667</v>
      </c>
      <c r="C161" s="26"/>
      <c r="D161" s="59"/>
      <c r="E161" s="59"/>
      <c r="F161" s="27"/>
      <c r="G161" s="34" t="str">
        <f t="shared" si="33"/>
        <v/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 x14ac:dyDescent="0.3">
      <c r="A162" s="79" t="s">
        <v>192</v>
      </c>
      <c r="B162" s="80"/>
      <c r="C162" s="80"/>
      <c r="D162" s="80"/>
      <c r="E162" s="81">
        <f>SUM(E150:E161)</f>
        <v>0</v>
      </c>
      <c r="F162" s="36">
        <f>SUM(F150:F161)</f>
        <v>0</v>
      </c>
      <c r="G162" s="36">
        <f>SUM(G150:G161)</f>
        <v>0</v>
      </c>
      <c r="H162" s="37"/>
      <c r="I162" s="37"/>
      <c r="J162" s="37"/>
      <c r="K162" s="37"/>
      <c r="L162" s="37"/>
      <c r="M162" s="38">
        <f ca="1">IFERROR(SUM(M150:M161),"")</f>
        <v>0</v>
      </c>
      <c r="N162" s="36" t="s">
        <v>191</v>
      </c>
      <c r="O162" s="44"/>
    </row>
    <row r="163" spans="1:15" ht="18" customHeight="1" x14ac:dyDescent="0.25">
      <c r="A163" s="82" t="s">
        <v>193</v>
      </c>
      <c r="B163" s="83"/>
      <c r="C163" s="83"/>
      <c r="D163" s="83"/>
      <c r="E163" s="84">
        <f>E149+E162</f>
        <v>0</v>
      </c>
      <c r="F163" s="40">
        <f>F149+F162</f>
        <v>0</v>
      </c>
      <c r="G163" s="40">
        <f>G149+G162</f>
        <v>0</v>
      </c>
      <c r="H163" s="41"/>
      <c r="I163" s="41"/>
      <c r="J163" s="41"/>
      <c r="K163" s="41"/>
      <c r="L163" s="41"/>
      <c r="M163" s="42">
        <f ca="1">IFERROR(M149+M162,"")</f>
        <v>0</v>
      </c>
      <c r="N163" s="40" t="s">
        <v>194</v>
      </c>
      <c r="O163" s="43">
        <f>IFERROR(O149+O162,"")</f>
        <v>0</v>
      </c>
    </row>
    <row r="164" spans="1:15" ht="15" customHeight="1" x14ac:dyDescent="0.25">
      <c r="A164" s="69">
        <v>46210</v>
      </c>
      <c r="B164" s="25">
        <v>0.33333333333333298</v>
      </c>
      <c r="C164" s="26"/>
      <c r="D164" s="59"/>
      <c r="E164" s="59"/>
      <c r="F164" s="27"/>
      <c r="G164" s="28" t="str">
        <f t="shared" ref="G164:G175" si="36">IF(F164="","",IF(E164="PC 17",F164*4.2,IF(E164="PC 19",F164*5,"")))</f>
        <v/>
      </c>
      <c r="H164" s="26"/>
      <c r="I164" s="26"/>
      <c r="J164" s="26"/>
      <c r="K164" s="29"/>
      <c r="L164" s="29"/>
      <c r="M164" s="30" t="str">
        <f t="shared" ref="M164:M175" ca="1" si="37">IFERROR(IF(K164="","",IF(L164="",MOD(NOW()-K164,1),IF(L164&gt;=K164,L164-K164,L164+1-K164))),"")</f>
        <v/>
      </c>
      <c r="N164" s="27"/>
      <c r="O164" s="31"/>
    </row>
    <row r="165" spans="1:15" ht="15" customHeight="1" x14ac:dyDescent="0.25">
      <c r="A165" s="70">
        <v>46210</v>
      </c>
      <c r="B165" s="32">
        <f t="shared" ref="B165:B175" si="38">B164+TIME(0,60,0)</f>
        <v>0.37499999999999967</v>
      </c>
      <c r="C165" s="33"/>
      <c r="D165" s="62"/>
      <c r="E165" s="62"/>
      <c r="F165" s="27"/>
      <c r="G165" s="34" t="str">
        <f t="shared" si="36"/>
        <v/>
      </c>
      <c r="H165" s="33"/>
      <c r="I165" s="33"/>
      <c r="J165" s="33"/>
      <c r="K165" s="29"/>
      <c r="L165" s="29"/>
      <c r="M165" s="35" t="str">
        <f t="shared" ca="1" si="37"/>
        <v/>
      </c>
      <c r="N165" s="27"/>
      <c r="O165" s="31"/>
    </row>
    <row r="166" spans="1:15" ht="15" customHeight="1" x14ac:dyDescent="0.25">
      <c r="A166" s="69">
        <v>46210</v>
      </c>
      <c r="B166" s="25">
        <f t="shared" si="38"/>
        <v>0.41666666666666635</v>
      </c>
      <c r="C166" s="26"/>
      <c r="D166" s="59"/>
      <c r="E166" s="59"/>
      <c r="F166" s="27"/>
      <c r="G166" s="28" t="str">
        <f t="shared" si="36"/>
        <v/>
      </c>
      <c r="H166" s="26"/>
      <c r="I166" s="26"/>
      <c r="J166" s="26"/>
      <c r="K166" s="29"/>
      <c r="L166" s="29"/>
      <c r="M166" s="30" t="str">
        <f t="shared" ca="1" si="37"/>
        <v/>
      </c>
      <c r="N166" s="27"/>
      <c r="O166" s="31"/>
    </row>
    <row r="167" spans="1:15" ht="15" customHeight="1" x14ac:dyDescent="0.25">
      <c r="A167" s="70">
        <v>46210</v>
      </c>
      <c r="B167" s="32">
        <f t="shared" si="38"/>
        <v>0.45833333333333304</v>
      </c>
      <c r="C167" s="33"/>
      <c r="D167" s="62"/>
      <c r="E167" s="62"/>
      <c r="F167" s="27"/>
      <c r="G167" s="34" t="str">
        <f t="shared" si="36"/>
        <v/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 x14ac:dyDescent="0.25">
      <c r="A168" s="69">
        <v>46210</v>
      </c>
      <c r="B168" s="25">
        <f t="shared" si="38"/>
        <v>0.49999999999999972</v>
      </c>
      <c r="C168" s="26"/>
      <c r="D168" s="59"/>
      <c r="E168" s="59"/>
      <c r="F168" s="27"/>
      <c r="G168" s="28" t="str">
        <f t="shared" si="36"/>
        <v/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 x14ac:dyDescent="0.25">
      <c r="A169" s="70">
        <v>46210</v>
      </c>
      <c r="B169" s="32">
        <f t="shared" si="38"/>
        <v>0.54166666666666641</v>
      </c>
      <c r="C169" s="33"/>
      <c r="D169" s="62"/>
      <c r="E169" s="62"/>
      <c r="F169" s="27"/>
      <c r="G169" s="34" t="str">
        <f t="shared" si="36"/>
        <v/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 x14ac:dyDescent="0.25">
      <c r="A170" s="69">
        <v>46210</v>
      </c>
      <c r="B170" s="25">
        <f t="shared" si="38"/>
        <v>0.58333333333333304</v>
      </c>
      <c r="C170" s="26"/>
      <c r="D170" s="59"/>
      <c r="E170" s="59"/>
      <c r="F170" s="27"/>
      <c r="G170" s="28" t="str">
        <f t="shared" si="36"/>
        <v/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 x14ac:dyDescent="0.25">
      <c r="A171" s="70">
        <v>46210</v>
      </c>
      <c r="B171" s="32">
        <f t="shared" si="38"/>
        <v>0.62499999999999967</v>
      </c>
      <c r="C171" s="33"/>
      <c r="D171" s="62"/>
      <c r="E171" s="62"/>
      <c r="F171" s="27"/>
      <c r="G171" s="34" t="str">
        <f t="shared" si="36"/>
        <v/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 x14ac:dyDescent="0.25">
      <c r="A172" s="69">
        <v>46210</v>
      </c>
      <c r="B172" s="25">
        <f t="shared" si="38"/>
        <v>0.6666666666666663</v>
      </c>
      <c r="C172" s="26"/>
      <c r="D172" s="59"/>
      <c r="E172" s="59"/>
      <c r="F172" s="27"/>
      <c r="G172" s="28" t="str">
        <f t="shared" si="36"/>
        <v/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 x14ac:dyDescent="0.25">
      <c r="A173" s="70">
        <v>46210</v>
      </c>
      <c r="B173" s="32">
        <f t="shared" si="38"/>
        <v>0.70833333333333293</v>
      </c>
      <c r="C173" s="33"/>
      <c r="D173" s="62"/>
      <c r="E173" s="62"/>
      <c r="F173" s="27"/>
      <c r="G173" s="34" t="str">
        <f t="shared" si="36"/>
        <v/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 x14ac:dyDescent="0.25">
      <c r="A174" s="69">
        <v>46210</v>
      </c>
      <c r="B174" s="25">
        <f t="shared" si="38"/>
        <v>0.74999999999999956</v>
      </c>
      <c r="C174" s="26"/>
      <c r="D174" s="59"/>
      <c r="E174" s="59"/>
      <c r="F174" s="27"/>
      <c r="G174" s="28" t="str">
        <f t="shared" si="36"/>
        <v/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 x14ac:dyDescent="0.25">
      <c r="A175" s="70">
        <v>46210</v>
      </c>
      <c r="B175" s="32">
        <f t="shared" si="38"/>
        <v>0.79166666666666619</v>
      </c>
      <c r="C175" s="33"/>
      <c r="D175" s="62"/>
      <c r="E175" s="62"/>
      <c r="F175" s="27"/>
      <c r="G175" s="34" t="str">
        <f t="shared" si="36"/>
        <v/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 x14ac:dyDescent="0.25">
      <c r="A176" s="79" t="s">
        <v>190</v>
      </c>
      <c r="B176" s="80"/>
      <c r="C176" s="80"/>
      <c r="D176" s="80"/>
      <c r="E176" s="81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37"/>
      <c r="L176" s="37"/>
      <c r="M176" s="38">
        <f ca="1">IFERROR(SUM(M164:M175),"")</f>
        <v>0</v>
      </c>
      <c r="N176" s="36" t="s">
        <v>191</v>
      </c>
      <c r="O176" s="39"/>
    </row>
    <row r="177" spans="1:15" ht="15" customHeight="1" x14ac:dyDescent="0.25">
      <c r="A177" s="70">
        <v>46210</v>
      </c>
      <c r="B177" s="32">
        <v>0.83333333333333304</v>
      </c>
      <c r="C177" s="33"/>
      <c r="D177" s="62"/>
      <c r="E177" s="62"/>
      <c r="F177" s="27"/>
      <c r="G177" s="34" t="str">
        <f t="shared" ref="G177:G188" si="39">IF(F177="","",IF(E177="PC 17",F177*4.2,IF(E177="PC 19",F177*5,"")))</f>
        <v/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27"/>
      <c r="O177" s="31"/>
    </row>
    <row r="178" spans="1:15" ht="15" customHeight="1" x14ac:dyDescent="0.25">
      <c r="A178" s="69">
        <v>46210</v>
      </c>
      <c r="B178" s="25">
        <f t="shared" ref="B178:B188" si="41">B177+TIME(0,60,0)</f>
        <v>0.87499999999999967</v>
      </c>
      <c r="C178" s="26"/>
      <c r="D178" s="59"/>
      <c r="E178" s="59"/>
      <c r="F178" s="27"/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 x14ac:dyDescent="0.25">
      <c r="A179" s="70">
        <v>46210</v>
      </c>
      <c r="B179" s="32">
        <f t="shared" si="41"/>
        <v>0.9166666666666663</v>
      </c>
      <c r="C179" s="33"/>
      <c r="D179" s="62"/>
      <c r="E179" s="62"/>
      <c r="F179" s="27"/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 x14ac:dyDescent="0.25">
      <c r="A180" s="69">
        <v>46210</v>
      </c>
      <c r="B180" s="25">
        <f t="shared" si="41"/>
        <v>0.95833333333333293</v>
      </c>
      <c r="C180" s="26"/>
      <c r="D180" s="59"/>
      <c r="E180" s="59"/>
      <c r="F180" s="27"/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 x14ac:dyDescent="0.25">
      <c r="A181" s="70">
        <v>46210</v>
      </c>
      <c r="B181" s="32">
        <f t="shared" si="41"/>
        <v>0.99999999999999956</v>
      </c>
      <c r="C181" s="33"/>
      <c r="D181" s="62"/>
      <c r="E181" s="62"/>
      <c r="F181" s="27"/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 x14ac:dyDescent="0.25">
      <c r="A182" s="69">
        <v>46210</v>
      </c>
      <c r="B182" s="25">
        <f t="shared" si="41"/>
        <v>1.0416666666666663</v>
      </c>
      <c r="C182" s="26"/>
      <c r="D182" s="59"/>
      <c r="E182" s="59"/>
      <c r="F182" s="27"/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 x14ac:dyDescent="0.25">
      <c r="A183" s="70">
        <v>46210</v>
      </c>
      <c r="B183" s="32">
        <f t="shared" si="41"/>
        <v>1.083333333333333</v>
      </c>
      <c r="C183" s="33"/>
      <c r="D183" s="62"/>
      <c r="E183" s="62"/>
      <c r="F183" s="27"/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 x14ac:dyDescent="0.25">
      <c r="A184" s="69">
        <v>46210</v>
      </c>
      <c r="B184" s="25">
        <f t="shared" si="41"/>
        <v>1.1249999999999998</v>
      </c>
      <c r="C184" s="26"/>
      <c r="D184" s="59"/>
      <c r="E184" s="59"/>
      <c r="F184" s="27"/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 x14ac:dyDescent="0.25">
      <c r="A185" s="70">
        <v>46210</v>
      </c>
      <c r="B185" s="32">
        <f t="shared" si="41"/>
        <v>1.1666666666666665</v>
      </c>
      <c r="C185" s="33"/>
      <c r="D185" s="62"/>
      <c r="E185" s="62"/>
      <c r="F185" s="27"/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 x14ac:dyDescent="0.25">
      <c r="A186" s="69">
        <v>46210</v>
      </c>
      <c r="B186" s="25">
        <f t="shared" si="41"/>
        <v>1.2083333333333333</v>
      </c>
      <c r="C186" s="26"/>
      <c r="D186" s="59"/>
      <c r="E186" s="59"/>
      <c r="F186" s="27"/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 x14ac:dyDescent="0.25">
      <c r="A187" s="70">
        <v>46210</v>
      </c>
      <c r="B187" s="32">
        <f t="shared" si="41"/>
        <v>1.25</v>
      </c>
      <c r="C187" s="33"/>
      <c r="D187" s="62"/>
      <c r="E187" s="62"/>
      <c r="F187" s="27"/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 x14ac:dyDescent="0.25">
      <c r="A188" s="69">
        <v>46210</v>
      </c>
      <c r="B188" s="25">
        <f t="shared" si="41"/>
        <v>1.2916666666666667</v>
      </c>
      <c r="C188" s="26"/>
      <c r="D188" s="59"/>
      <c r="E188" s="59"/>
      <c r="F188" s="27"/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 x14ac:dyDescent="0.25">
      <c r="A189" s="79" t="s">
        <v>192</v>
      </c>
      <c r="B189" s="80"/>
      <c r="C189" s="80"/>
      <c r="D189" s="80"/>
      <c r="E189" s="81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37"/>
      <c r="L189" s="37"/>
      <c r="M189" s="38">
        <f ca="1">IFERROR(SUM(M177:M188),"")</f>
        <v>0</v>
      </c>
      <c r="N189" s="36" t="s">
        <v>191</v>
      </c>
      <c r="O189" s="39"/>
    </row>
    <row r="190" spans="1:15" ht="18" customHeight="1" x14ac:dyDescent="0.25">
      <c r="A190" s="82" t="s">
        <v>193</v>
      </c>
      <c r="B190" s="83"/>
      <c r="C190" s="83"/>
      <c r="D190" s="83"/>
      <c r="E190" s="84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41"/>
      <c r="L190" s="41"/>
      <c r="M190" s="42">
        <f ca="1">IFERROR(M176+M189,"")</f>
        <v>0</v>
      </c>
      <c r="N190" s="40" t="s">
        <v>194</v>
      </c>
      <c r="O190" s="43">
        <f>IFERROR(O176+O189,"")</f>
        <v>0</v>
      </c>
    </row>
    <row r="191" spans="1:15" ht="15" customHeight="1" x14ac:dyDescent="0.25">
      <c r="A191" s="70">
        <v>46211</v>
      </c>
      <c r="B191" s="32">
        <v>0.33333333333333298</v>
      </c>
      <c r="C191" s="33"/>
      <c r="D191" s="62"/>
      <c r="E191" s="62"/>
      <c r="F191" s="27"/>
      <c r="G191" s="34" t="str">
        <f t="shared" ref="G191:G202" si="42">IF(F191="","",IF(E191="PC 17",F191*4.2,IF(E191="PC 19",F191*5,"")))</f>
        <v/>
      </c>
      <c r="H191" s="33"/>
      <c r="I191" s="33"/>
      <c r="J191" s="33"/>
      <c r="K191" s="29"/>
      <c r="L191" s="29"/>
      <c r="M191" s="35" t="str">
        <f t="shared" ref="M191:M202" ca="1" si="43">IFERROR(IF(K191="","",IF(L191="",MOD(NOW()-K191,1),IF(L191&gt;=K191,L191-K191,L191+1-K191))),"")</f>
        <v/>
      </c>
      <c r="N191" s="27"/>
      <c r="O191" s="31"/>
    </row>
    <row r="192" spans="1:15" ht="15" customHeight="1" x14ac:dyDescent="0.25">
      <c r="A192" s="69">
        <v>46211</v>
      </c>
      <c r="B192" s="25">
        <f t="shared" ref="B192:B202" si="44">B191+TIME(0,60,0)</f>
        <v>0.37499999999999967</v>
      </c>
      <c r="C192" s="33"/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27"/>
      <c r="O192" s="31"/>
    </row>
    <row r="193" spans="1:15" ht="15" customHeight="1" x14ac:dyDescent="0.25">
      <c r="A193" s="70">
        <v>46211</v>
      </c>
      <c r="B193" s="32">
        <f t="shared" si="44"/>
        <v>0.41666666666666635</v>
      </c>
      <c r="C193" s="33"/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27"/>
      <c r="O193" s="31"/>
    </row>
    <row r="194" spans="1:15" ht="15" customHeight="1" x14ac:dyDescent="0.25">
      <c r="A194" s="69">
        <v>46211</v>
      </c>
      <c r="B194" s="25">
        <f t="shared" si="44"/>
        <v>0.45833333333333304</v>
      </c>
      <c r="C194" s="33"/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 x14ac:dyDescent="0.25">
      <c r="A195" s="70">
        <v>46211</v>
      </c>
      <c r="B195" s="32">
        <f t="shared" si="44"/>
        <v>0.49999999999999972</v>
      </c>
      <c r="C195" s="33"/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 x14ac:dyDescent="0.25">
      <c r="A196" s="69">
        <v>46211</v>
      </c>
      <c r="B196" s="25">
        <f t="shared" si="44"/>
        <v>0.54166666666666641</v>
      </c>
      <c r="C196" s="33"/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 x14ac:dyDescent="0.25">
      <c r="A197" s="70">
        <v>46211</v>
      </c>
      <c r="B197" s="32">
        <f t="shared" si="44"/>
        <v>0.58333333333333304</v>
      </c>
      <c r="C197" s="33"/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 x14ac:dyDescent="0.25">
      <c r="A198" s="69">
        <v>46211</v>
      </c>
      <c r="B198" s="25">
        <f t="shared" si="44"/>
        <v>0.62499999999999967</v>
      </c>
      <c r="C198" s="33"/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 x14ac:dyDescent="0.25">
      <c r="A199" s="70">
        <v>46211</v>
      </c>
      <c r="B199" s="32">
        <f t="shared" si="44"/>
        <v>0.6666666666666663</v>
      </c>
      <c r="C199" s="33"/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 x14ac:dyDescent="0.25">
      <c r="A200" s="69">
        <v>46211</v>
      </c>
      <c r="B200" s="25">
        <f t="shared" si="44"/>
        <v>0.70833333333333293</v>
      </c>
      <c r="C200" s="33"/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 x14ac:dyDescent="0.25">
      <c r="A201" s="70">
        <v>46211</v>
      </c>
      <c r="B201" s="32">
        <f t="shared" si="44"/>
        <v>0.74999999999999956</v>
      </c>
      <c r="C201" s="33"/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 x14ac:dyDescent="0.25">
      <c r="A202" s="69">
        <v>46211</v>
      </c>
      <c r="B202" s="25">
        <f t="shared" si="44"/>
        <v>0.79166666666666619</v>
      </c>
      <c r="C202" s="33"/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 x14ac:dyDescent="0.25">
      <c r="A203" s="79" t="s">
        <v>190</v>
      </c>
      <c r="B203" s="80"/>
      <c r="C203" s="80"/>
      <c r="D203" s="80"/>
      <c r="E203" s="81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37"/>
      <c r="L203" s="37"/>
      <c r="M203" s="38">
        <f ca="1">IFERROR(SUM(M191:M202),"")</f>
        <v>0</v>
      </c>
      <c r="N203" s="36" t="s">
        <v>191</v>
      </c>
      <c r="O203" s="45"/>
    </row>
    <row r="204" spans="1:15" ht="15" customHeight="1" x14ac:dyDescent="0.25">
      <c r="A204" s="69">
        <v>46211</v>
      </c>
      <c r="B204" s="25">
        <v>0.83333333333333304</v>
      </c>
      <c r="C204" s="26"/>
      <c r="D204" s="59"/>
      <c r="E204" s="59"/>
      <c r="F204" s="27"/>
      <c r="G204" s="28" t="str">
        <f t="shared" ref="G204:G215" si="45">IF(F204="","",IF(E204="PC 17",F204*4.2,IF(E204="PC 19",F204*5,"")))</f>
        <v/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46"/>
      <c r="O204" s="47"/>
    </row>
    <row r="205" spans="1:15" ht="15" customHeight="1" x14ac:dyDescent="0.25">
      <c r="A205" s="70">
        <v>46211</v>
      </c>
      <c r="B205" s="32">
        <f t="shared" ref="B205:B215" si="47">B204+TIME(0,60,0)</f>
        <v>0.87499999999999967</v>
      </c>
      <c r="C205" s="26"/>
      <c r="D205" s="59"/>
      <c r="E205" s="59"/>
      <c r="F205" s="27"/>
      <c r="G205" s="34" t="str">
        <f t="shared" si="45"/>
        <v/>
      </c>
      <c r="H205" s="33"/>
      <c r="I205" s="33"/>
      <c r="J205" s="33"/>
      <c r="K205" s="29"/>
      <c r="L205" s="29"/>
      <c r="M205" s="35" t="str">
        <f t="shared" ca="1" si="46"/>
        <v/>
      </c>
      <c r="N205" s="46"/>
      <c r="O205" s="47"/>
    </row>
    <row r="206" spans="1:15" ht="15" customHeight="1" x14ac:dyDescent="0.25">
      <c r="A206" s="69">
        <v>46211</v>
      </c>
      <c r="B206" s="25">
        <f t="shared" si="47"/>
        <v>0.9166666666666663</v>
      </c>
      <c r="C206" s="26"/>
      <c r="D206" s="59"/>
      <c r="E206" s="59"/>
      <c r="F206" s="27"/>
      <c r="G206" s="28" t="str">
        <f t="shared" si="45"/>
        <v/>
      </c>
      <c r="H206" s="26"/>
      <c r="I206" s="26"/>
      <c r="J206" s="26"/>
      <c r="K206" s="29"/>
      <c r="L206" s="29"/>
      <c r="M206" s="30" t="str">
        <f t="shared" ca="1" si="46"/>
        <v/>
      </c>
      <c r="N206" s="46"/>
      <c r="O206" s="47"/>
    </row>
    <row r="207" spans="1:15" ht="15" customHeight="1" x14ac:dyDescent="0.25">
      <c r="A207" s="70">
        <v>46211</v>
      </c>
      <c r="B207" s="32">
        <f t="shared" si="47"/>
        <v>0.95833333333333293</v>
      </c>
      <c r="C207" s="26"/>
      <c r="D207" s="59"/>
      <c r="E207" s="59"/>
      <c r="F207" s="27"/>
      <c r="G207" s="34" t="str">
        <f t="shared" si="45"/>
        <v/>
      </c>
      <c r="H207" s="33"/>
      <c r="I207" s="33"/>
      <c r="J207" s="33"/>
      <c r="K207" s="29"/>
      <c r="L207" s="29"/>
      <c r="M207" s="35" t="str">
        <f t="shared" ca="1" si="46"/>
        <v/>
      </c>
      <c r="N207" s="46"/>
      <c r="O207" s="47"/>
    </row>
    <row r="208" spans="1:15" ht="15" customHeight="1" x14ac:dyDescent="0.25">
      <c r="A208" s="69">
        <v>46211</v>
      </c>
      <c r="B208" s="25">
        <f t="shared" si="47"/>
        <v>0.99999999999999956</v>
      </c>
      <c r="C208" s="26"/>
      <c r="D208" s="59"/>
      <c r="E208" s="59"/>
      <c r="F208" s="27"/>
      <c r="G208" s="28" t="str">
        <f t="shared" si="45"/>
        <v/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 x14ac:dyDescent="0.25">
      <c r="A209" s="70">
        <v>46211</v>
      </c>
      <c r="B209" s="32">
        <f t="shared" si="47"/>
        <v>1.0416666666666663</v>
      </c>
      <c r="C209" s="26"/>
      <c r="D209" s="59"/>
      <c r="E209" s="59"/>
      <c r="F209" s="27"/>
      <c r="G209" s="34" t="str">
        <f t="shared" si="45"/>
        <v/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 x14ac:dyDescent="0.25">
      <c r="A210" s="69">
        <v>46211</v>
      </c>
      <c r="B210" s="25">
        <f t="shared" si="47"/>
        <v>1.083333333333333</v>
      </c>
      <c r="C210" s="26"/>
      <c r="D210" s="59"/>
      <c r="E210" s="59"/>
      <c r="F210" s="27"/>
      <c r="G210" s="28" t="str">
        <f t="shared" si="45"/>
        <v/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 x14ac:dyDescent="0.25">
      <c r="A211" s="70">
        <v>46211</v>
      </c>
      <c r="B211" s="32">
        <f t="shared" si="47"/>
        <v>1.1249999999999998</v>
      </c>
      <c r="C211" s="26"/>
      <c r="D211" s="59"/>
      <c r="E211" s="59"/>
      <c r="F211" s="27"/>
      <c r="G211" s="34" t="str">
        <f t="shared" si="45"/>
        <v/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 x14ac:dyDescent="0.25">
      <c r="A212" s="69">
        <v>46211</v>
      </c>
      <c r="B212" s="25">
        <f t="shared" si="47"/>
        <v>1.1666666666666665</v>
      </c>
      <c r="C212" s="26"/>
      <c r="D212" s="59"/>
      <c r="E212" s="59"/>
      <c r="F212" s="27"/>
      <c r="G212" s="28" t="str">
        <f t="shared" si="45"/>
        <v/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 x14ac:dyDescent="0.25">
      <c r="A213" s="70">
        <v>46211</v>
      </c>
      <c r="B213" s="32">
        <f t="shared" si="47"/>
        <v>1.2083333333333333</v>
      </c>
      <c r="C213" s="26"/>
      <c r="D213" s="59"/>
      <c r="E213" s="59"/>
      <c r="F213" s="27"/>
      <c r="G213" s="34" t="str">
        <f t="shared" si="45"/>
        <v/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 x14ac:dyDescent="0.25">
      <c r="A214" s="69">
        <v>46211</v>
      </c>
      <c r="B214" s="25">
        <f t="shared" si="47"/>
        <v>1.25</v>
      </c>
      <c r="C214" s="26"/>
      <c r="D214" s="59"/>
      <c r="E214" s="59"/>
      <c r="F214" s="27"/>
      <c r="G214" s="28" t="str">
        <f t="shared" si="45"/>
        <v/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 x14ac:dyDescent="0.25">
      <c r="A215" s="70">
        <v>46211</v>
      </c>
      <c r="B215" s="32">
        <f t="shared" si="47"/>
        <v>1.2916666666666667</v>
      </c>
      <c r="C215" s="26"/>
      <c r="D215" s="59"/>
      <c r="E215" s="59"/>
      <c r="F215" s="27"/>
      <c r="G215" s="34" t="str">
        <f t="shared" si="45"/>
        <v/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 x14ac:dyDescent="0.25">
      <c r="A216" s="79" t="s">
        <v>192</v>
      </c>
      <c r="B216" s="80"/>
      <c r="C216" s="80"/>
      <c r="D216" s="80"/>
      <c r="E216" s="81">
        <f>SUM(E204:E215)</f>
        <v>0</v>
      </c>
      <c r="F216" s="36">
        <f>SUM(F204:F215)</f>
        <v>0</v>
      </c>
      <c r="G216" s="36">
        <f>SUM(G204:G215)</f>
        <v>0</v>
      </c>
      <c r="H216" s="37"/>
      <c r="I216" s="37"/>
      <c r="J216" s="37"/>
      <c r="K216" s="37"/>
      <c r="L216" s="37"/>
      <c r="M216" s="38">
        <f ca="1">IFERROR(SUM(M204:M215),"")</f>
        <v>0</v>
      </c>
      <c r="N216" s="36" t="s">
        <v>191</v>
      </c>
      <c r="O216" s="45"/>
    </row>
    <row r="217" spans="1:15" ht="18" customHeight="1" x14ac:dyDescent="0.25">
      <c r="A217" s="82" t="s">
        <v>193</v>
      </c>
      <c r="B217" s="83"/>
      <c r="C217" s="83"/>
      <c r="D217" s="83"/>
      <c r="E217" s="84">
        <f>E203+E216</f>
        <v>0</v>
      </c>
      <c r="F217" s="40">
        <f>F203+F216</f>
        <v>0</v>
      </c>
      <c r="G217" s="40">
        <f>G203+G216</f>
        <v>0</v>
      </c>
      <c r="H217" s="41"/>
      <c r="I217" s="41"/>
      <c r="J217" s="41"/>
      <c r="K217" s="41"/>
      <c r="L217" s="41"/>
      <c r="M217" s="42">
        <f ca="1">IFERROR(M203+M216,"")</f>
        <v>0</v>
      </c>
      <c r="N217" s="40" t="s">
        <v>194</v>
      </c>
      <c r="O217" s="48">
        <f>IFERROR(O203+O216,"")</f>
        <v>0</v>
      </c>
    </row>
    <row r="218" spans="1:15" ht="15" customHeight="1" x14ac:dyDescent="0.25">
      <c r="A218" s="69">
        <v>46212</v>
      </c>
      <c r="B218" s="25">
        <v>0.33333333333333298</v>
      </c>
      <c r="C218" s="26"/>
      <c r="D218" s="59"/>
      <c r="E218" s="59"/>
      <c r="F218" s="27"/>
      <c r="G218" s="28" t="str">
        <f t="shared" ref="G218:G229" si="48">IF(F218="","",IF(E218="PC 17",F218*4.2,IF(E218="PC 19",F218*5,"")))</f>
        <v/>
      </c>
      <c r="H218" s="26"/>
      <c r="I218" s="26"/>
      <c r="J218" s="26"/>
      <c r="K218" s="29"/>
      <c r="L218" s="29"/>
      <c r="M218" s="30" t="str">
        <f t="shared" ref="M218:M229" ca="1" si="49">IFERROR(IF(K218="","",IF(L218="",MOD(NOW()-K218,1),IF(L218&gt;=K218,L218-K218,L218+1-K218))),"")</f>
        <v/>
      </c>
      <c r="N218" s="46"/>
      <c r="O218" s="47"/>
    </row>
    <row r="219" spans="1:15" ht="15" customHeight="1" x14ac:dyDescent="0.25">
      <c r="A219" s="70">
        <v>46212</v>
      </c>
      <c r="B219" s="32">
        <f t="shared" ref="B219:B229" si="50">B218+TIME(0,60,0)</f>
        <v>0.37499999999999967</v>
      </c>
      <c r="C219" s="26"/>
      <c r="D219" s="59"/>
      <c r="E219" s="59"/>
      <c r="F219" s="27"/>
      <c r="G219" s="34" t="str">
        <f t="shared" si="48"/>
        <v/>
      </c>
      <c r="H219" s="33"/>
      <c r="I219" s="33"/>
      <c r="J219" s="33"/>
      <c r="K219" s="29"/>
      <c r="L219" s="29"/>
      <c r="M219" s="35" t="str">
        <f t="shared" ca="1" si="49"/>
        <v/>
      </c>
      <c r="N219" s="46"/>
      <c r="O219" s="47"/>
    </row>
    <row r="220" spans="1:15" ht="15" customHeight="1" x14ac:dyDescent="0.25">
      <c r="A220" s="69">
        <v>46212</v>
      </c>
      <c r="B220" s="25">
        <f t="shared" si="50"/>
        <v>0.41666666666666635</v>
      </c>
      <c r="C220" s="26"/>
      <c r="D220" s="59"/>
      <c r="E220" s="59"/>
      <c r="F220" s="27"/>
      <c r="G220" s="28" t="str">
        <f t="shared" si="48"/>
        <v/>
      </c>
      <c r="H220" s="26"/>
      <c r="I220" s="26"/>
      <c r="J220" s="26"/>
      <c r="K220" s="29"/>
      <c r="L220" s="29"/>
      <c r="M220" s="30" t="str">
        <f t="shared" ca="1" si="49"/>
        <v/>
      </c>
      <c r="N220" s="46"/>
      <c r="O220" s="47"/>
    </row>
    <row r="221" spans="1:15" ht="15" customHeight="1" x14ac:dyDescent="0.25">
      <c r="A221" s="70">
        <v>46212</v>
      </c>
      <c r="B221" s="32">
        <f t="shared" si="50"/>
        <v>0.45833333333333304</v>
      </c>
      <c r="C221" s="26"/>
      <c r="D221" s="59"/>
      <c r="E221" s="59"/>
      <c r="F221" s="27"/>
      <c r="G221" s="34" t="str">
        <f t="shared" si="48"/>
        <v/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 x14ac:dyDescent="0.25">
      <c r="A222" s="69">
        <v>46212</v>
      </c>
      <c r="B222" s="25">
        <f t="shared" si="50"/>
        <v>0.49999999999999972</v>
      </c>
      <c r="C222" s="26"/>
      <c r="D222" s="59"/>
      <c r="E222" s="59"/>
      <c r="F222" s="27"/>
      <c r="G222" s="28" t="str">
        <f t="shared" si="48"/>
        <v/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 x14ac:dyDescent="0.25">
      <c r="A223" s="70">
        <v>46212</v>
      </c>
      <c r="B223" s="32">
        <f t="shared" si="50"/>
        <v>0.54166666666666641</v>
      </c>
      <c r="C223" s="26"/>
      <c r="D223" s="59"/>
      <c r="E223" s="59"/>
      <c r="F223" s="27"/>
      <c r="G223" s="34" t="str">
        <f t="shared" si="48"/>
        <v/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 x14ac:dyDescent="0.25">
      <c r="A224" s="69">
        <v>46212</v>
      </c>
      <c r="B224" s="25">
        <f t="shared" si="50"/>
        <v>0.58333333333333304</v>
      </c>
      <c r="C224" s="26"/>
      <c r="D224" s="59"/>
      <c r="E224" s="59"/>
      <c r="F224" s="27"/>
      <c r="G224" s="28" t="str">
        <f t="shared" si="48"/>
        <v/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 x14ac:dyDescent="0.25">
      <c r="A225" s="70">
        <v>46212</v>
      </c>
      <c r="B225" s="32">
        <f t="shared" si="50"/>
        <v>0.62499999999999967</v>
      </c>
      <c r="C225" s="26"/>
      <c r="D225" s="59"/>
      <c r="E225" s="59"/>
      <c r="F225" s="27"/>
      <c r="G225" s="34" t="str">
        <f t="shared" si="48"/>
        <v/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 x14ac:dyDescent="0.25">
      <c r="A226" s="69">
        <v>46212</v>
      </c>
      <c r="B226" s="25">
        <f t="shared" si="50"/>
        <v>0.6666666666666663</v>
      </c>
      <c r="C226" s="26"/>
      <c r="D226" s="59"/>
      <c r="E226" s="59"/>
      <c r="F226" s="27"/>
      <c r="G226" s="28" t="str">
        <f t="shared" si="48"/>
        <v/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 x14ac:dyDescent="0.25">
      <c r="A227" s="70">
        <v>46212</v>
      </c>
      <c r="B227" s="32">
        <f t="shared" si="50"/>
        <v>0.70833333333333293</v>
      </c>
      <c r="C227" s="26"/>
      <c r="D227" s="59"/>
      <c r="E227" s="59"/>
      <c r="F227" s="27"/>
      <c r="G227" s="34" t="str">
        <f t="shared" si="48"/>
        <v/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 x14ac:dyDescent="0.25">
      <c r="A228" s="69">
        <v>46212</v>
      </c>
      <c r="B228" s="25">
        <f t="shared" si="50"/>
        <v>0.74999999999999956</v>
      </c>
      <c r="C228" s="26"/>
      <c r="D228" s="59"/>
      <c r="E228" s="59"/>
      <c r="F228" s="27"/>
      <c r="G228" s="28" t="str">
        <f t="shared" si="48"/>
        <v/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 x14ac:dyDescent="0.25">
      <c r="A229" s="70">
        <v>46212</v>
      </c>
      <c r="B229" s="32">
        <f t="shared" si="50"/>
        <v>0.79166666666666619</v>
      </c>
      <c r="C229" s="26"/>
      <c r="D229" s="59"/>
      <c r="E229" s="59"/>
      <c r="F229" s="27"/>
      <c r="G229" s="34" t="str">
        <f t="shared" si="48"/>
        <v/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 x14ac:dyDescent="0.25">
      <c r="A230" s="79" t="s">
        <v>190</v>
      </c>
      <c r="B230" s="80"/>
      <c r="C230" s="80"/>
      <c r="D230" s="80"/>
      <c r="E230" s="81">
        <f>SUM(E218:E229)</f>
        <v>0</v>
      </c>
      <c r="F230" s="36">
        <f>SUM(F218:F229)</f>
        <v>0</v>
      </c>
      <c r="G230" s="36">
        <f>SUM(G218:G229)</f>
        <v>0</v>
      </c>
      <c r="H230" s="37"/>
      <c r="I230" s="37"/>
      <c r="J230" s="37"/>
      <c r="K230" s="37"/>
      <c r="L230" s="37"/>
      <c r="M230" s="38">
        <f ca="1">IFERROR(SUM(M218:M229),"")</f>
        <v>0</v>
      </c>
      <c r="N230" s="36" t="s">
        <v>191</v>
      </c>
      <c r="O230" s="39"/>
    </row>
    <row r="231" spans="1:15" ht="15" customHeight="1" x14ac:dyDescent="0.25">
      <c r="A231" s="70">
        <v>46212</v>
      </c>
      <c r="B231" s="32">
        <v>0.83333333333333304</v>
      </c>
      <c r="C231" s="33"/>
      <c r="D231" s="62"/>
      <c r="E231" s="62"/>
      <c r="F231" s="27"/>
      <c r="G231" s="34" t="str">
        <f t="shared" ref="G231:G242" si="51">IF(F231="","",IF(E231="PC 17",F231*4.2,IF(E231="PC 19",F231*5,"")))</f>
        <v/>
      </c>
      <c r="H231" s="33"/>
      <c r="I231" s="33"/>
      <c r="J231" s="33"/>
      <c r="K231" s="29"/>
      <c r="L231" s="29"/>
      <c r="M231" s="35" t="str">
        <f t="shared" ref="M231:M242" ca="1" si="52">IFERROR(IF(K231="","",IF(L231="",MOD(NOW()-K231,1),IF(L231&gt;=K231,L231-K231,L231+1-K231))),"")</f>
        <v/>
      </c>
      <c r="N231" s="46"/>
      <c r="O231" s="47"/>
    </row>
    <row r="232" spans="1:15" ht="15" customHeight="1" x14ac:dyDescent="0.25">
      <c r="A232" s="69">
        <v>46212</v>
      </c>
      <c r="B232" s="25">
        <f t="shared" ref="B232:B242" si="53">B231+TIME(0,60,0)</f>
        <v>0.87499999999999967</v>
      </c>
      <c r="C232" s="33"/>
      <c r="D232" s="62"/>
      <c r="E232" s="62"/>
      <c r="F232" s="27"/>
      <c r="G232" s="28" t="str">
        <f t="shared" si="51"/>
        <v/>
      </c>
      <c r="H232" s="26"/>
      <c r="I232" s="26"/>
      <c r="J232" s="26"/>
      <c r="K232" s="29"/>
      <c r="L232" s="29"/>
      <c r="M232" s="30" t="str">
        <f t="shared" ca="1" si="52"/>
        <v/>
      </c>
      <c r="N232" s="46"/>
      <c r="O232" s="47"/>
    </row>
    <row r="233" spans="1:15" ht="15" customHeight="1" x14ac:dyDescent="0.25">
      <c r="A233" s="70">
        <v>46212</v>
      </c>
      <c r="B233" s="32">
        <f t="shared" si="53"/>
        <v>0.9166666666666663</v>
      </c>
      <c r="C233" s="33"/>
      <c r="D233" s="62"/>
      <c r="E233" s="62"/>
      <c r="F233" s="27"/>
      <c r="G233" s="34" t="str">
        <f t="shared" si="51"/>
        <v/>
      </c>
      <c r="H233" s="33"/>
      <c r="I233" s="33"/>
      <c r="J233" s="33"/>
      <c r="K233" s="29"/>
      <c r="L233" s="29"/>
      <c r="M233" s="35" t="str">
        <f t="shared" ca="1" si="52"/>
        <v/>
      </c>
      <c r="N233" s="46"/>
      <c r="O233" s="47"/>
    </row>
    <row r="234" spans="1:15" ht="15" customHeight="1" x14ac:dyDescent="0.25">
      <c r="A234" s="69">
        <v>46212</v>
      </c>
      <c r="B234" s="25">
        <f t="shared" si="53"/>
        <v>0.95833333333333293</v>
      </c>
      <c r="C234" s="33"/>
      <c r="D234" s="62"/>
      <c r="E234" s="62"/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46"/>
      <c r="O234" s="47"/>
    </row>
    <row r="235" spans="1:15" ht="15" customHeight="1" x14ac:dyDescent="0.25">
      <c r="A235" s="70">
        <v>46212</v>
      </c>
      <c r="B235" s="32">
        <f t="shared" si="53"/>
        <v>0.99999999999999956</v>
      </c>
      <c r="C235" s="33"/>
      <c r="D235" s="62"/>
      <c r="E235" s="62"/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46"/>
      <c r="O235" s="47"/>
    </row>
    <row r="236" spans="1:15" ht="15" customHeight="1" x14ac:dyDescent="0.25">
      <c r="A236" s="69">
        <v>46212</v>
      </c>
      <c r="B236" s="25">
        <f t="shared" si="53"/>
        <v>1.0416666666666663</v>
      </c>
      <c r="C236" s="33"/>
      <c r="D236" s="62"/>
      <c r="E236" s="62"/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 x14ac:dyDescent="0.25">
      <c r="A237" s="70">
        <v>46212</v>
      </c>
      <c r="B237" s="32">
        <f t="shared" si="53"/>
        <v>1.083333333333333</v>
      </c>
      <c r="C237" s="33"/>
      <c r="D237" s="62"/>
      <c r="E237" s="62"/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 x14ac:dyDescent="0.25">
      <c r="A238" s="69">
        <v>46212</v>
      </c>
      <c r="B238" s="25">
        <f t="shared" si="53"/>
        <v>1.1249999999999998</v>
      </c>
      <c r="C238" s="33"/>
      <c r="D238" s="62"/>
      <c r="E238" s="62"/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 x14ac:dyDescent="0.25">
      <c r="A239" s="70">
        <v>46212</v>
      </c>
      <c r="B239" s="32">
        <f t="shared" si="53"/>
        <v>1.1666666666666665</v>
      </c>
      <c r="C239" s="33"/>
      <c r="D239" s="62"/>
      <c r="E239" s="62"/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 x14ac:dyDescent="0.25">
      <c r="A240" s="69">
        <v>46212</v>
      </c>
      <c r="B240" s="25">
        <f t="shared" si="53"/>
        <v>1.2083333333333333</v>
      </c>
      <c r="C240" s="33"/>
      <c r="D240" s="62"/>
      <c r="E240" s="62"/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 x14ac:dyDescent="0.25">
      <c r="A241" s="70">
        <v>46212</v>
      </c>
      <c r="B241" s="32">
        <f t="shared" si="53"/>
        <v>1.25</v>
      </c>
      <c r="C241" s="33"/>
      <c r="D241" s="62"/>
      <c r="E241" s="62"/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 x14ac:dyDescent="0.25">
      <c r="A242" s="69">
        <v>46212</v>
      </c>
      <c r="B242" s="25">
        <f t="shared" si="53"/>
        <v>1.2916666666666667</v>
      </c>
      <c r="C242" s="33"/>
      <c r="D242" s="62"/>
      <c r="E242" s="62"/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 x14ac:dyDescent="0.25">
      <c r="A243" s="79" t="s">
        <v>192</v>
      </c>
      <c r="B243" s="80"/>
      <c r="C243" s="80"/>
      <c r="D243" s="80"/>
      <c r="E243" s="81">
        <f>SUM(E231:E242)</f>
        <v>0</v>
      </c>
      <c r="F243" s="36">
        <f>SUM(F231:F242)</f>
        <v>0</v>
      </c>
      <c r="G243" s="36">
        <f>SUM(G231:G242)</f>
        <v>0</v>
      </c>
      <c r="H243" s="37"/>
      <c r="I243" s="37"/>
      <c r="J243" s="37"/>
      <c r="K243" s="37"/>
      <c r="L243" s="37"/>
      <c r="M243" s="38">
        <f ca="1">IFERROR(SUM(M231:M242),"")</f>
        <v>0</v>
      </c>
      <c r="N243" s="36" t="s">
        <v>191</v>
      </c>
      <c r="O243" s="39"/>
    </row>
    <row r="244" spans="1:15" ht="18" customHeight="1" x14ac:dyDescent="0.25">
      <c r="A244" s="82" t="s">
        <v>193</v>
      </c>
      <c r="B244" s="83"/>
      <c r="C244" s="83"/>
      <c r="D244" s="83"/>
      <c r="E244" s="84">
        <f>E230+E243</f>
        <v>0</v>
      </c>
      <c r="F244" s="40">
        <f>F230+F243</f>
        <v>0</v>
      </c>
      <c r="G244" s="40">
        <f>G230+G243</f>
        <v>0</v>
      </c>
      <c r="H244" s="41"/>
      <c r="I244" s="41"/>
      <c r="J244" s="41"/>
      <c r="K244" s="41"/>
      <c r="L244" s="41"/>
      <c r="M244" s="42">
        <f ca="1">IFERROR(M230+M243,"")</f>
        <v>0</v>
      </c>
      <c r="N244" s="40" t="s">
        <v>194</v>
      </c>
      <c r="O244" s="48">
        <f>IFERROR(O230+O243,"")</f>
        <v>0</v>
      </c>
    </row>
    <row r="245" spans="1:15" ht="15" customHeight="1" x14ac:dyDescent="0.25">
      <c r="A245" s="69">
        <v>46213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19",F245*5,"")))</f>
        <v/>
      </c>
      <c r="H245" s="33"/>
      <c r="I245" s="33"/>
      <c r="J245" s="33"/>
      <c r="K245" s="29"/>
      <c r="L245" s="29"/>
      <c r="M245" s="35" t="str">
        <f t="shared" ref="M245:M256" ca="1" si="55">IFERROR(IF(K245="","",IF(L245="",MOD(NOW()-K245,1),IF(L245&gt;=K245,L245-K245,L245+1-K245))),"")</f>
        <v/>
      </c>
      <c r="N245" s="46"/>
      <c r="O245" s="47"/>
    </row>
    <row r="246" spans="1:15" ht="15" customHeight="1" x14ac:dyDescent="0.25">
      <c r="A246" s="70">
        <v>46213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 x14ac:dyDescent="0.25">
      <c r="A247" s="69">
        <v>46213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 x14ac:dyDescent="0.25">
      <c r="A248" s="70">
        <v>46213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 x14ac:dyDescent="0.25">
      <c r="A249" s="69">
        <v>46213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 x14ac:dyDescent="0.25">
      <c r="A250" s="70">
        <v>46213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 x14ac:dyDescent="0.25">
      <c r="A251" s="69">
        <v>46213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 x14ac:dyDescent="0.25">
      <c r="A252" s="70">
        <v>46213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 x14ac:dyDescent="0.25">
      <c r="A253" s="69">
        <v>46213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 x14ac:dyDescent="0.25">
      <c r="A254" s="70">
        <v>46213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 x14ac:dyDescent="0.25">
      <c r="A255" s="69">
        <v>46213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 x14ac:dyDescent="0.25">
      <c r="A256" s="70">
        <v>46213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 x14ac:dyDescent="0.25">
      <c r="A257" s="79" t="s">
        <v>190</v>
      </c>
      <c r="B257" s="80"/>
      <c r="C257" s="80"/>
      <c r="D257" s="80"/>
      <c r="E257" s="81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37"/>
      <c r="L257" s="37"/>
      <c r="M257" s="38">
        <f ca="1">IFERROR(SUM(M245:M256),"")</f>
        <v>0</v>
      </c>
      <c r="N257" s="36" t="s">
        <v>191</v>
      </c>
      <c r="O257" s="39"/>
    </row>
    <row r="258" spans="1:15" ht="15" customHeight="1" x14ac:dyDescent="0.25">
      <c r="A258" s="70">
        <v>46213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19",F258*5,"")))</f>
        <v/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46"/>
      <c r="O258" s="47"/>
    </row>
    <row r="259" spans="1:15" ht="15" customHeight="1" x14ac:dyDescent="0.25">
      <c r="A259" s="69">
        <v>46213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5" t="str">
        <f t="shared" ca="1" si="58"/>
        <v/>
      </c>
      <c r="N259" s="46"/>
      <c r="O259" s="47"/>
    </row>
    <row r="260" spans="1:15" ht="15" customHeight="1" x14ac:dyDescent="0.25">
      <c r="A260" s="70">
        <v>46213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 x14ac:dyDescent="0.25">
      <c r="A261" s="69">
        <v>46213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5" t="str">
        <f t="shared" ca="1" si="58"/>
        <v/>
      </c>
      <c r="N261" s="46"/>
      <c r="O261" s="47"/>
    </row>
    <row r="262" spans="1:15" ht="15" customHeight="1" x14ac:dyDescent="0.25">
      <c r="A262" s="70">
        <v>46213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 x14ac:dyDescent="0.25">
      <c r="A263" s="69">
        <v>46213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 x14ac:dyDescent="0.25">
      <c r="A264" s="70">
        <v>46213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 x14ac:dyDescent="0.25">
      <c r="A265" s="69">
        <v>46213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 x14ac:dyDescent="0.25">
      <c r="A266" s="70">
        <v>46213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 x14ac:dyDescent="0.25">
      <c r="A267" s="69">
        <v>46213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 x14ac:dyDescent="0.25">
      <c r="A268" s="70">
        <v>46213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 x14ac:dyDescent="0.25">
      <c r="A269" s="69">
        <v>46213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 x14ac:dyDescent="0.25">
      <c r="A270" s="79" t="s">
        <v>192</v>
      </c>
      <c r="B270" s="80"/>
      <c r="C270" s="80"/>
      <c r="D270" s="80"/>
      <c r="E270" s="81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191</v>
      </c>
      <c r="O270" s="39"/>
    </row>
    <row r="271" spans="1:15" ht="18" customHeight="1" x14ac:dyDescent="0.25">
      <c r="A271" s="82" t="s">
        <v>193</v>
      </c>
      <c r="B271" s="83"/>
      <c r="C271" s="83"/>
      <c r="D271" s="83"/>
      <c r="E271" s="84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41"/>
      <c r="L271" s="41"/>
      <c r="M271" s="42">
        <f ca="1">IFERROR(M257+M270,"")</f>
        <v>0</v>
      </c>
      <c r="N271" s="40" t="s">
        <v>194</v>
      </c>
      <c r="O271" s="48">
        <f>IFERROR(O257+O270,"")</f>
        <v>0</v>
      </c>
    </row>
    <row r="272" spans="1:15" ht="15" customHeight="1" x14ac:dyDescent="0.25">
      <c r="A272" s="69">
        <v>46214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19",F272*5,"")))</f>
        <v/>
      </c>
      <c r="H272" s="26"/>
      <c r="I272" s="26"/>
      <c r="J272" s="26"/>
      <c r="K272" s="29"/>
      <c r="L272" s="29"/>
      <c r="M272" s="30" t="str">
        <f t="shared" ref="M272:M283" ca="1" si="61">IFERROR(IF(K272="","",IF(L272="",MOD(NOW()-K272,1),IF(L272&gt;=K272,L272-K272,L272+1-K272))),"")</f>
        <v/>
      </c>
      <c r="N272" s="46"/>
      <c r="O272" s="47"/>
    </row>
    <row r="273" spans="1:15" ht="15" customHeight="1" x14ac:dyDescent="0.25">
      <c r="A273" s="70">
        <v>46214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46"/>
      <c r="O273" s="47"/>
    </row>
    <row r="274" spans="1:15" ht="15" customHeight="1" x14ac:dyDescent="0.25">
      <c r="A274" s="69">
        <v>46214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46"/>
      <c r="O274" s="47"/>
    </row>
    <row r="275" spans="1:15" ht="15" customHeight="1" x14ac:dyDescent="0.25">
      <c r="A275" s="70">
        <v>46214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 x14ac:dyDescent="0.25">
      <c r="A276" s="69">
        <v>46214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 x14ac:dyDescent="0.25">
      <c r="A277" s="70">
        <v>46214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 x14ac:dyDescent="0.25">
      <c r="A278" s="69">
        <v>46214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 x14ac:dyDescent="0.25">
      <c r="A279" s="70">
        <v>46214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 x14ac:dyDescent="0.25">
      <c r="A280" s="69">
        <v>46214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 x14ac:dyDescent="0.25">
      <c r="A281" s="70">
        <v>46214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 x14ac:dyDescent="0.25">
      <c r="A282" s="69">
        <v>46214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 x14ac:dyDescent="0.25">
      <c r="A283" s="70">
        <v>46214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 x14ac:dyDescent="0.25">
      <c r="A284" s="79" t="s">
        <v>190</v>
      </c>
      <c r="B284" s="80"/>
      <c r="C284" s="80"/>
      <c r="D284" s="80"/>
      <c r="E284" s="81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37"/>
      <c r="L284" s="37"/>
      <c r="M284" s="38">
        <f ca="1">IFERROR(SUM(M272:M283),"")</f>
        <v>0</v>
      </c>
      <c r="N284" s="36" t="s">
        <v>191</v>
      </c>
      <c r="O284" s="39"/>
    </row>
    <row r="285" spans="1:15" ht="15" customHeight="1" x14ac:dyDescent="0.25">
      <c r="A285" s="70">
        <v>46214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19",F285*5,"")))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46"/>
      <c r="O285" s="47"/>
    </row>
    <row r="286" spans="1:15" ht="15" customHeight="1" x14ac:dyDescent="0.25">
      <c r="A286" s="69">
        <v>46214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30" t="str">
        <f t="shared" ca="1" si="64"/>
        <v/>
      </c>
      <c r="N286" s="46"/>
      <c r="O286" s="47"/>
    </row>
    <row r="287" spans="1:15" ht="15" customHeight="1" x14ac:dyDescent="0.25">
      <c r="A287" s="70">
        <v>46214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35" t="str">
        <f t="shared" ca="1" si="64"/>
        <v/>
      </c>
      <c r="N287" s="46"/>
      <c r="O287" s="47"/>
    </row>
    <row r="288" spans="1:15" ht="15" customHeight="1" x14ac:dyDescent="0.25">
      <c r="A288" s="69">
        <v>46214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30" t="str">
        <f t="shared" ca="1" si="64"/>
        <v/>
      </c>
      <c r="N288" s="46"/>
      <c r="O288" s="47"/>
    </row>
    <row r="289" spans="1:15" ht="15" customHeight="1" x14ac:dyDescent="0.25">
      <c r="A289" s="70">
        <v>46214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46"/>
      <c r="O289" s="47"/>
    </row>
    <row r="290" spans="1:15" ht="15" customHeight="1" x14ac:dyDescent="0.25">
      <c r="A290" s="69">
        <v>46214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30" t="str">
        <f t="shared" ca="1" si="64"/>
        <v/>
      </c>
      <c r="N290" s="46"/>
      <c r="O290" s="47"/>
    </row>
    <row r="291" spans="1:15" ht="15" customHeight="1" x14ac:dyDescent="0.25">
      <c r="A291" s="70">
        <v>46214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46"/>
      <c r="O291" s="47"/>
    </row>
    <row r="292" spans="1:15" ht="15" customHeight="1" x14ac:dyDescent="0.25">
      <c r="A292" s="69">
        <v>46214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30" t="str">
        <f t="shared" ca="1" si="64"/>
        <v/>
      </c>
      <c r="N292" s="46"/>
      <c r="O292" s="47"/>
    </row>
    <row r="293" spans="1:15" ht="15" customHeight="1" x14ac:dyDescent="0.25">
      <c r="A293" s="70">
        <v>46214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46"/>
      <c r="O293" s="47"/>
    </row>
    <row r="294" spans="1:15" ht="15" customHeight="1" x14ac:dyDescent="0.25">
      <c r="A294" s="69">
        <v>46214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30" t="str">
        <f t="shared" ca="1" si="64"/>
        <v/>
      </c>
      <c r="N294" s="46"/>
      <c r="O294" s="47"/>
    </row>
    <row r="295" spans="1:15" ht="15" customHeight="1" x14ac:dyDescent="0.25">
      <c r="A295" s="70">
        <v>46214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46"/>
      <c r="O295" s="47"/>
    </row>
    <row r="296" spans="1:15" ht="15" customHeight="1" x14ac:dyDescent="0.25">
      <c r="A296" s="69">
        <v>46214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46"/>
      <c r="O296" s="47"/>
    </row>
    <row r="297" spans="1:15" ht="15.75" customHeight="1" x14ac:dyDescent="0.25">
      <c r="A297" s="79" t="s">
        <v>192</v>
      </c>
      <c r="B297" s="80"/>
      <c r="C297" s="80"/>
      <c r="D297" s="80"/>
      <c r="E297" s="81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191</v>
      </c>
      <c r="O297" s="39"/>
    </row>
    <row r="298" spans="1:15" ht="18" customHeight="1" x14ac:dyDescent="0.25">
      <c r="A298" s="82" t="s">
        <v>193</v>
      </c>
      <c r="B298" s="83"/>
      <c r="C298" s="83"/>
      <c r="D298" s="83"/>
      <c r="E298" s="84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41"/>
      <c r="L298" s="41"/>
      <c r="M298" s="42">
        <f ca="1">IFERROR(M284+M297,"")</f>
        <v>0</v>
      </c>
      <c r="N298" s="40" t="s">
        <v>194</v>
      </c>
      <c r="O298" s="48">
        <f>IFERROR(O284+O297,"")</f>
        <v>0</v>
      </c>
    </row>
    <row r="299" spans="1:15" ht="15" customHeight="1" x14ac:dyDescent="0.25">
      <c r="A299" s="70">
        <v>46215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19",F299*5,"")))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46"/>
      <c r="O299" s="47"/>
    </row>
    <row r="300" spans="1:15" ht="15" customHeight="1" x14ac:dyDescent="0.25">
      <c r="A300" s="69">
        <v>46215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46"/>
      <c r="O300" s="47"/>
    </row>
    <row r="301" spans="1:15" ht="15" customHeight="1" x14ac:dyDescent="0.25">
      <c r="A301" s="70">
        <v>46215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29"/>
      <c r="L301" s="29"/>
      <c r="M301" s="35" t="str">
        <f t="shared" ca="1" si="67"/>
        <v/>
      </c>
      <c r="N301" s="46"/>
      <c r="O301" s="47"/>
    </row>
    <row r="302" spans="1:15" ht="15" customHeight="1" x14ac:dyDescent="0.25">
      <c r="A302" s="69">
        <v>46215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46"/>
      <c r="O302" s="47"/>
    </row>
    <row r="303" spans="1:15" ht="15" customHeight="1" x14ac:dyDescent="0.25">
      <c r="A303" s="70">
        <v>46215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46"/>
      <c r="O303" s="47"/>
    </row>
    <row r="304" spans="1:15" ht="15" customHeight="1" x14ac:dyDescent="0.25">
      <c r="A304" s="69">
        <v>46215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46"/>
      <c r="O304" s="47"/>
    </row>
    <row r="305" spans="1:15" ht="15" customHeight="1" x14ac:dyDescent="0.25">
      <c r="A305" s="70">
        <v>46215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 x14ac:dyDescent="0.25">
      <c r="A306" s="69">
        <v>46215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 x14ac:dyDescent="0.25">
      <c r="A307" s="70">
        <v>46215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 x14ac:dyDescent="0.25">
      <c r="A308" s="69">
        <v>46215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 x14ac:dyDescent="0.25">
      <c r="A309" s="70">
        <v>46215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 x14ac:dyDescent="0.25">
      <c r="A310" s="69">
        <v>46215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 x14ac:dyDescent="0.25">
      <c r="A311" s="79" t="s">
        <v>190</v>
      </c>
      <c r="B311" s="80"/>
      <c r="C311" s="80"/>
      <c r="D311" s="80"/>
      <c r="E311" s="81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37"/>
      <c r="L311" s="37"/>
      <c r="M311" s="38">
        <f ca="1">IFERROR(SUM(M299:M310),"")</f>
        <v>0</v>
      </c>
      <c r="N311" s="36" t="s">
        <v>191</v>
      </c>
      <c r="O311" s="39"/>
    </row>
    <row r="312" spans="1:15" ht="15" customHeight="1" x14ac:dyDescent="0.25">
      <c r="A312" s="69">
        <v>46215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19",F312*5,"")))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46"/>
      <c r="O312" s="47"/>
    </row>
    <row r="313" spans="1:15" ht="15" customHeight="1" x14ac:dyDescent="0.25">
      <c r="A313" s="70">
        <v>46215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46"/>
      <c r="O313" s="47"/>
    </row>
    <row r="314" spans="1:15" ht="15" customHeight="1" x14ac:dyDescent="0.25">
      <c r="A314" s="69">
        <v>46215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46"/>
      <c r="O314" s="47"/>
    </row>
    <row r="315" spans="1:15" ht="15" customHeight="1" x14ac:dyDescent="0.25">
      <c r="A315" s="70">
        <v>46215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 x14ac:dyDescent="0.25">
      <c r="A316" s="69">
        <v>46215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46"/>
      <c r="O316" s="47"/>
    </row>
    <row r="317" spans="1:15" ht="15" customHeight="1" x14ac:dyDescent="0.25">
      <c r="A317" s="70">
        <v>46215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46"/>
      <c r="O317" s="47"/>
    </row>
    <row r="318" spans="1:15" ht="15" customHeight="1" x14ac:dyDescent="0.25">
      <c r="A318" s="69">
        <v>46215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46"/>
      <c r="O318" s="47"/>
    </row>
    <row r="319" spans="1:15" ht="15" customHeight="1" x14ac:dyDescent="0.25">
      <c r="A319" s="70">
        <v>46215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 x14ac:dyDescent="0.25">
      <c r="A320" s="69">
        <v>46215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46"/>
      <c r="O320" s="47"/>
    </row>
    <row r="321" spans="1:15" ht="15" customHeight="1" x14ac:dyDescent="0.25">
      <c r="A321" s="70">
        <v>46215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 x14ac:dyDescent="0.25">
      <c r="A322" s="69">
        <v>46215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 x14ac:dyDescent="0.25">
      <c r="A323" s="70">
        <v>46215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 x14ac:dyDescent="0.25">
      <c r="A324" s="79" t="s">
        <v>192</v>
      </c>
      <c r="B324" s="80"/>
      <c r="C324" s="80"/>
      <c r="D324" s="80"/>
      <c r="E324" s="81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191</v>
      </c>
      <c r="O324" s="39"/>
    </row>
    <row r="325" spans="1:15" ht="18" customHeight="1" x14ac:dyDescent="0.25">
      <c r="A325" s="82" t="s">
        <v>193</v>
      </c>
      <c r="B325" s="83"/>
      <c r="C325" s="83"/>
      <c r="D325" s="83"/>
      <c r="E325" s="84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41"/>
      <c r="L325" s="41"/>
      <c r="M325" s="42">
        <f ca="1">IFERROR(M311+M324,"")</f>
        <v>0</v>
      </c>
      <c r="N325" s="40" t="s">
        <v>194</v>
      </c>
      <c r="O325" s="48">
        <f>IFERROR(O311+O324,"")</f>
        <v>0</v>
      </c>
    </row>
    <row r="326" spans="1:15" ht="15" customHeight="1" x14ac:dyDescent="0.25">
      <c r="A326" s="69">
        <v>46216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19",F326*5,"")))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46"/>
      <c r="O326" s="47"/>
    </row>
    <row r="327" spans="1:15" ht="15" customHeight="1" x14ac:dyDescent="0.25">
      <c r="A327" s="70">
        <v>46216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46"/>
      <c r="O327" s="47"/>
    </row>
    <row r="328" spans="1:15" ht="15" customHeight="1" x14ac:dyDescent="0.25">
      <c r="A328" s="69">
        <v>46216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46"/>
      <c r="O328" s="47"/>
    </row>
    <row r="329" spans="1:15" ht="15" customHeight="1" x14ac:dyDescent="0.25">
      <c r="A329" s="70">
        <v>46216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46"/>
      <c r="O329" s="47"/>
    </row>
    <row r="330" spans="1:15" ht="15" customHeight="1" x14ac:dyDescent="0.25">
      <c r="A330" s="69">
        <v>46216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 x14ac:dyDescent="0.25">
      <c r="A331" s="70">
        <v>46216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 x14ac:dyDescent="0.25">
      <c r="A332" s="69">
        <v>46216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 x14ac:dyDescent="0.25">
      <c r="A333" s="70">
        <v>46216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 x14ac:dyDescent="0.25">
      <c r="A334" s="69">
        <v>46216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 x14ac:dyDescent="0.25">
      <c r="A335" s="70">
        <v>46216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 x14ac:dyDescent="0.25">
      <c r="A336" s="69">
        <v>46216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 x14ac:dyDescent="0.25">
      <c r="A337" s="70">
        <v>46216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 x14ac:dyDescent="0.25">
      <c r="A338" s="79" t="s">
        <v>190</v>
      </c>
      <c r="B338" s="80"/>
      <c r="C338" s="80"/>
      <c r="D338" s="80"/>
      <c r="E338" s="81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191</v>
      </c>
      <c r="O338" s="39"/>
    </row>
    <row r="339" spans="1:15" ht="15" customHeight="1" x14ac:dyDescent="0.25">
      <c r="A339" s="70">
        <v>46216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19",F339*5,"")))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46"/>
      <c r="O339" s="47"/>
    </row>
    <row r="340" spans="1:15" ht="15" customHeight="1" x14ac:dyDescent="0.25">
      <c r="A340" s="69">
        <v>46216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46"/>
      <c r="O340" s="47"/>
    </row>
    <row r="341" spans="1:15" ht="15" customHeight="1" x14ac:dyDescent="0.25">
      <c r="A341" s="70">
        <v>46216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46"/>
      <c r="O341" s="47"/>
    </row>
    <row r="342" spans="1:15" ht="15" customHeight="1" x14ac:dyDescent="0.25">
      <c r="A342" s="69">
        <v>46216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46"/>
      <c r="O342" s="47"/>
    </row>
    <row r="343" spans="1:15" ht="15" customHeight="1" x14ac:dyDescent="0.25">
      <c r="A343" s="70">
        <v>46216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 x14ac:dyDescent="0.25">
      <c r="A344" s="69">
        <v>46216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 x14ac:dyDescent="0.25">
      <c r="A345" s="70">
        <v>46216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 x14ac:dyDescent="0.25">
      <c r="A346" s="69">
        <v>46216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 x14ac:dyDescent="0.25">
      <c r="A347" s="70">
        <v>46216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 x14ac:dyDescent="0.25">
      <c r="A348" s="69">
        <v>46216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 x14ac:dyDescent="0.25">
      <c r="A349" s="70">
        <v>46216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 x14ac:dyDescent="0.25">
      <c r="A350" s="69">
        <v>46216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 x14ac:dyDescent="0.25">
      <c r="A351" s="79" t="s">
        <v>192</v>
      </c>
      <c r="B351" s="80"/>
      <c r="C351" s="80"/>
      <c r="D351" s="80"/>
      <c r="E351" s="81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191</v>
      </c>
      <c r="O351" s="39"/>
    </row>
    <row r="352" spans="1:15" ht="18" customHeight="1" x14ac:dyDescent="0.25">
      <c r="A352" s="82" t="s">
        <v>193</v>
      </c>
      <c r="B352" s="83"/>
      <c r="C352" s="83"/>
      <c r="D352" s="83"/>
      <c r="E352" s="84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194</v>
      </c>
      <c r="O352" s="48">
        <f>IFERROR(O338+O351,"")</f>
        <v>0</v>
      </c>
    </row>
    <row r="353" spans="1:15" ht="15" customHeight="1" x14ac:dyDescent="0.25">
      <c r="A353" s="70">
        <v>46217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19",F353*5,"")))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46"/>
      <c r="O353" s="47"/>
    </row>
    <row r="354" spans="1:15" ht="15" customHeight="1" x14ac:dyDescent="0.25">
      <c r="A354" s="69">
        <v>46217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 x14ac:dyDescent="0.25">
      <c r="A355" s="70">
        <v>46217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47"/>
    </row>
    <row r="356" spans="1:15" ht="15" customHeight="1" x14ac:dyDescent="0.25">
      <c r="A356" s="69">
        <v>46217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46"/>
      <c r="O356" s="47"/>
    </row>
    <row r="357" spans="1:15" ht="15" customHeight="1" x14ac:dyDescent="0.25">
      <c r="A357" s="70">
        <v>46217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46"/>
      <c r="O357" s="47"/>
    </row>
    <row r="358" spans="1:15" ht="15" customHeight="1" x14ac:dyDescent="0.25">
      <c r="A358" s="69">
        <v>46217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 x14ac:dyDescent="0.25">
      <c r="A359" s="70">
        <v>46217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 x14ac:dyDescent="0.25">
      <c r="A360" s="69">
        <v>46217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 x14ac:dyDescent="0.25">
      <c r="A361" s="70">
        <v>46217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46"/>
      <c r="O361" s="47"/>
    </row>
    <row r="362" spans="1:15" ht="15" customHeight="1" x14ac:dyDescent="0.25">
      <c r="A362" s="69">
        <v>46217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46"/>
      <c r="O362" s="47"/>
    </row>
    <row r="363" spans="1:15" ht="15" customHeight="1" x14ac:dyDescent="0.25">
      <c r="A363" s="70">
        <v>46217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 x14ac:dyDescent="0.25">
      <c r="A364" s="69">
        <v>46217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 x14ac:dyDescent="0.25">
      <c r="A365" s="79" t="s">
        <v>190</v>
      </c>
      <c r="B365" s="80"/>
      <c r="C365" s="80"/>
      <c r="D365" s="80"/>
      <c r="E365" s="81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191</v>
      </c>
      <c r="O365" s="39"/>
    </row>
    <row r="366" spans="1:15" ht="15" customHeight="1" x14ac:dyDescent="0.25">
      <c r="A366" s="69">
        <v>46217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19",F366*5,"")))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46"/>
      <c r="O366" s="47"/>
    </row>
    <row r="367" spans="1:15" ht="15" customHeight="1" x14ac:dyDescent="0.25">
      <c r="A367" s="70">
        <v>46217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46"/>
      <c r="O367" s="47"/>
    </row>
    <row r="368" spans="1:15" ht="15" customHeight="1" x14ac:dyDescent="0.25">
      <c r="A368" s="69">
        <v>46217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46"/>
      <c r="O368" s="47"/>
    </row>
    <row r="369" spans="1:15" ht="15" customHeight="1" x14ac:dyDescent="0.25">
      <c r="A369" s="70">
        <v>46217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46"/>
      <c r="O369" s="47"/>
    </row>
    <row r="370" spans="1:15" ht="15" customHeight="1" x14ac:dyDescent="0.25">
      <c r="A370" s="69">
        <v>46217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46"/>
      <c r="O370" s="47"/>
    </row>
    <row r="371" spans="1:15" ht="15" customHeight="1" x14ac:dyDescent="0.25">
      <c r="A371" s="70">
        <v>46217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46"/>
      <c r="O371" s="47"/>
    </row>
    <row r="372" spans="1:15" ht="15" customHeight="1" x14ac:dyDescent="0.25">
      <c r="A372" s="69">
        <v>46217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46"/>
      <c r="O372" s="47"/>
    </row>
    <row r="373" spans="1:15" ht="15" customHeight="1" x14ac:dyDescent="0.25">
      <c r="A373" s="70">
        <v>46217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46"/>
      <c r="O373" s="47"/>
    </row>
    <row r="374" spans="1:15" ht="15" customHeight="1" x14ac:dyDescent="0.25">
      <c r="A374" s="69">
        <v>46217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46"/>
      <c r="O374" s="47"/>
    </row>
    <row r="375" spans="1:15" ht="15" customHeight="1" x14ac:dyDescent="0.25">
      <c r="A375" s="70">
        <v>46217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46"/>
      <c r="O375" s="47"/>
    </row>
    <row r="376" spans="1:15" ht="15" customHeight="1" x14ac:dyDescent="0.25">
      <c r="A376" s="69">
        <v>46217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46"/>
      <c r="O376" s="47"/>
    </row>
    <row r="377" spans="1:15" ht="15" customHeight="1" x14ac:dyDescent="0.25">
      <c r="A377" s="70">
        <v>46217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46"/>
      <c r="O377" s="47"/>
    </row>
    <row r="378" spans="1:15" ht="15.75" customHeight="1" x14ac:dyDescent="0.25">
      <c r="A378" s="79" t="s">
        <v>192</v>
      </c>
      <c r="B378" s="80"/>
      <c r="C378" s="80"/>
      <c r="D378" s="80"/>
      <c r="E378" s="81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191</v>
      </c>
      <c r="O378" s="39"/>
    </row>
    <row r="379" spans="1:15" ht="18" customHeight="1" x14ac:dyDescent="0.25">
      <c r="A379" s="82" t="s">
        <v>193</v>
      </c>
      <c r="B379" s="83"/>
      <c r="C379" s="83"/>
      <c r="D379" s="83"/>
      <c r="E379" s="84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194</v>
      </c>
      <c r="O379" s="48">
        <f>IFERROR(O365+O378,"")</f>
        <v>0</v>
      </c>
    </row>
    <row r="380" spans="1:15" ht="15" customHeight="1" x14ac:dyDescent="0.25">
      <c r="A380" s="69">
        <v>46218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19",F380*5,"")))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46"/>
      <c r="O380" s="47"/>
    </row>
    <row r="381" spans="1:15" ht="15" customHeight="1" x14ac:dyDescent="0.25">
      <c r="A381" s="70">
        <v>46218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46"/>
      <c r="O381" s="47"/>
    </row>
    <row r="382" spans="1:15" ht="15" customHeight="1" x14ac:dyDescent="0.25">
      <c r="A382" s="69">
        <v>46218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46"/>
      <c r="O382" s="47"/>
    </row>
    <row r="383" spans="1:15" ht="15" customHeight="1" x14ac:dyDescent="0.25">
      <c r="A383" s="70">
        <v>46218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46"/>
      <c r="O383" s="47"/>
    </row>
    <row r="384" spans="1:15" ht="15" customHeight="1" x14ac:dyDescent="0.25">
      <c r="A384" s="69">
        <v>46218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46"/>
      <c r="O384" s="47"/>
    </row>
    <row r="385" spans="1:15" ht="15" customHeight="1" x14ac:dyDescent="0.25">
      <c r="A385" s="70">
        <v>46218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 x14ac:dyDescent="0.25">
      <c r="A386" s="69">
        <v>46218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 x14ac:dyDescent="0.25">
      <c r="A387" s="70">
        <v>46218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 x14ac:dyDescent="0.25">
      <c r="A388" s="69">
        <v>46218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 x14ac:dyDescent="0.25">
      <c r="A389" s="70">
        <v>46218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 x14ac:dyDescent="0.25">
      <c r="A390" s="69">
        <v>46218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 x14ac:dyDescent="0.25">
      <c r="A391" s="70">
        <v>46218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 x14ac:dyDescent="0.25">
      <c r="A392" s="79" t="s">
        <v>190</v>
      </c>
      <c r="B392" s="80"/>
      <c r="C392" s="80"/>
      <c r="D392" s="80"/>
      <c r="E392" s="81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191</v>
      </c>
      <c r="O392" s="39"/>
    </row>
    <row r="393" spans="1:15" ht="15" customHeight="1" x14ac:dyDescent="0.25">
      <c r="A393" s="70">
        <v>46218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19",F393*5,"")))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46"/>
      <c r="O393" s="47"/>
    </row>
    <row r="394" spans="1:15" ht="15" customHeight="1" x14ac:dyDescent="0.25">
      <c r="A394" s="69">
        <v>46218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46"/>
      <c r="O394" s="47"/>
    </row>
    <row r="395" spans="1:15" ht="15" customHeight="1" x14ac:dyDescent="0.25">
      <c r="A395" s="70">
        <v>46218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46"/>
      <c r="O395" s="47"/>
    </row>
    <row r="396" spans="1:15" ht="15" customHeight="1" x14ac:dyDescent="0.25">
      <c r="A396" s="69">
        <v>46218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 x14ac:dyDescent="0.25">
      <c r="A397" s="70">
        <v>46218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 x14ac:dyDescent="0.25">
      <c r="A398" s="69">
        <v>46218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 x14ac:dyDescent="0.25">
      <c r="A399" s="70">
        <v>46218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 x14ac:dyDescent="0.25">
      <c r="A400" s="69">
        <v>46218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 x14ac:dyDescent="0.25">
      <c r="A401" s="70">
        <v>46218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 x14ac:dyDescent="0.25">
      <c r="A402" s="69">
        <v>46218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 x14ac:dyDescent="0.25">
      <c r="A403" s="70">
        <v>46218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 x14ac:dyDescent="0.25">
      <c r="A404" s="69">
        <v>46218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 x14ac:dyDescent="0.25">
      <c r="A405" s="79" t="s">
        <v>192</v>
      </c>
      <c r="B405" s="80"/>
      <c r="C405" s="80"/>
      <c r="D405" s="80"/>
      <c r="E405" s="81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191</v>
      </c>
      <c r="O405" s="39"/>
    </row>
    <row r="406" spans="1:15" ht="18" customHeight="1" x14ac:dyDescent="0.25">
      <c r="A406" s="82" t="s">
        <v>193</v>
      </c>
      <c r="B406" s="83"/>
      <c r="C406" s="83"/>
      <c r="D406" s="83"/>
      <c r="E406" s="84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194</v>
      </c>
      <c r="O406" s="48">
        <f>IFERROR(O392+O405,"")</f>
        <v>0</v>
      </c>
    </row>
    <row r="407" spans="1:15" ht="15" customHeight="1" x14ac:dyDescent="0.25">
      <c r="A407" s="70">
        <v>46219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19",F407*5,"")))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46"/>
      <c r="O407" s="47"/>
    </row>
    <row r="408" spans="1:15" ht="15" customHeight="1" x14ac:dyDescent="0.25">
      <c r="A408" s="69">
        <v>46219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46"/>
      <c r="O408" s="47"/>
    </row>
    <row r="409" spans="1:15" ht="15" customHeight="1" x14ac:dyDescent="0.25">
      <c r="A409" s="70">
        <v>46219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46"/>
      <c r="O409" s="47"/>
    </row>
    <row r="410" spans="1:15" ht="15" customHeight="1" x14ac:dyDescent="0.25">
      <c r="A410" s="69">
        <v>46219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 x14ac:dyDescent="0.25">
      <c r="A411" s="70">
        <v>46219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 x14ac:dyDescent="0.25">
      <c r="A412" s="69">
        <v>46219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 x14ac:dyDescent="0.25">
      <c r="A413" s="70">
        <v>46219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 x14ac:dyDescent="0.25">
      <c r="A414" s="69">
        <v>46219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 x14ac:dyDescent="0.25">
      <c r="A415" s="70">
        <v>46219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 x14ac:dyDescent="0.25">
      <c r="A416" s="69">
        <v>46219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 x14ac:dyDescent="0.25">
      <c r="A417" s="70">
        <v>46219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 x14ac:dyDescent="0.25">
      <c r="A418" s="69">
        <v>46219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 x14ac:dyDescent="0.25">
      <c r="A419" s="79" t="s">
        <v>190</v>
      </c>
      <c r="B419" s="80"/>
      <c r="C419" s="80"/>
      <c r="D419" s="80"/>
      <c r="E419" s="81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191</v>
      </c>
      <c r="O419" s="39"/>
    </row>
    <row r="420" spans="1:15" ht="15" customHeight="1" x14ac:dyDescent="0.25">
      <c r="A420" s="69">
        <v>46219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19",F420*5,"")))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 x14ac:dyDescent="0.25">
      <c r="A421" s="70">
        <v>46219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 x14ac:dyDescent="0.25">
      <c r="A422" s="69">
        <v>46219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 x14ac:dyDescent="0.25">
      <c r="A423" s="70">
        <v>46219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 x14ac:dyDescent="0.25">
      <c r="A424" s="69">
        <v>46219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 x14ac:dyDescent="0.25">
      <c r="A425" s="70">
        <v>46219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 x14ac:dyDescent="0.25">
      <c r="A426" s="69">
        <v>46219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 x14ac:dyDescent="0.25">
      <c r="A427" s="70">
        <v>46219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 x14ac:dyDescent="0.25">
      <c r="A428" s="69">
        <v>46219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 x14ac:dyDescent="0.25">
      <c r="A429" s="70">
        <v>46219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 x14ac:dyDescent="0.25">
      <c r="A430" s="69">
        <v>46219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 x14ac:dyDescent="0.25">
      <c r="A431" s="70">
        <v>46219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 x14ac:dyDescent="0.25">
      <c r="A432" s="79" t="s">
        <v>192</v>
      </c>
      <c r="B432" s="80"/>
      <c r="C432" s="80"/>
      <c r="D432" s="80"/>
      <c r="E432" s="81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191</v>
      </c>
      <c r="O432" s="39"/>
    </row>
    <row r="433" spans="1:15" ht="18" customHeight="1" x14ac:dyDescent="0.25">
      <c r="A433" s="82" t="s">
        <v>193</v>
      </c>
      <c r="B433" s="83"/>
      <c r="C433" s="83"/>
      <c r="D433" s="83"/>
      <c r="E433" s="84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194</v>
      </c>
      <c r="O433" s="48">
        <f>IFERROR(O419+O432,"")</f>
        <v>0</v>
      </c>
    </row>
    <row r="434" spans="1:15" ht="15" customHeight="1" x14ac:dyDescent="0.25">
      <c r="A434" s="69">
        <v>46220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19",F434*5,"")))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46"/>
      <c r="O434" s="47"/>
    </row>
    <row r="435" spans="1:15" ht="15" customHeight="1" x14ac:dyDescent="0.25">
      <c r="A435" s="70">
        <v>46220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46"/>
      <c r="O435" s="47"/>
    </row>
    <row r="436" spans="1:15" ht="15" customHeight="1" x14ac:dyDescent="0.25">
      <c r="A436" s="69">
        <v>46220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 x14ac:dyDescent="0.25">
      <c r="A437" s="70">
        <v>46220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 x14ac:dyDescent="0.25">
      <c r="A438" s="69">
        <v>46220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 x14ac:dyDescent="0.25">
      <c r="A439" s="70">
        <v>46220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 x14ac:dyDescent="0.25">
      <c r="A440" s="69">
        <v>46220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 x14ac:dyDescent="0.25">
      <c r="A441" s="70">
        <v>46220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 x14ac:dyDescent="0.25">
      <c r="A442" s="69">
        <v>46220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 x14ac:dyDescent="0.25">
      <c r="A443" s="70">
        <v>46220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 x14ac:dyDescent="0.25">
      <c r="A444" s="69">
        <v>46220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 x14ac:dyDescent="0.25">
      <c r="A445" s="70">
        <v>46220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 x14ac:dyDescent="0.25">
      <c r="A446" s="79" t="s">
        <v>190</v>
      </c>
      <c r="B446" s="80"/>
      <c r="C446" s="80"/>
      <c r="D446" s="80"/>
      <c r="E446" s="81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191</v>
      </c>
      <c r="O446" s="39"/>
    </row>
    <row r="447" spans="1:15" ht="15" customHeight="1" x14ac:dyDescent="0.25">
      <c r="A447" s="70">
        <v>46220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19",F447*5,"")))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46"/>
      <c r="O447" s="47"/>
    </row>
    <row r="448" spans="1:15" ht="15" customHeight="1" x14ac:dyDescent="0.25">
      <c r="A448" s="69">
        <v>46220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 x14ac:dyDescent="0.25">
      <c r="A449" s="70">
        <v>46220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 x14ac:dyDescent="0.25">
      <c r="A450" s="69">
        <v>46220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 x14ac:dyDescent="0.25">
      <c r="A451" s="70">
        <v>46220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 x14ac:dyDescent="0.25">
      <c r="A452" s="69">
        <v>46220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 x14ac:dyDescent="0.25">
      <c r="A453" s="70">
        <v>46220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 x14ac:dyDescent="0.25">
      <c r="A454" s="69">
        <v>46220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 x14ac:dyDescent="0.25">
      <c r="A455" s="70">
        <v>46220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 x14ac:dyDescent="0.25">
      <c r="A456" s="69">
        <v>46220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 x14ac:dyDescent="0.25">
      <c r="A457" s="70">
        <v>46220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 x14ac:dyDescent="0.25">
      <c r="A458" s="69">
        <v>46220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 x14ac:dyDescent="0.25">
      <c r="A459" s="79" t="s">
        <v>192</v>
      </c>
      <c r="B459" s="80"/>
      <c r="C459" s="80"/>
      <c r="D459" s="80"/>
      <c r="E459" s="81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191</v>
      </c>
      <c r="O459" s="39"/>
    </row>
    <row r="460" spans="1:15" ht="18" customHeight="1" x14ac:dyDescent="0.25">
      <c r="A460" s="82" t="s">
        <v>193</v>
      </c>
      <c r="B460" s="83"/>
      <c r="C460" s="83"/>
      <c r="D460" s="83"/>
      <c r="E460" s="84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194</v>
      </c>
      <c r="O460" s="48">
        <f>IFERROR(O446+O459,"")</f>
        <v>0</v>
      </c>
    </row>
    <row r="461" spans="1:15" ht="15" customHeight="1" x14ac:dyDescent="0.25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 x14ac:dyDescent="0.25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 x14ac:dyDescent="0.25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51" t="str">
        <f t="shared" ca="1" si="103"/>
        <v/>
      </c>
      <c r="N463" s="52"/>
      <c r="O463" s="47"/>
    </row>
    <row r="464" spans="1:15" ht="15" customHeight="1" x14ac:dyDescent="0.25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 x14ac:dyDescent="0.25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53"/>
      <c r="O465" s="47"/>
    </row>
    <row r="466" spans="1:15" ht="15" customHeight="1" x14ac:dyDescent="0.25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53"/>
      <c r="O466" s="47"/>
    </row>
    <row r="467" spans="1:15" ht="15" customHeight="1" x14ac:dyDescent="0.25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 x14ac:dyDescent="0.25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 x14ac:dyDescent="0.25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 x14ac:dyDescent="0.25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 x14ac:dyDescent="0.25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 x14ac:dyDescent="0.25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 x14ac:dyDescent="0.25">
      <c r="A473" s="79" t="s">
        <v>190</v>
      </c>
      <c r="B473" s="80"/>
      <c r="C473" s="80"/>
      <c r="D473" s="80"/>
      <c r="E473" s="81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191</v>
      </c>
      <c r="O473" s="39"/>
    </row>
    <row r="474" spans="1:15" ht="15" customHeight="1" x14ac:dyDescent="0.25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/>
    </row>
    <row r="475" spans="1:15" ht="15" customHeight="1" x14ac:dyDescent="0.25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 x14ac:dyDescent="0.25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 x14ac:dyDescent="0.25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 x14ac:dyDescent="0.25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 x14ac:dyDescent="0.25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 x14ac:dyDescent="0.25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 x14ac:dyDescent="0.25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 x14ac:dyDescent="0.25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 x14ac:dyDescent="0.25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 x14ac:dyDescent="0.25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 x14ac:dyDescent="0.25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 x14ac:dyDescent="0.25">
      <c r="A486" s="79" t="s">
        <v>192</v>
      </c>
      <c r="B486" s="80"/>
      <c r="C486" s="80"/>
      <c r="D486" s="80"/>
      <c r="E486" s="81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191</v>
      </c>
      <c r="O486" s="39"/>
    </row>
    <row r="487" spans="1:15" ht="18" customHeight="1" x14ac:dyDescent="0.25">
      <c r="A487" s="82" t="s">
        <v>193</v>
      </c>
      <c r="B487" s="83"/>
      <c r="C487" s="83"/>
      <c r="D487" s="83"/>
      <c r="E487" s="84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194</v>
      </c>
      <c r="O487" s="48">
        <f>IFERROR(O473+O486,"")</f>
        <v>0</v>
      </c>
    </row>
    <row r="488" spans="1:15" ht="15" customHeight="1" x14ac:dyDescent="0.25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46"/>
      <c r="O488" s="47"/>
    </row>
    <row r="489" spans="1:15" ht="15" customHeight="1" x14ac:dyDescent="0.25">
      <c r="A489" s="70">
        <v>46222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46"/>
      <c r="O489" s="47"/>
    </row>
    <row r="490" spans="1:15" ht="15" customHeight="1" x14ac:dyDescent="0.25">
      <c r="A490" s="69">
        <v>46222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 x14ac:dyDescent="0.25">
      <c r="A491" s="70">
        <v>46222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 x14ac:dyDescent="0.25">
      <c r="A492" s="69">
        <v>46222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 x14ac:dyDescent="0.25">
      <c r="A493" s="70">
        <v>46222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 x14ac:dyDescent="0.25">
      <c r="A494" s="69">
        <v>46222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 x14ac:dyDescent="0.25">
      <c r="A495" s="70">
        <v>46222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 x14ac:dyDescent="0.25">
      <c r="A496" s="69">
        <v>46222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 x14ac:dyDescent="0.25">
      <c r="A497" s="70">
        <v>46222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 x14ac:dyDescent="0.25">
      <c r="A498" s="69">
        <v>46222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 x14ac:dyDescent="0.25">
      <c r="A499" s="70">
        <v>46222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 x14ac:dyDescent="0.25">
      <c r="A500" s="79" t="s">
        <v>190</v>
      </c>
      <c r="B500" s="80"/>
      <c r="C500" s="80"/>
      <c r="D500" s="80"/>
      <c r="E500" s="81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191</v>
      </c>
      <c r="O500" s="39"/>
    </row>
    <row r="501" spans="1:15" ht="15" customHeight="1" x14ac:dyDescent="0.25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 x14ac:dyDescent="0.25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 x14ac:dyDescent="0.25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 x14ac:dyDescent="0.25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 x14ac:dyDescent="0.25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 x14ac:dyDescent="0.25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 x14ac:dyDescent="0.25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 x14ac:dyDescent="0.25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 x14ac:dyDescent="0.25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 x14ac:dyDescent="0.25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 x14ac:dyDescent="0.25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 x14ac:dyDescent="0.25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 x14ac:dyDescent="0.25">
      <c r="A513" s="79" t="s">
        <v>192</v>
      </c>
      <c r="B513" s="80"/>
      <c r="C513" s="80"/>
      <c r="D513" s="80"/>
      <c r="E513" s="81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191</v>
      </c>
      <c r="O513" s="39"/>
    </row>
    <row r="514" spans="1:15" ht="18" customHeight="1" x14ac:dyDescent="0.25">
      <c r="A514" s="82" t="s">
        <v>193</v>
      </c>
      <c r="B514" s="83"/>
      <c r="C514" s="83"/>
      <c r="D514" s="83"/>
      <c r="E514" s="84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194</v>
      </c>
      <c r="O514" s="48">
        <f>IFERROR(O500+O513,"")</f>
        <v>0</v>
      </c>
    </row>
    <row r="515" spans="1:15" ht="15" customHeight="1" x14ac:dyDescent="0.25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46"/>
      <c r="O515" s="47"/>
    </row>
    <row r="516" spans="1:15" ht="15" customHeight="1" x14ac:dyDescent="0.25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46"/>
      <c r="O516" s="47"/>
    </row>
    <row r="517" spans="1:15" ht="15" customHeight="1" x14ac:dyDescent="0.25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 x14ac:dyDescent="0.25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 x14ac:dyDescent="0.25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 x14ac:dyDescent="0.25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 x14ac:dyDescent="0.25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 x14ac:dyDescent="0.25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 x14ac:dyDescent="0.25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 x14ac:dyDescent="0.25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 x14ac:dyDescent="0.25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 x14ac:dyDescent="0.25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 x14ac:dyDescent="0.25">
      <c r="A527" s="79" t="s">
        <v>190</v>
      </c>
      <c r="B527" s="80"/>
      <c r="C527" s="80"/>
      <c r="D527" s="80"/>
      <c r="E527" s="81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191</v>
      </c>
      <c r="O527" s="39"/>
    </row>
    <row r="528" spans="1:15" ht="15" customHeight="1" x14ac:dyDescent="0.25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46"/>
      <c r="O528" s="47"/>
    </row>
    <row r="529" spans="1:15" ht="15" customHeight="1" x14ac:dyDescent="0.25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46"/>
      <c r="O529" s="47"/>
    </row>
    <row r="530" spans="1:15" ht="15" customHeight="1" x14ac:dyDescent="0.25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46"/>
      <c r="O530" s="47"/>
    </row>
    <row r="531" spans="1:15" ht="15" customHeight="1" x14ac:dyDescent="0.25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46"/>
      <c r="O531" s="47"/>
    </row>
    <row r="532" spans="1:15" ht="15" customHeight="1" x14ac:dyDescent="0.25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46"/>
      <c r="O532" s="47"/>
    </row>
    <row r="533" spans="1:15" ht="15" customHeight="1" x14ac:dyDescent="0.25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46"/>
      <c r="O533" s="47"/>
    </row>
    <row r="534" spans="1:15" ht="15" customHeight="1" x14ac:dyDescent="0.25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46"/>
      <c r="O534" s="47"/>
    </row>
    <row r="535" spans="1:15" ht="15" customHeight="1" x14ac:dyDescent="0.25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46"/>
      <c r="O535" s="47"/>
    </row>
    <row r="536" spans="1:15" ht="15" customHeight="1" x14ac:dyDescent="0.25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46"/>
      <c r="O536" s="47"/>
    </row>
    <row r="537" spans="1:15" ht="15" customHeight="1" x14ac:dyDescent="0.25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46"/>
      <c r="O537" s="47"/>
    </row>
    <row r="538" spans="1:15" ht="15" customHeight="1" x14ac:dyDescent="0.25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46"/>
      <c r="O538" s="47"/>
    </row>
    <row r="539" spans="1:15" ht="15" customHeight="1" x14ac:dyDescent="0.25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46"/>
      <c r="O539" s="47"/>
    </row>
    <row r="540" spans="1:15" ht="15.75" customHeight="1" x14ac:dyDescent="0.25">
      <c r="A540" s="79" t="s">
        <v>192</v>
      </c>
      <c r="B540" s="80"/>
      <c r="C540" s="80"/>
      <c r="D540" s="80"/>
      <c r="E540" s="81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191</v>
      </c>
      <c r="O540" s="39"/>
    </row>
    <row r="541" spans="1:15" ht="18" customHeight="1" x14ac:dyDescent="0.25">
      <c r="A541" s="82" t="s">
        <v>193</v>
      </c>
      <c r="B541" s="83"/>
      <c r="C541" s="83"/>
      <c r="D541" s="83"/>
      <c r="E541" s="84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194</v>
      </c>
      <c r="O541" s="48">
        <f>IFERROR(O527+O540,"")</f>
        <v>0</v>
      </c>
    </row>
    <row r="542" spans="1:15" ht="15" customHeight="1" x14ac:dyDescent="0.25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46"/>
      <c r="O542" s="47"/>
    </row>
    <row r="543" spans="1:15" ht="15" customHeight="1" x14ac:dyDescent="0.25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 x14ac:dyDescent="0.25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 x14ac:dyDescent="0.25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 x14ac:dyDescent="0.25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 x14ac:dyDescent="0.25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 x14ac:dyDescent="0.25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 x14ac:dyDescent="0.25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 x14ac:dyDescent="0.25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 x14ac:dyDescent="0.25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 x14ac:dyDescent="0.25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 x14ac:dyDescent="0.25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 x14ac:dyDescent="0.25">
      <c r="A554" s="79" t="s">
        <v>190</v>
      </c>
      <c r="B554" s="80"/>
      <c r="C554" s="80"/>
      <c r="D554" s="80"/>
      <c r="E554" s="81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191</v>
      </c>
      <c r="O554" s="39"/>
    </row>
    <row r="555" spans="1:15" ht="15" customHeight="1" x14ac:dyDescent="0.25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46"/>
      <c r="O555" s="47"/>
    </row>
    <row r="556" spans="1:15" ht="15" customHeight="1" x14ac:dyDescent="0.25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 x14ac:dyDescent="0.25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 x14ac:dyDescent="0.25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 x14ac:dyDescent="0.25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 x14ac:dyDescent="0.25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 x14ac:dyDescent="0.25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 x14ac:dyDescent="0.25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 x14ac:dyDescent="0.25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 x14ac:dyDescent="0.25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 x14ac:dyDescent="0.25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 x14ac:dyDescent="0.25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 x14ac:dyDescent="0.25">
      <c r="A567" s="79" t="s">
        <v>192</v>
      </c>
      <c r="B567" s="80"/>
      <c r="C567" s="80"/>
      <c r="D567" s="80"/>
      <c r="E567" s="81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191</v>
      </c>
      <c r="O567" s="39"/>
    </row>
    <row r="568" spans="1:15" ht="18" customHeight="1" x14ac:dyDescent="0.25">
      <c r="A568" s="82" t="s">
        <v>193</v>
      </c>
      <c r="B568" s="83"/>
      <c r="C568" s="83"/>
      <c r="D568" s="83"/>
      <c r="E568" s="84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194</v>
      </c>
      <c r="O568" s="48">
        <f>IFERROR(O554+O567,"")</f>
        <v>0</v>
      </c>
    </row>
    <row r="569" spans="1:15" ht="15" customHeight="1" x14ac:dyDescent="0.25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46"/>
      <c r="O569" s="47"/>
    </row>
    <row r="570" spans="1:15" ht="15" customHeight="1" x14ac:dyDescent="0.25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46"/>
      <c r="O570" s="47"/>
    </row>
    <row r="571" spans="1:15" ht="15" customHeight="1" x14ac:dyDescent="0.25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 x14ac:dyDescent="0.25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 x14ac:dyDescent="0.25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 x14ac:dyDescent="0.25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 x14ac:dyDescent="0.25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 x14ac:dyDescent="0.25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 x14ac:dyDescent="0.25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 x14ac:dyDescent="0.25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 x14ac:dyDescent="0.25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 x14ac:dyDescent="0.25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 x14ac:dyDescent="0.25">
      <c r="A581" s="79" t="s">
        <v>190</v>
      </c>
      <c r="B581" s="80"/>
      <c r="C581" s="80"/>
      <c r="D581" s="80"/>
      <c r="E581" s="81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191</v>
      </c>
      <c r="O581" s="39"/>
    </row>
    <row r="582" spans="1:15" ht="15" customHeight="1" x14ac:dyDescent="0.25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46"/>
      <c r="O582" s="47"/>
    </row>
    <row r="583" spans="1:15" ht="15" customHeight="1" x14ac:dyDescent="0.25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46"/>
      <c r="O583" s="47"/>
    </row>
    <row r="584" spans="1:15" ht="15" customHeight="1" x14ac:dyDescent="0.25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 x14ac:dyDescent="0.25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 x14ac:dyDescent="0.25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 x14ac:dyDescent="0.25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 x14ac:dyDescent="0.25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 x14ac:dyDescent="0.25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 x14ac:dyDescent="0.25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 x14ac:dyDescent="0.25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 x14ac:dyDescent="0.25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 x14ac:dyDescent="0.25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 x14ac:dyDescent="0.25">
      <c r="A594" s="79" t="s">
        <v>192</v>
      </c>
      <c r="B594" s="80"/>
      <c r="C594" s="80"/>
      <c r="D594" s="80"/>
      <c r="E594" s="81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191</v>
      </c>
      <c r="O594" s="39"/>
    </row>
    <row r="595" spans="1:15" ht="18" customHeight="1" x14ac:dyDescent="0.25">
      <c r="A595" s="82" t="s">
        <v>193</v>
      </c>
      <c r="B595" s="83"/>
      <c r="C595" s="83"/>
      <c r="D595" s="83"/>
      <c r="E595" s="84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194</v>
      </c>
      <c r="O595" s="48">
        <f>IFERROR(O581+O594,"")</f>
        <v>0</v>
      </c>
    </row>
    <row r="596" spans="1:15" ht="15" customHeight="1" x14ac:dyDescent="0.25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46"/>
      <c r="O596" s="47"/>
    </row>
    <row r="597" spans="1:15" ht="15" customHeight="1" x14ac:dyDescent="0.25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 x14ac:dyDescent="0.25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 x14ac:dyDescent="0.25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 x14ac:dyDescent="0.25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 x14ac:dyDescent="0.25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 x14ac:dyDescent="0.25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 x14ac:dyDescent="0.25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 x14ac:dyDescent="0.25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 x14ac:dyDescent="0.25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 x14ac:dyDescent="0.25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 x14ac:dyDescent="0.25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 x14ac:dyDescent="0.25">
      <c r="A608" s="79" t="s">
        <v>190</v>
      </c>
      <c r="B608" s="80"/>
      <c r="C608" s="80"/>
      <c r="D608" s="80"/>
      <c r="E608" s="81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191</v>
      </c>
      <c r="O608" s="39"/>
    </row>
    <row r="609" spans="1:15" ht="15" customHeight="1" x14ac:dyDescent="0.25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46"/>
      <c r="O609" s="47"/>
    </row>
    <row r="610" spans="1:15" ht="15" customHeight="1" x14ac:dyDescent="0.25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 x14ac:dyDescent="0.25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 x14ac:dyDescent="0.25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 x14ac:dyDescent="0.25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 x14ac:dyDescent="0.25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 x14ac:dyDescent="0.25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 x14ac:dyDescent="0.25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 x14ac:dyDescent="0.25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 x14ac:dyDescent="0.25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 x14ac:dyDescent="0.25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 x14ac:dyDescent="0.25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 x14ac:dyDescent="0.25">
      <c r="A621" s="79" t="s">
        <v>192</v>
      </c>
      <c r="B621" s="80"/>
      <c r="C621" s="80"/>
      <c r="D621" s="80"/>
      <c r="E621" s="81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191</v>
      </c>
      <c r="O621" s="39"/>
    </row>
    <row r="622" spans="1:15" ht="18" customHeight="1" x14ac:dyDescent="0.25">
      <c r="A622" s="82" t="s">
        <v>193</v>
      </c>
      <c r="B622" s="83"/>
      <c r="C622" s="83"/>
      <c r="D622" s="83"/>
      <c r="E622" s="84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194</v>
      </c>
      <c r="O622" s="48">
        <f>IFERROR(O608+O621,"")</f>
        <v>0</v>
      </c>
    </row>
    <row r="623" spans="1:15" ht="15" customHeight="1" x14ac:dyDescent="0.25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 x14ac:dyDescent="0.25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 x14ac:dyDescent="0.25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 x14ac:dyDescent="0.25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 x14ac:dyDescent="0.25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 x14ac:dyDescent="0.25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 x14ac:dyDescent="0.25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 x14ac:dyDescent="0.25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 x14ac:dyDescent="0.25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 x14ac:dyDescent="0.25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 x14ac:dyDescent="0.25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 x14ac:dyDescent="0.25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 x14ac:dyDescent="0.25">
      <c r="A635" s="79" t="s">
        <v>190</v>
      </c>
      <c r="B635" s="80"/>
      <c r="C635" s="80"/>
      <c r="D635" s="80"/>
      <c r="E635" s="81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191</v>
      </c>
      <c r="O635" s="39"/>
    </row>
    <row r="636" spans="1:15" ht="15" customHeight="1" x14ac:dyDescent="0.25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 x14ac:dyDescent="0.25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 x14ac:dyDescent="0.25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 x14ac:dyDescent="0.25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 x14ac:dyDescent="0.25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 x14ac:dyDescent="0.25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 x14ac:dyDescent="0.25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 x14ac:dyDescent="0.25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 x14ac:dyDescent="0.25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 x14ac:dyDescent="0.25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 x14ac:dyDescent="0.25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 x14ac:dyDescent="0.25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 x14ac:dyDescent="0.25">
      <c r="A648" s="79" t="s">
        <v>192</v>
      </c>
      <c r="B648" s="80"/>
      <c r="C648" s="80"/>
      <c r="D648" s="80"/>
      <c r="E648" s="81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191</v>
      </c>
      <c r="O648" s="39"/>
    </row>
    <row r="649" spans="1:15" ht="18" customHeight="1" x14ac:dyDescent="0.25">
      <c r="A649" s="82" t="s">
        <v>193</v>
      </c>
      <c r="B649" s="83"/>
      <c r="C649" s="83"/>
      <c r="D649" s="83"/>
      <c r="E649" s="84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194</v>
      </c>
      <c r="O649" s="48">
        <f>IFERROR(O635+O648,"")</f>
        <v>0</v>
      </c>
    </row>
    <row r="650" spans="1:15" ht="15" customHeight="1" x14ac:dyDescent="0.25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 x14ac:dyDescent="0.25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 x14ac:dyDescent="0.25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 x14ac:dyDescent="0.25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 x14ac:dyDescent="0.25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 x14ac:dyDescent="0.25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 x14ac:dyDescent="0.25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 x14ac:dyDescent="0.25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 x14ac:dyDescent="0.25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 x14ac:dyDescent="0.25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 x14ac:dyDescent="0.25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 x14ac:dyDescent="0.25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 x14ac:dyDescent="0.25">
      <c r="A662" s="79" t="s">
        <v>190</v>
      </c>
      <c r="B662" s="80"/>
      <c r="C662" s="80"/>
      <c r="D662" s="80"/>
      <c r="E662" s="81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191</v>
      </c>
      <c r="O662" s="39"/>
    </row>
    <row r="663" spans="1:15" ht="15" customHeight="1" x14ac:dyDescent="0.25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 x14ac:dyDescent="0.25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 x14ac:dyDescent="0.25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 x14ac:dyDescent="0.25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 x14ac:dyDescent="0.25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 x14ac:dyDescent="0.25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 x14ac:dyDescent="0.25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 x14ac:dyDescent="0.25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 x14ac:dyDescent="0.25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 x14ac:dyDescent="0.25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 x14ac:dyDescent="0.25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 x14ac:dyDescent="0.25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 x14ac:dyDescent="0.25">
      <c r="A675" s="79" t="s">
        <v>192</v>
      </c>
      <c r="B675" s="80"/>
      <c r="C675" s="80"/>
      <c r="D675" s="80"/>
      <c r="E675" s="81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191</v>
      </c>
      <c r="O675" s="39"/>
    </row>
    <row r="676" spans="1:15" ht="18" customHeight="1" x14ac:dyDescent="0.25">
      <c r="A676" s="82" t="s">
        <v>193</v>
      </c>
      <c r="B676" s="83"/>
      <c r="C676" s="83"/>
      <c r="D676" s="83"/>
      <c r="E676" s="84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194</v>
      </c>
      <c r="O676" s="48">
        <f>IFERROR(O662+O675,"")</f>
        <v>0</v>
      </c>
    </row>
    <row r="677" spans="1:15" ht="15" customHeight="1" x14ac:dyDescent="0.25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 x14ac:dyDescent="0.25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46"/>
      <c r="O678" s="47"/>
    </row>
    <row r="679" spans="1:15" ht="15" customHeight="1" x14ac:dyDescent="0.25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 x14ac:dyDescent="0.25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46"/>
      <c r="O680" s="47"/>
    </row>
    <row r="681" spans="1:15" ht="15" customHeight="1" x14ac:dyDescent="0.25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 x14ac:dyDescent="0.25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46"/>
      <c r="O682" s="47"/>
    </row>
    <row r="683" spans="1:15" ht="15" customHeight="1" x14ac:dyDescent="0.25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 x14ac:dyDescent="0.25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 x14ac:dyDescent="0.25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 x14ac:dyDescent="0.25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 x14ac:dyDescent="0.25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 x14ac:dyDescent="0.25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 x14ac:dyDescent="0.25">
      <c r="A689" s="79" t="s">
        <v>190</v>
      </c>
      <c r="B689" s="80"/>
      <c r="C689" s="80"/>
      <c r="D689" s="80"/>
      <c r="E689" s="81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191</v>
      </c>
      <c r="O689" s="39"/>
    </row>
    <row r="690" spans="1:15" ht="15" customHeight="1" x14ac:dyDescent="0.25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 x14ac:dyDescent="0.25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 x14ac:dyDescent="0.25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 x14ac:dyDescent="0.25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 x14ac:dyDescent="0.25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 x14ac:dyDescent="0.25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 x14ac:dyDescent="0.25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 x14ac:dyDescent="0.25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 x14ac:dyDescent="0.25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 x14ac:dyDescent="0.25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 x14ac:dyDescent="0.25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 x14ac:dyDescent="0.25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 x14ac:dyDescent="0.25">
      <c r="A702" s="79" t="s">
        <v>192</v>
      </c>
      <c r="B702" s="80"/>
      <c r="C702" s="80"/>
      <c r="D702" s="80"/>
      <c r="E702" s="81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191</v>
      </c>
      <c r="O702" s="39"/>
    </row>
    <row r="703" spans="1:15" ht="18" customHeight="1" x14ac:dyDescent="0.25">
      <c r="A703" s="82" t="s">
        <v>193</v>
      </c>
      <c r="B703" s="83"/>
      <c r="C703" s="83"/>
      <c r="D703" s="83"/>
      <c r="E703" s="84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194</v>
      </c>
      <c r="O703" s="48">
        <f>IFERROR(O689+O702,"")</f>
        <v>0</v>
      </c>
    </row>
    <row r="704" spans="1:15" ht="15" customHeight="1" x14ac:dyDescent="0.25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 x14ac:dyDescent="0.25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 x14ac:dyDescent="0.25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 x14ac:dyDescent="0.25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 x14ac:dyDescent="0.25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 x14ac:dyDescent="0.25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 x14ac:dyDescent="0.25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 x14ac:dyDescent="0.25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 x14ac:dyDescent="0.25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 x14ac:dyDescent="0.25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 x14ac:dyDescent="0.25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 x14ac:dyDescent="0.25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 x14ac:dyDescent="0.25">
      <c r="A716" s="79" t="s">
        <v>190</v>
      </c>
      <c r="B716" s="80"/>
      <c r="C716" s="80"/>
      <c r="D716" s="80"/>
      <c r="E716" s="81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191</v>
      </c>
      <c r="O716" s="39"/>
    </row>
    <row r="717" spans="1:15" ht="15" customHeight="1" x14ac:dyDescent="0.25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 x14ac:dyDescent="0.25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 x14ac:dyDescent="0.25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 x14ac:dyDescent="0.25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 x14ac:dyDescent="0.25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 x14ac:dyDescent="0.25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 x14ac:dyDescent="0.25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 x14ac:dyDescent="0.25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 x14ac:dyDescent="0.25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 x14ac:dyDescent="0.25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 x14ac:dyDescent="0.25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 x14ac:dyDescent="0.25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 x14ac:dyDescent="0.25">
      <c r="A729" s="79" t="s">
        <v>192</v>
      </c>
      <c r="B729" s="80"/>
      <c r="C729" s="80"/>
      <c r="D729" s="80"/>
      <c r="E729" s="81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191</v>
      </c>
      <c r="O729" s="39"/>
    </row>
    <row r="730" spans="1:15" ht="18" customHeight="1" x14ac:dyDescent="0.25">
      <c r="A730" s="82" t="s">
        <v>193</v>
      </c>
      <c r="B730" s="83"/>
      <c r="C730" s="83"/>
      <c r="D730" s="83"/>
      <c r="E730" s="84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194</v>
      </c>
      <c r="O730" s="48">
        <f>IFERROR(O716+O729,"")</f>
        <v>0</v>
      </c>
    </row>
    <row r="731" spans="1:15" ht="15" customHeight="1" x14ac:dyDescent="0.25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 x14ac:dyDescent="0.25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 x14ac:dyDescent="0.25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 x14ac:dyDescent="0.25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 x14ac:dyDescent="0.25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 x14ac:dyDescent="0.25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 x14ac:dyDescent="0.25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 x14ac:dyDescent="0.25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 x14ac:dyDescent="0.25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 x14ac:dyDescent="0.25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 x14ac:dyDescent="0.25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 x14ac:dyDescent="0.25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 x14ac:dyDescent="0.25">
      <c r="A743" s="79" t="s">
        <v>190</v>
      </c>
      <c r="B743" s="80"/>
      <c r="C743" s="80"/>
      <c r="D743" s="80"/>
      <c r="E743" s="81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191</v>
      </c>
      <c r="O743" s="39"/>
    </row>
    <row r="744" spans="1:15" ht="15" customHeight="1" x14ac:dyDescent="0.25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 x14ac:dyDescent="0.25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 x14ac:dyDescent="0.25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 x14ac:dyDescent="0.25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 x14ac:dyDescent="0.25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 x14ac:dyDescent="0.25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 x14ac:dyDescent="0.25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 x14ac:dyDescent="0.25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 x14ac:dyDescent="0.25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 x14ac:dyDescent="0.25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 x14ac:dyDescent="0.25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 x14ac:dyDescent="0.25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 x14ac:dyDescent="0.25">
      <c r="A756" s="79" t="s">
        <v>192</v>
      </c>
      <c r="B756" s="80"/>
      <c r="C756" s="80"/>
      <c r="D756" s="80"/>
      <c r="E756" s="81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191</v>
      </c>
      <c r="O756" s="39"/>
    </row>
    <row r="757" spans="1:15" ht="18" customHeight="1" x14ac:dyDescent="0.25">
      <c r="A757" s="82" t="s">
        <v>193</v>
      </c>
      <c r="B757" s="83"/>
      <c r="C757" s="83"/>
      <c r="D757" s="83"/>
      <c r="E757" s="84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194</v>
      </c>
      <c r="O757" s="48">
        <f>IFERROR(O743+O756,"")</f>
        <v>0</v>
      </c>
    </row>
    <row r="758" spans="1:15" ht="15" customHeight="1" x14ac:dyDescent="0.25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 x14ac:dyDescent="0.25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 x14ac:dyDescent="0.25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 x14ac:dyDescent="0.25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 x14ac:dyDescent="0.25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 x14ac:dyDescent="0.25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 x14ac:dyDescent="0.25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 x14ac:dyDescent="0.25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 x14ac:dyDescent="0.25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 x14ac:dyDescent="0.25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 x14ac:dyDescent="0.25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 x14ac:dyDescent="0.25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 x14ac:dyDescent="0.25">
      <c r="A770" s="79" t="s">
        <v>190</v>
      </c>
      <c r="B770" s="80"/>
      <c r="C770" s="80"/>
      <c r="D770" s="80"/>
      <c r="E770" s="81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191</v>
      </c>
      <c r="O770" s="39"/>
    </row>
    <row r="771" spans="1:15" ht="15" customHeight="1" x14ac:dyDescent="0.25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 x14ac:dyDescent="0.25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 x14ac:dyDescent="0.25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 x14ac:dyDescent="0.25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 x14ac:dyDescent="0.25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 x14ac:dyDescent="0.25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 x14ac:dyDescent="0.25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 x14ac:dyDescent="0.25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 x14ac:dyDescent="0.25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 x14ac:dyDescent="0.25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 x14ac:dyDescent="0.25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 x14ac:dyDescent="0.25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 x14ac:dyDescent="0.25">
      <c r="A783" s="79" t="s">
        <v>192</v>
      </c>
      <c r="B783" s="80"/>
      <c r="C783" s="80"/>
      <c r="D783" s="80"/>
      <c r="E783" s="81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191</v>
      </c>
      <c r="O783" s="39"/>
    </row>
    <row r="784" spans="1:15" ht="18" customHeight="1" x14ac:dyDescent="0.25">
      <c r="A784" s="82" t="s">
        <v>193</v>
      </c>
      <c r="B784" s="83"/>
      <c r="C784" s="83"/>
      <c r="D784" s="83"/>
      <c r="E784" s="84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194</v>
      </c>
      <c r="O784" s="48">
        <f>IFERROR(O770+O783,"")</f>
        <v>0</v>
      </c>
    </row>
    <row r="785" spans="1:15" ht="15" customHeight="1" x14ac:dyDescent="0.25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 x14ac:dyDescent="0.25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 x14ac:dyDescent="0.25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 x14ac:dyDescent="0.25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 x14ac:dyDescent="0.25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 x14ac:dyDescent="0.25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 x14ac:dyDescent="0.25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 x14ac:dyDescent="0.25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 x14ac:dyDescent="0.25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 x14ac:dyDescent="0.25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 x14ac:dyDescent="0.25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 x14ac:dyDescent="0.25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 x14ac:dyDescent="0.25">
      <c r="A797" s="79" t="s">
        <v>190</v>
      </c>
      <c r="B797" s="80"/>
      <c r="C797" s="80"/>
      <c r="D797" s="80"/>
      <c r="E797" s="81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191</v>
      </c>
      <c r="O797" s="39"/>
    </row>
    <row r="798" spans="1:15" ht="15" customHeight="1" x14ac:dyDescent="0.25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 x14ac:dyDescent="0.25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 x14ac:dyDescent="0.25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 x14ac:dyDescent="0.25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 x14ac:dyDescent="0.25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 x14ac:dyDescent="0.25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 x14ac:dyDescent="0.25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 x14ac:dyDescent="0.25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 x14ac:dyDescent="0.25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 x14ac:dyDescent="0.25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 x14ac:dyDescent="0.25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 x14ac:dyDescent="0.25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 x14ac:dyDescent="0.25">
      <c r="A810" s="79" t="s">
        <v>192</v>
      </c>
      <c r="B810" s="80"/>
      <c r="C810" s="80"/>
      <c r="D810" s="80"/>
      <c r="E810" s="81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191</v>
      </c>
      <c r="O810" s="39"/>
    </row>
    <row r="811" spans="1:15" ht="18" customHeight="1" x14ac:dyDescent="0.25">
      <c r="A811" s="82" t="s">
        <v>193</v>
      </c>
      <c r="B811" s="83"/>
      <c r="C811" s="83"/>
      <c r="D811" s="83"/>
      <c r="E811" s="84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194</v>
      </c>
      <c r="O811" s="43">
        <f>IFERROR(O797+O810,"")</f>
        <v>0</v>
      </c>
    </row>
  </sheetData>
  <mergeCells count="90"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460:E460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783:E783"/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</mergeCells>
  <phoneticPr fontId="18" type="noConversion"/>
  <dataValidations count="2">
    <dataValidation type="list" showErrorMessage="1" errorTitle="Atenção" error="Selecione primeiro o Tipo de Parada (col G) e depois escolha a Descrição da lista." sqref="J2:J900" xr:uid="{00000000-0002-0000-02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29:E811 E2:E13 E15:E26" xr:uid="{7188C92F-485A-440E-AF29-C2FC80E6A9F8}">
      <formula1>"PC 17,PC 19"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2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200-000003000000}">
          <x14:formula1>
            <xm:f>Cadastro!$C$4:$C$10</xm:f>
          </x14:formula1>
          <x14:formula2>
            <xm:f>0</xm:f>
          </x14:formula2>
          <xm:sqref>D15:D26 D3:D13 D29:D900</xm:sqref>
        </x14:dataValidation>
        <x14:dataValidation type="list" allowBlank="1" showErrorMessage="1" errorTitle="Valor inválido" error="Selecione da lista." xr:uid="{00000000-0002-0000-02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2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C0504D"/>
  </sheetPr>
  <dimension ref="A1:O811"/>
  <sheetViews>
    <sheetView showGridLines="0" zoomScale="80" zoomScaleNormal="80" workbookViewId="0">
      <pane ySplit="1" topLeftCell="A2" activePane="bottomLeft" state="frozen"/>
      <selection pane="bottomLeft" activeCell="F29" sqref="F29"/>
    </sheetView>
  </sheetViews>
  <sheetFormatPr defaultColWidth="8.5703125" defaultRowHeight="15" x14ac:dyDescent="0.25"/>
  <cols>
    <col min="1" max="1" width="13" style="75" customWidth="1"/>
    <col min="2" max="2" width="9" style="20" customWidth="1"/>
    <col min="3" max="3" width="14" style="20" customWidth="1"/>
    <col min="4" max="5" width="16.140625" style="20" customWidth="1"/>
    <col min="6" max="6" width="13" style="20" customWidth="1"/>
    <col min="7" max="7" width="14" style="20" customWidth="1"/>
    <col min="8" max="8" width="29.42578125" style="20" customWidth="1"/>
    <col min="9" max="9" width="25" style="20" customWidth="1"/>
    <col min="10" max="10" width="48.5703125" style="20" customWidth="1"/>
    <col min="11" max="11" width="15.42578125" style="20" customWidth="1"/>
    <col min="12" max="12" width="12" style="21" customWidth="1"/>
    <col min="13" max="13" width="14" style="20" customWidth="1"/>
    <col min="14" max="14" width="75.140625" style="20" customWidth="1"/>
    <col min="15" max="15" width="20" customWidth="1"/>
  </cols>
  <sheetData>
    <row r="1" spans="1:15" ht="37.5" customHeight="1" x14ac:dyDescent="0.25">
      <c r="A1" s="68" t="s">
        <v>7</v>
      </c>
      <c r="B1" s="23" t="s">
        <v>177</v>
      </c>
      <c r="C1" s="23" t="s">
        <v>12</v>
      </c>
      <c r="D1" s="22" t="s">
        <v>13</v>
      </c>
      <c r="E1" s="22" t="s">
        <v>178</v>
      </c>
      <c r="F1" s="23" t="s">
        <v>179</v>
      </c>
      <c r="G1" s="23" t="s">
        <v>180</v>
      </c>
      <c r="H1" s="23" t="s">
        <v>14</v>
      </c>
      <c r="I1" s="23" t="s">
        <v>15</v>
      </c>
      <c r="J1" s="23" t="s">
        <v>181</v>
      </c>
      <c r="K1" s="23" t="s">
        <v>182</v>
      </c>
      <c r="L1" s="23" t="s">
        <v>183</v>
      </c>
      <c r="M1" s="24" t="s">
        <v>184</v>
      </c>
      <c r="N1" s="23" t="s">
        <v>185</v>
      </c>
      <c r="O1" s="23" t="s">
        <v>186</v>
      </c>
    </row>
    <row r="2" spans="1:15" ht="15" customHeight="1" x14ac:dyDescent="0.25">
      <c r="A2" s="69">
        <v>46204</v>
      </c>
      <c r="B2" s="25">
        <v>0.33333333333333298</v>
      </c>
      <c r="C2" s="26" t="s">
        <v>29</v>
      </c>
      <c r="D2" s="59" t="s">
        <v>30</v>
      </c>
      <c r="E2" s="59" t="s">
        <v>195</v>
      </c>
      <c r="F2" s="27">
        <v>0</v>
      </c>
      <c r="G2" s="28">
        <f t="shared" ref="G2:G13" si="0">IF(F2="","",IF(E2="PC 17",F2*4.2,IF(E2="PC 19",F2*5,"")))</f>
        <v>0</v>
      </c>
      <c r="H2" s="26" t="s">
        <v>20</v>
      </c>
      <c r="I2" s="26"/>
      <c r="J2" s="26" t="s">
        <v>169</v>
      </c>
      <c r="K2" s="29">
        <v>0.29166666666666669</v>
      </c>
      <c r="L2" s="29">
        <v>0.33333333333333331</v>
      </c>
      <c r="M2" s="35">
        <f t="shared" ref="M2:M13" ca="1" si="1">IFERROR(IF(K2="","",IF(L2="",MOD(NOW()-K2,1),IF(L2&gt;=K2,L2-K2,L2+1-K2))),"")</f>
        <v>4.166666666666663E-2</v>
      </c>
      <c r="N2" s="46"/>
      <c r="O2" s="31"/>
    </row>
    <row r="3" spans="1:15" ht="15" customHeight="1" x14ac:dyDescent="0.25">
      <c r="A3" s="70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195</v>
      </c>
      <c r="F3" s="27">
        <v>10</v>
      </c>
      <c r="G3" s="34">
        <f t="shared" si="0"/>
        <v>42</v>
      </c>
      <c r="H3" s="33" t="s">
        <v>19</v>
      </c>
      <c r="I3" s="33" t="s">
        <v>149</v>
      </c>
      <c r="J3" s="33" t="s">
        <v>27</v>
      </c>
      <c r="K3" s="29">
        <v>0.44930555555555557</v>
      </c>
      <c r="L3" s="29">
        <v>0.47222222222222221</v>
      </c>
      <c r="M3" s="30">
        <f t="shared" ca="1" si="1"/>
        <v>2.2916666666666641E-2</v>
      </c>
      <c r="N3" s="46"/>
      <c r="O3" s="31"/>
    </row>
    <row r="4" spans="1:15" ht="15" customHeight="1" x14ac:dyDescent="0.25">
      <c r="A4" s="69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195</v>
      </c>
      <c r="F4" s="27">
        <v>8</v>
      </c>
      <c r="G4" s="28">
        <f t="shared" si="0"/>
        <v>33.6</v>
      </c>
      <c r="H4" s="26" t="s">
        <v>19</v>
      </c>
      <c r="I4" s="26" t="s">
        <v>149</v>
      </c>
      <c r="J4" s="26" t="s">
        <v>27</v>
      </c>
      <c r="K4" s="29">
        <v>0.71736111111111112</v>
      </c>
      <c r="L4" s="29">
        <v>0.74236111111111114</v>
      </c>
      <c r="M4" s="35">
        <f t="shared" ca="1" si="1"/>
        <v>2.5000000000000022E-2</v>
      </c>
      <c r="N4" s="46"/>
      <c r="O4" s="31"/>
    </row>
    <row r="5" spans="1:15" ht="15" customHeight="1" x14ac:dyDescent="0.25">
      <c r="A5" s="70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195</v>
      </c>
      <c r="F5" s="27">
        <v>8</v>
      </c>
      <c r="G5" s="34">
        <f t="shared" si="0"/>
        <v>33.6</v>
      </c>
      <c r="H5" s="33"/>
      <c r="I5" s="33"/>
      <c r="J5" s="33"/>
      <c r="K5" s="29"/>
      <c r="L5" s="29"/>
      <c r="M5" s="30" t="str">
        <f t="shared" ca="1" si="1"/>
        <v/>
      </c>
      <c r="N5" s="46"/>
      <c r="O5" s="31"/>
    </row>
    <row r="6" spans="1:15" ht="15" customHeight="1" x14ac:dyDescent="0.25">
      <c r="A6" s="69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195</v>
      </c>
      <c r="F6" s="27">
        <v>15</v>
      </c>
      <c r="G6" s="28">
        <f t="shared" si="0"/>
        <v>63</v>
      </c>
      <c r="H6" s="26"/>
      <c r="I6" s="26"/>
      <c r="J6" s="26"/>
      <c r="K6" s="29"/>
      <c r="L6" s="29"/>
      <c r="M6" s="35" t="str">
        <f t="shared" ca="1" si="1"/>
        <v/>
      </c>
      <c r="N6" s="46"/>
      <c r="O6" s="31"/>
    </row>
    <row r="7" spans="1:15" ht="15" customHeight="1" x14ac:dyDescent="0.25">
      <c r="A7" s="70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195</v>
      </c>
      <c r="F7" s="27">
        <v>8</v>
      </c>
      <c r="G7" s="34">
        <f t="shared" si="0"/>
        <v>33.6</v>
      </c>
      <c r="H7" s="33"/>
      <c r="I7" s="33"/>
      <c r="J7" s="33"/>
      <c r="K7" s="29"/>
      <c r="L7" s="29"/>
      <c r="M7" s="30" t="str">
        <f t="shared" ca="1" si="1"/>
        <v/>
      </c>
      <c r="N7" s="46"/>
      <c r="O7" s="31"/>
    </row>
    <row r="8" spans="1:15" ht="15" customHeight="1" x14ac:dyDescent="0.25">
      <c r="A8" s="69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195</v>
      </c>
      <c r="F8" s="27">
        <v>25</v>
      </c>
      <c r="G8" s="28">
        <f t="shared" si="0"/>
        <v>105</v>
      </c>
      <c r="H8" s="26"/>
      <c r="I8" s="26"/>
      <c r="J8" s="26"/>
      <c r="K8" s="29"/>
      <c r="L8" s="29"/>
      <c r="M8" s="35" t="str">
        <f t="shared" ca="1" si="1"/>
        <v/>
      </c>
      <c r="N8" s="46"/>
      <c r="O8" s="31"/>
    </row>
    <row r="9" spans="1:15" ht="15" customHeight="1" x14ac:dyDescent="0.25">
      <c r="A9" s="70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195</v>
      </c>
      <c r="F9" s="27">
        <v>24</v>
      </c>
      <c r="G9" s="28">
        <f t="shared" si="0"/>
        <v>100.80000000000001</v>
      </c>
      <c r="H9" s="33"/>
      <c r="I9" s="33"/>
      <c r="J9" s="33"/>
      <c r="K9" s="29"/>
      <c r="L9" s="29"/>
      <c r="M9" s="30" t="str">
        <f t="shared" ca="1" si="1"/>
        <v/>
      </c>
      <c r="N9" s="46"/>
      <c r="O9" s="31"/>
    </row>
    <row r="10" spans="1:15" ht="15" customHeight="1" x14ac:dyDescent="0.25">
      <c r="A10" s="69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195</v>
      </c>
      <c r="F10" s="27">
        <v>14</v>
      </c>
      <c r="G10" s="28">
        <f t="shared" si="0"/>
        <v>58.800000000000004</v>
      </c>
      <c r="H10" s="26"/>
      <c r="I10" s="26"/>
      <c r="J10" s="26"/>
      <c r="K10" s="29"/>
      <c r="L10" s="29"/>
      <c r="M10" s="35" t="str">
        <f t="shared" ca="1" si="1"/>
        <v/>
      </c>
      <c r="N10" s="46"/>
      <c r="O10" s="31"/>
    </row>
    <row r="11" spans="1:15" ht="15" customHeight="1" x14ac:dyDescent="0.25">
      <c r="A11" s="70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195</v>
      </c>
      <c r="F11" s="27">
        <v>21</v>
      </c>
      <c r="G11" s="28">
        <f t="shared" si="0"/>
        <v>88.2</v>
      </c>
      <c r="H11" s="33"/>
      <c r="I11" s="33"/>
      <c r="J11" s="33"/>
      <c r="K11" s="29"/>
      <c r="L11" s="29"/>
      <c r="M11" s="30" t="str">
        <f t="shared" ca="1" si="1"/>
        <v/>
      </c>
      <c r="N11" s="46"/>
      <c r="O11" s="31"/>
    </row>
    <row r="12" spans="1:15" ht="15" customHeight="1" x14ac:dyDescent="0.25">
      <c r="A12" s="69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195</v>
      </c>
      <c r="F12" s="27">
        <v>4</v>
      </c>
      <c r="G12" s="28">
        <f t="shared" si="0"/>
        <v>16.8</v>
      </c>
      <c r="H12" s="26"/>
      <c r="I12" s="26"/>
      <c r="J12" s="26"/>
      <c r="K12" s="29"/>
      <c r="L12" s="29"/>
      <c r="M12" s="35" t="str">
        <f t="shared" ca="1" si="1"/>
        <v/>
      </c>
      <c r="N12" s="46"/>
      <c r="O12" s="31"/>
    </row>
    <row r="13" spans="1:15" ht="15" customHeight="1" x14ac:dyDescent="0.25">
      <c r="A13" s="70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195</v>
      </c>
      <c r="F13" s="27">
        <v>11</v>
      </c>
      <c r="G13" s="28">
        <f t="shared" si="0"/>
        <v>46.2</v>
      </c>
      <c r="H13" s="33"/>
      <c r="I13" s="33"/>
      <c r="J13" s="33"/>
      <c r="K13" s="29"/>
      <c r="L13" s="29"/>
      <c r="M13" s="30" t="str">
        <f t="shared" ca="1" si="1"/>
        <v/>
      </c>
      <c r="N13" s="46"/>
      <c r="O13" s="31"/>
    </row>
    <row r="14" spans="1:15" ht="15.75" customHeight="1" x14ac:dyDescent="0.25">
      <c r="A14" s="79" t="s">
        <v>190</v>
      </c>
      <c r="B14" s="80"/>
      <c r="C14" s="80"/>
      <c r="D14" s="80"/>
      <c r="E14" s="81"/>
      <c r="F14" s="36">
        <f>SUM(F2:F13)</f>
        <v>148</v>
      </c>
      <c r="G14" s="36">
        <f>SUM(G2:G13)</f>
        <v>621.6</v>
      </c>
      <c r="H14" s="37"/>
      <c r="I14" s="37"/>
      <c r="J14" s="37"/>
      <c r="K14" s="37"/>
      <c r="L14" s="37"/>
      <c r="M14" s="38">
        <f ca="1">IFERROR(SUM(M2:M13),"")</f>
        <v>8.9583333333333293E-2</v>
      </c>
      <c r="N14" s="36" t="s">
        <v>191</v>
      </c>
      <c r="O14" s="78">
        <v>627260</v>
      </c>
    </row>
    <row r="15" spans="1:15" ht="15" customHeight="1" x14ac:dyDescent="0.25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195</v>
      </c>
      <c r="F15" s="27">
        <v>17</v>
      </c>
      <c r="G15" s="34">
        <f t="shared" ref="G15:G26" si="3">IF(F15="","",IF(E15="PC 17",F15*4.2,IF(E15="PC 19",F15*5,"")))</f>
        <v>71.400000000000006</v>
      </c>
      <c r="H15" s="33" t="s">
        <v>18</v>
      </c>
      <c r="I15" s="33" t="s">
        <v>149</v>
      </c>
      <c r="J15" s="33" t="s">
        <v>156</v>
      </c>
      <c r="K15" s="29">
        <v>0.91666666666666663</v>
      </c>
      <c r="L15" s="29">
        <v>5.2777777777777778E-2</v>
      </c>
      <c r="M15" s="35">
        <f t="shared" ref="M15:M26" ca="1" si="4">IFERROR(IF(K15="","",IF(L15="",MOD(NOW()-K15,1),IF(L15&gt;=K15,L15-K15,L15+1-K15))),"")</f>
        <v>0.13611111111111118</v>
      </c>
      <c r="N15" s="46"/>
      <c r="O15" s="31"/>
    </row>
    <row r="16" spans="1:15" ht="15" customHeight="1" x14ac:dyDescent="0.25">
      <c r="A16" s="69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195</v>
      </c>
      <c r="F16" s="27">
        <v>14</v>
      </c>
      <c r="G16" s="34">
        <f t="shared" si="3"/>
        <v>58.800000000000004</v>
      </c>
      <c r="H16" s="26"/>
      <c r="I16" s="26"/>
      <c r="J16" s="26"/>
      <c r="K16" s="29"/>
      <c r="L16" s="29"/>
      <c r="M16" s="35" t="str">
        <f t="shared" ca="1" si="4"/>
        <v/>
      </c>
      <c r="N16" s="46"/>
      <c r="O16" s="31"/>
    </row>
    <row r="17" spans="1:15" ht="15" customHeight="1" x14ac:dyDescent="0.25">
      <c r="A17" s="70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195</v>
      </c>
      <c r="F17" s="27">
        <v>14</v>
      </c>
      <c r="G17" s="34">
        <f t="shared" si="3"/>
        <v>58.800000000000004</v>
      </c>
      <c r="H17" s="33"/>
      <c r="I17" s="33"/>
      <c r="J17" s="33"/>
      <c r="K17" s="29"/>
      <c r="L17" s="29"/>
      <c r="M17" s="35" t="str">
        <f t="shared" ca="1" si="4"/>
        <v/>
      </c>
      <c r="N17" s="46"/>
      <c r="O17" s="31"/>
    </row>
    <row r="18" spans="1:15" ht="15" customHeight="1" x14ac:dyDescent="0.25">
      <c r="A18" s="69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195</v>
      </c>
      <c r="F18" s="27">
        <v>14</v>
      </c>
      <c r="G18" s="34">
        <f t="shared" si="3"/>
        <v>58.800000000000004</v>
      </c>
      <c r="H18" s="26"/>
      <c r="I18" s="26"/>
      <c r="J18" s="26"/>
      <c r="K18" s="29"/>
      <c r="L18" s="29"/>
      <c r="M18" s="35" t="str">
        <f t="shared" ca="1" si="4"/>
        <v/>
      </c>
      <c r="N18" s="46"/>
      <c r="O18" s="31"/>
    </row>
    <row r="19" spans="1:15" ht="15" customHeight="1" x14ac:dyDescent="0.25">
      <c r="A19" s="70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195</v>
      </c>
      <c r="F19" s="27">
        <v>3</v>
      </c>
      <c r="G19" s="34">
        <f t="shared" si="3"/>
        <v>12.600000000000001</v>
      </c>
      <c r="H19" s="33"/>
      <c r="I19" s="33"/>
      <c r="J19" s="33"/>
      <c r="K19" s="29"/>
      <c r="L19" s="29"/>
      <c r="M19" s="35" t="str">
        <f t="shared" ca="1" si="4"/>
        <v/>
      </c>
      <c r="N19" s="46"/>
      <c r="O19" s="31"/>
    </row>
    <row r="20" spans="1:15" ht="15" customHeight="1" x14ac:dyDescent="0.25">
      <c r="A20" s="69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195</v>
      </c>
      <c r="F20" s="27">
        <v>3</v>
      </c>
      <c r="G20" s="34">
        <f t="shared" si="3"/>
        <v>12.600000000000001</v>
      </c>
      <c r="H20" s="26"/>
      <c r="I20" s="26"/>
      <c r="J20" s="26"/>
      <c r="K20" s="29"/>
      <c r="L20" s="29"/>
      <c r="M20" s="35" t="str">
        <f t="shared" ca="1" si="4"/>
        <v/>
      </c>
      <c r="N20" s="46"/>
      <c r="O20" s="31"/>
    </row>
    <row r="21" spans="1:15" ht="15" customHeight="1" x14ac:dyDescent="0.25">
      <c r="A21" s="70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195</v>
      </c>
      <c r="F21" s="27">
        <v>3</v>
      </c>
      <c r="G21" s="34">
        <f t="shared" si="3"/>
        <v>12.600000000000001</v>
      </c>
      <c r="H21" s="33"/>
      <c r="I21" s="33"/>
      <c r="J21" s="33"/>
      <c r="K21" s="29"/>
      <c r="L21" s="29"/>
      <c r="M21" s="35" t="str">
        <f t="shared" ca="1" si="4"/>
        <v/>
      </c>
      <c r="N21" s="46"/>
      <c r="O21" s="31"/>
    </row>
    <row r="22" spans="1:15" ht="15" customHeight="1" x14ac:dyDescent="0.25">
      <c r="A22" s="69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195</v>
      </c>
      <c r="F22" s="27">
        <v>6</v>
      </c>
      <c r="G22" s="34">
        <f t="shared" si="3"/>
        <v>25.200000000000003</v>
      </c>
      <c r="H22" s="26"/>
      <c r="I22" s="26"/>
      <c r="J22" s="26"/>
      <c r="K22" s="29"/>
      <c r="L22" s="29"/>
      <c r="M22" s="35" t="str">
        <f t="shared" ca="1" si="4"/>
        <v/>
      </c>
      <c r="N22" s="46"/>
      <c r="O22" s="31"/>
    </row>
    <row r="23" spans="1:15" ht="15" customHeight="1" x14ac:dyDescent="0.25">
      <c r="A23" s="70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195</v>
      </c>
      <c r="F23" s="77">
        <v>6</v>
      </c>
      <c r="G23" s="34">
        <f t="shared" si="3"/>
        <v>25.200000000000003</v>
      </c>
      <c r="H23" s="33"/>
      <c r="I23" s="33"/>
      <c r="J23" s="33"/>
      <c r="K23" s="29"/>
      <c r="L23" s="29"/>
      <c r="M23" s="35" t="str">
        <f t="shared" ca="1" si="4"/>
        <v/>
      </c>
      <c r="N23" s="46"/>
      <c r="O23" s="31"/>
    </row>
    <row r="24" spans="1:15" ht="15" customHeight="1" x14ac:dyDescent="0.25">
      <c r="A24" s="69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195</v>
      </c>
      <c r="F24" s="27">
        <v>4</v>
      </c>
      <c r="G24" s="34">
        <f t="shared" si="3"/>
        <v>16.8</v>
      </c>
      <c r="H24" s="26"/>
      <c r="I24" s="26"/>
      <c r="J24" s="26"/>
      <c r="K24" s="29"/>
      <c r="L24" s="29"/>
      <c r="M24" s="35" t="str">
        <f t="shared" ca="1" si="4"/>
        <v/>
      </c>
      <c r="N24" s="46"/>
      <c r="O24" s="31"/>
    </row>
    <row r="25" spans="1:15" ht="15" customHeight="1" x14ac:dyDescent="0.25">
      <c r="A25" s="70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195</v>
      </c>
      <c r="F25" s="27">
        <v>7</v>
      </c>
      <c r="G25" s="34">
        <f t="shared" si="3"/>
        <v>29.400000000000002</v>
      </c>
      <c r="H25" s="33"/>
      <c r="I25" s="33"/>
      <c r="J25" s="33"/>
      <c r="K25" s="29"/>
      <c r="L25" s="29"/>
      <c r="M25" s="35" t="str">
        <f t="shared" ca="1" si="4"/>
        <v/>
      </c>
      <c r="N25" s="46"/>
      <c r="O25" s="31"/>
    </row>
    <row r="26" spans="1:15" ht="15" customHeight="1" x14ac:dyDescent="0.25">
      <c r="A26" s="69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195</v>
      </c>
      <c r="F26" s="27">
        <v>0</v>
      </c>
      <c r="G26" s="34">
        <f t="shared" si="3"/>
        <v>0</v>
      </c>
      <c r="H26" s="26"/>
      <c r="I26" s="26"/>
      <c r="J26" s="26"/>
      <c r="K26" s="29"/>
      <c r="L26" s="29"/>
      <c r="M26" s="35" t="str">
        <f t="shared" ca="1" si="4"/>
        <v/>
      </c>
      <c r="N26" s="46"/>
    </row>
    <row r="27" spans="1:15" ht="15.75" customHeight="1" x14ac:dyDescent="0.25">
      <c r="A27" s="79" t="s">
        <v>192</v>
      </c>
      <c r="B27" s="80"/>
      <c r="C27" s="80"/>
      <c r="D27" s="80"/>
      <c r="E27" s="81"/>
      <c r="F27" s="36">
        <f>SUM(F15:F26)</f>
        <v>91</v>
      </c>
      <c r="G27" s="36">
        <f>SUM(G15:G26)</f>
        <v>382.20000000000005</v>
      </c>
      <c r="H27" s="37"/>
      <c r="I27" s="37"/>
      <c r="J27" s="37"/>
      <c r="K27" s="37"/>
      <c r="L27" s="37"/>
      <c r="M27" s="38">
        <f ca="1">IFERROR(SUM(M15:M26),"")</f>
        <v>0.13611111111111118</v>
      </c>
      <c r="N27" s="36" t="s">
        <v>191</v>
      </c>
      <c r="O27" s="78">
        <v>393200</v>
      </c>
    </row>
    <row r="28" spans="1:15" ht="18" customHeight="1" x14ac:dyDescent="0.25">
      <c r="A28" s="82" t="s">
        <v>193</v>
      </c>
      <c r="B28" s="83"/>
      <c r="C28" s="83"/>
      <c r="D28" s="83"/>
      <c r="E28" s="84"/>
      <c r="F28" s="40">
        <f>F14+F27</f>
        <v>239</v>
      </c>
      <c r="G28" s="40">
        <f>G14+G27</f>
        <v>1003.8000000000001</v>
      </c>
      <c r="H28" s="41"/>
      <c r="I28" s="41"/>
      <c r="J28" s="41"/>
      <c r="K28" s="41"/>
      <c r="L28" s="41"/>
      <c r="M28" s="42">
        <f ca="1">IFERROR(M14+M27,"")</f>
        <v>0.22569444444444448</v>
      </c>
      <c r="N28" s="40" t="s">
        <v>194</v>
      </c>
      <c r="O28" s="43">
        <f>O14+O27</f>
        <v>1020460</v>
      </c>
    </row>
    <row r="29" spans="1:15" ht="15" customHeight="1" x14ac:dyDescent="0.25">
      <c r="A29" s="69">
        <v>46205</v>
      </c>
      <c r="B29" s="25">
        <v>0.33333333333333298</v>
      </c>
      <c r="C29" s="26" t="s">
        <v>21</v>
      </c>
      <c r="D29" s="59" t="s">
        <v>30</v>
      </c>
      <c r="E29" s="59"/>
      <c r="F29" s="27"/>
      <c r="G29" s="28" t="str">
        <f t="shared" ref="G29:G40" si="6">IF(F29="","",IF(E29="PC 17",F29*4.2,IF(E29="PC 19",F29*5,"")))</f>
        <v/>
      </c>
      <c r="H29" s="33"/>
      <c r="I29" s="33" t="s">
        <v>31</v>
      </c>
      <c r="J29" s="33"/>
      <c r="K29" s="29">
        <v>0.30763888888888891</v>
      </c>
      <c r="L29" s="29"/>
      <c r="M29" s="35">
        <f t="shared" ref="M29:M40" ca="1" si="7">IFERROR(IF(K29="","",IF(L29="",MOD(NOW()-K29,1),IF(L29&gt;=K29,L29-K29,L29+1-K29))),"")</f>
        <v>1.0635995371558238E-2</v>
      </c>
      <c r="N29" s="46"/>
      <c r="O29" s="31"/>
    </row>
    <row r="30" spans="1:15" ht="15" customHeight="1" x14ac:dyDescent="0.25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/>
      <c r="F30" s="27"/>
      <c r="G30" s="34" t="str">
        <f t="shared" si="6"/>
        <v/>
      </c>
      <c r="H30" s="26"/>
      <c r="I30" s="26"/>
      <c r="J30" s="26"/>
      <c r="K30" s="29"/>
      <c r="L30" s="29"/>
      <c r="M30" s="30" t="str">
        <f t="shared" ca="1" si="7"/>
        <v/>
      </c>
      <c r="N30" s="46"/>
      <c r="O30" s="31"/>
    </row>
    <row r="31" spans="1:15" ht="15" customHeight="1" x14ac:dyDescent="0.25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/>
      <c r="F31" s="27"/>
      <c r="G31" s="28" t="str">
        <f t="shared" si="6"/>
        <v/>
      </c>
      <c r="H31" s="33"/>
      <c r="I31" s="33"/>
      <c r="J31" s="33"/>
      <c r="K31" s="29"/>
      <c r="L31" s="29"/>
      <c r="M31" s="35" t="str">
        <f t="shared" ca="1" si="7"/>
        <v/>
      </c>
      <c r="N31" s="46"/>
      <c r="O31" s="31"/>
    </row>
    <row r="32" spans="1:15" ht="15" customHeight="1" x14ac:dyDescent="0.25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/>
      <c r="F32" s="27"/>
      <c r="G32" s="34" t="str">
        <f t="shared" si="6"/>
        <v/>
      </c>
      <c r="H32" s="26"/>
      <c r="I32" s="26"/>
      <c r="J32" s="26"/>
      <c r="K32" s="29"/>
      <c r="L32" s="29"/>
      <c r="M32" s="30" t="str">
        <f t="shared" ca="1" si="7"/>
        <v/>
      </c>
      <c r="N32" s="46"/>
      <c r="O32" s="31"/>
    </row>
    <row r="33" spans="1:15" ht="15" customHeight="1" x14ac:dyDescent="0.25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/>
      <c r="F33" s="27"/>
      <c r="G33" s="28" t="str">
        <f t="shared" si="6"/>
        <v/>
      </c>
      <c r="H33" s="33"/>
      <c r="I33" s="33"/>
      <c r="J33" s="33"/>
      <c r="K33" s="29"/>
      <c r="L33" s="29"/>
      <c r="M33" s="35" t="str">
        <f t="shared" ca="1" si="7"/>
        <v/>
      </c>
      <c r="N33" s="46"/>
      <c r="O33" s="31"/>
    </row>
    <row r="34" spans="1:15" ht="15" customHeight="1" x14ac:dyDescent="0.25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/>
      <c r="F34" s="27"/>
      <c r="G34" s="34" t="str">
        <f t="shared" si="6"/>
        <v/>
      </c>
      <c r="H34" s="26"/>
      <c r="I34" s="26"/>
      <c r="J34" s="26"/>
      <c r="K34" s="29"/>
      <c r="L34" s="29"/>
      <c r="M34" s="30" t="str">
        <f t="shared" ca="1" si="7"/>
        <v/>
      </c>
      <c r="N34" s="46"/>
      <c r="O34" s="31"/>
    </row>
    <row r="35" spans="1:15" ht="15" customHeight="1" x14ac:dyDescent="0.25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/>
      <c r="F35" s="27"/>
      <c r="G35" s="28" t="str">
        <f t="shared" si="6"/>
        <v/>
      </c>
      <c r="H35" s="33"/>
      <c r="I35" s="33"/>
      <c r="J35" s="33"/>
      <c r="K35" s="29"/>
      <c r="L35" s="29"/>
      <c r="M35" s="35" t="str">
        <f t="shared" ca="1" si="7"/>
        <v/>
      </c>
      <c r="N35" s="46"/>
      <c r="O35" s="31"/>
    </row>
    <row r="36" spans="1:15" ht="15" customHeight="1" x14ac:dyDescent="0.25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/>
      <c r="F36" s="27"/>
      <c r="G36" s="34" t="str">
        <f t="shared" si="6"/>
        <v/>
      </c>
      <c r="H36" s="26"/>
      <c r="I36" s="26"/>
      <c r="J36" s="26"/>
      <c r="K36" s="29"/>
      <c r="L36" s="29"/>
      <c r="M36" s="30" t="str">
        <f t="shared" ca="1" si="7"/>
        <v/>
      </c>
      <c r="N36" s="46"/>
      <c r="O36" s="31"/>
    </row>
    <row r="37" spans="1:15" ht="15" customHeight="1" x14ac:dyDescent="0.25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/>
      <c r="F37" s="27"/>
      <c r="G37" s="28" t="str">
        <f t="shared" si="6"/>
        <v/>
      </c>
      <c r="H37" s="33"/>
      <c r="I37" s="33"/>
      <c r="J37" s="33"/>
      <c r="K37" s="29"/>
      <c r="L37" s="29"/>
      <c r="M37" s="35" t="str">
        <f t="shared" ca="1" si="7"/>
        <v/>
      </c>
      <c r="N37" s="46"/>
      <c r="O37" s="31"/>
    </row>
    <row r="38" spans="1:15" ht="15" customHeight="1" x14ac:dyDescent="0.25">
      <c r="A38" s="70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/>
      <c r="F38" s="27"/>
      <c r="G38" s="34" t="str">
        <f t="shared" si="6"/>
        <v/>
      </c>
      <c r="H38" s="26"/>
      <c r="I38" s="26"/>
      <c r="J38" s="26"/>
      <c r="K38" s="29"/>
      <c r="L38" s="29"/>
      <c r="M38" s="30" t="str">
        <f t="shared" ca="1" si="7"/>
        <v/>
      </c>
      <c r="N38" s="46"/>
      <c r="O38" s="31"/>
    </row>
    <row r="39" spans="1:15" ht="15" customHeight="1" x14ac:dyDescent="0.25">
      <c r="A39" s="69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/>
      <c r="F39" s="27"/>
      <c r="G39" s="28" t="str">
        <f t="shared" si="6"/>
        <v/>
      </c>
      <c r="H39" s="33"/>
      <c r="I39" s="33"/>
      <c r="J39" s="33"/>
      <c r="K39" s="29"/>
      <c r="L39" s="29"/>
      <c r="M39" s="35" t="str">
        <f t="shared" ca="1" si="7"/>
        <v/>
      </c>
      <c r="N39" s="46"/>
      <c r="O39" s="31"/>
    </row>
    <row r="40" spans="1:15" ht="15" customHeight="1" x14ac:dyDescent="0.25">
      <c r="A40" s="70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/>
      <c r="F40" s="27"/>
      <c r="G40" s="34" t="str">
        <f t="shared" si="6"/>
        <v/>
      </c>
      <c r="H40" s="26"/>
      <c r="I40" s="26"/>
      <c r="J40" s="26"/>
      <c r="K40" s="29"/>
      <c r="L40" s="29"/>
      <c r="M40" s="30" t="str">
        <f t="shared" ca="1" si="7"/>
        <v/>
      </c>
      <c r="N40" s="46"/>
      <c r="O40" s="31"/>
    </row>
    <row r="41" spans="1:15" ht="15.75" customHeight="1" x14ac:dyDescent="0.35">
      <c r="A41" s="79" t="s">
        <v>190</v>
      </c>
      <c r="B41" s="80"/>
      <c r="C41" s="80"/>
      <c r="D41" s="80"/>
      <c r="E41" s="81">
        <f>SUM(E29:E40)</f>
        <v>0</v>
      </c>
      <c r="F41" s="36">
        <f>SUM(F29:F40)</f>
        <v>0</v>
      </c>
      <c r="G41" s="36">
        <f>SUM(G29:G40)</f>
        <v>0</v>
      </c>
      <c r="H41" s="37"/>
      <c r="I41" s="37"/>
      <c r="J41" s="37"/>
      <c r="K41" s="37"/>
      <c r="L41" s="37"/>
      <c r="M41" s="38">
        <f ca="1">IFERROR(SUM(M29:M40),"")</f>
        <v>1.0635995371558238E-2</v>
      </c>
      <c r="N41" s="36" t="s">
        <v>191</v>
      </c>
      <c r="O41" s="54"/>
    </row>
    <row r="42" spans="1:15" ht="15" customHeight="1" x14ac:dyDescent="0.25">
      <c r="A42" s="70">
        <v>46205</v>
      </c>
      <c r="B42" s="32">
        <v>0.83333333333333304</v>
      </c>
      <c r="C42" s="33"/>
      <c r="D42" s="62"/>
      <c r="E42" s="62"/>
      <c r="F42" s="27"/>
      <c r="G42" s="34" t="str">
        <f t="shared" ref="G42:G53" si="9">IF(F42="","",IF(E42="PC 17",F42*4.2,IF(E42="PC 19",F42*5,"")))</f>
        <v/>
      </c>
      <c r="H42" s="26"/>
      <c r="I42" s="26"/>
      <c r="J42" s="26"/>
      <c r="K42" s="29"/>
      <c r="L42" s="29"/>
      <c r="M42" s="30" t="str">
        <f t="shared" ref="M42:M53" ca="1" si="10">IFERROR(IF(K42="","",IF(L42="",MOD(NOW()-K42,1),IF(L42&gt;=K42,L42-K42,L42+1-K42))),"")</f>
        <v/>
      </c>
      <c r="N42" s="46"/>
      <c r="O42" s="31"/>
    </row>
    <row r="43" spans="1:15" ht="15" customHeight="1" x14ac:dyDescent="0.25">
      <c r="A43" s="69">
        <v>46205</v>
      </c>
      <c r="B43" s="25">
        <f t="shared" ref="B43:B53" si="11">B42+TIME(0,60,0)</f>
        <v>0.87499999999999967</v>
      </c>
      <c r="C43" s="33"/>
      <c r="D43" s="62"/>
      <c r="E43" s="62"/>
      <c r="F43" s="27"/>
      <c r="G43" s="28" t="str">
        <f t="shared" si="9"/>
        <v/>
      </c>
      <c r="H43" s="33"/>
      <c r="I43" s="33"/>
      <c r="J43" s="33"/>
      <c r="K43" s="29"/>
      <c r="L43" s="29"/>
      <c r="M43" s="35" t="str">
        <f t="shared" ca="1" si="10"/>
        <v/>
      </c>
      <c r="N43" s="46"/>
      <c r="O43" s="31"/>
    </row>
    <row r="44" spans="1:15" ht="15" customHeight="1" x14ac:dyDescent="0.25">
      <c r="A44" s="70">
        <v>46205</v>
      </c>
      <c r="B44" s="32">
        <f t="shared" si="11"/>
        <v>0.9166666666666663</v>
      </c>
      <c r="C44" s="33"/>
      <c r="D44" s="62"/>
      <c r="E44" s="62"/>
      <c r="F44" s="27"/>
      <c r="G44" s="34" t="str">
        <f t="shared" si="9"/>
        <v/>
      </c>
      <c r="H44" s="26"/>
      <c r="I44" s="26"/>
      <c r="J44" s="26"/>
      <c r="K44" s="29"/>
      <c r="L44" s="29"/>
      <c r="M44" s="30" t="str">
        <f t="shared" ca="1" si="10"/>
        <v/>
      </c>
      <c r="N44" s="46"/>
      <c r="O44" s="31"/>
    </row>
    <row r="45" spans="1:15" ht="15" customHeight="1" x14ac:dyDescent="0.25">
      <c r="A45" s="69">
        <v>46205</v>
      </c>
      <c r="B45" s="25">
        <f t="shared" si="11"/>
        <v>0.95833333333333293</v>
      </c>
      <c r="C45" s="33"/>
      <c r="D45" s="62"/>
      <c r="E45" s="62"/>
      <c r="F45" s="27"/>
      <c r="G45" s="28" t="str">
        <f t="shared" si="9"/>
        <v/>
      </c>
      <c r="H45" s="33"/>
      <c r="I45" s="33"/>
      <c r="J45" s="33"/>
      <c r="K45" s="29"/>
      <c r="L45" s="29"/>
      <c r="M45" s="35" t="str">
        <f t="shared" ca="1" si="10"/>
        <v/>
      </c>
      <c r="N45" s="46"/>
      <c r="O45" s="31"/>
    </row>
    <row r="46" spans="1:15" ht="15" customHeight="1" x14ac:dyDescent="0.25">
      <c r="A46" s="70">
        <v>46205</v>
      </c>
      <c r="B46" s="32">
        <f t="shared" si="11"/>
        <v>0.99999999999999956</v>
      </c>
      <c r="C46" s="33"/>
      <c r="D46" s="62"/>
      <c r="E46" s="62"/>
      <c r="F46" s="27"/>
      <c r="G46" s="34" t="str">
        <f t="shared" si="9"/>
        <v/>
      </c>
      <c r="H46" s="26"/>
      <c r="I46" s="26"/>
      <c r="J46" s="26"/>
      <c r="K46" s="29"/>
      <c r="L46" s="29"/>
      <c r="M46" s="30" t="str">
        <f t="shared" ca="1" si="10"/>
        <v/>
      </c>
      <c r="N46" s="46"/>
      <c r="O46" s="31"/>
    </row>
    <row r="47" spans="1:15" ht="15" customHeight="1" x14ac:dyDescent="0.25">
      <c r="A47" s="69">
        <v>46205</v>
      </c>
      <c r="B47" s="25">
        <f t="shared" si="11"/>
        <v>1.0416666666666663</v>
      </c>
      <c r="C47" s="33"/>
      <c r="D47" s="62"/>
      <c r="E47" s="62"/>
      <c r="F47" s="27"/>
      <c r="G47" s="28" t="str">
        <f t="shared" si="9"/>
        <v/>
      </c>
      <c r="H47" s="33"/>
      <c r="I47" s="33"/>
      <c r="J47" s="33"/>
      <c r="K47" s="29"/>
      <c r="L47" s="29"/>
      <c r="M47" s="35" t="str">
        <f t="shared" ca="1" si="10"/>
        <v/>
      </c>
      <c r="N47" s="46"/>
      <c r="O47" s="31"/>
    </row>
    <row r="48" spans="1:15" ht="15" customHeight="1" x14ac:dyDescent="0.25">
      <c r="A48" s="70">
        <v>46205</v>
      </c>
      <c r="B48" s="32">
        <f t="shared" si="11"/>
        <v>1.083333333333333</v>
      </c>
      <c r="C48" s="33"/>
      <c r="D48" s="62"/>
      <c r="E48" s="62"/>
      <c r="F48" s="27"/>
      <c r="G48" s="34" t="str">
        <f t="shared" si="9"/>
        <v/>
      </c>
      <c r="H48" s="26"/>
      <c r="I48" s="26"/>
      <c r="J48" s="26"/>
      <c r="K48" s="29"/>
      <c r="L48" s="29"/>
      <c r="M48" s="30" t="str">
        <f t="shared" ca="1" si="10"/>
        <v/>
      </c>
      <c r="N48" s="46"/>
      <c r="O48" s="31"/>
    </row>
    <row r="49" spans="1:15" ht="15" customHeight="1" x14ac:dyDescent="0.25">
      <c r="A49" s="69">
        <v>46205</v>
      </c>
      <c r="B49" s="25">
        <f t="shared" si="11"/>
        <v>1.1249999999999998</v>
      </c>
      <c r="C49" s="33"/>
      <c r="D49" s="62"/>
      <c r="E49" s="62"/>
      <c r="F49" s="27"/>
      <c r="G49" s="28" t="str">
        <f t="shared" si="9"/>
        <v/>
      </c>
      <c r="H49" s="33"/>
      <c r="I49" s="33"/>
      <c r="J49" s="33"/>
      <c r="K49" s="29"/>
      <c r="L49" s="29"/>
      <c r="M49" s="35" t="str">
        <f t="shared" ca="1" si="10"/>
        <v/>
      </c>
      <c r="N49" s="46"/>
      <c r="O49" s="31"/>
    </row>
    <row r="50" spans="1:15" ht="15" customHeight="1" x14ac:dyDescent="0.25">
      <c r="A50" s="70">
        <v>46205</v>
      </c>
      <c r="B50" s="32">
        <f t="shared" si="11"/>
        <v>1.1666666666666665</v>
      </c>
      <c r="C50" s="33"/>
      <c r="D50" s="62"/>
      <c r="E50" s="62"/>
      <c r="F50" s="27"/>
      <c r="G50" s="34" t="str">
        <f t="shared" si="9"/>
        <v/>
      </c>
      <c r="H50" s="26"/>
      <c r="I50" s="26"/>
      <c r="J50" s="26"/>
      <c r="K50" s="29"/>
      <c r="L50" s="29"/>
      <c r="M50" s="30" t="str">
        <f t="shared" ca="1" si="10"/>
        <v/>
      </c>
      <c r="N50" s="46"/>
      <c r="O50" s="31"/>
    </row>
    <row r="51" spans="1:15" ht="15" customHeight="1" x14ac:dyDescent="0.25">
      <c r="A51" s="69">
        <v>46205</v>
      </c>
      <c r="B51" s="25">
        <f t="shared" si="11"/>
        <v>1.2083333333333333</v>
      </c>
      <c r="C51" s="33"/>
      <c r="D51" s="62"/>
      <c r="E51" s="62"/>
      <c r="F51" s="27"/>
      <c r="G51" s="28" t="str">
        <f t="shared" si="9"/>
        <v/>
      </c>
      <c r="H51" s="33"/>
      <c r="I51" s="33"/>
      <c r="J51" s="33"/>
      <c r="K51" s="29"/>
      <c r="L51" s="29"/>
      <c r="M51" s="35" t="str">
        <f t="shared" ca="1" si="10"/>
        <v/>
      </c>
      <c r="N51" s="46"/>
      <c r="O51" s="31"/>
    </row>
    <row r="52" spans="1:15" ht="15" customHeight="1" x14ac:dyDescent="0.25">
      <c r="A52" s="70">
        <v>46205</v>
      </c>
      <c r="B52" s="32">
        <f t="shared" si="11"/>
        <v>1.25</v>
      </c>
      <c r="C52" s="33"/>
      <c r="D52" s="62"/>
      <c r="E52" s="62"/>
      <c r="F52" s="27"/>
      <c r="G52" s="34" t="str">
        <f t="shared" si="9"/>
        <v/>
      </c>
      <c r="H52" s="26"/>
      <c r="I52" s="26"/>
      <c r="J52" s="26"/>
      <c r="K52" s="29"/>
      <c r="L52" s="29"/>
      <c r="M52" s="30" t="str">
        <f t="shared" ca="1" si="10"/>
        <v/>
      </c>
      <c r="N52" s="46"/>
      <c r="O52" s="31"/>
    </row>
    <row r="53" spans="1:15" ht="15" customHeight="1" x14ac:dyDescent="0.25">
      <c r="A53" s="69">
        <v>46205</v>
      </c>
      <c r="B53" s="25">
        <f t="shared" si="11"/>
        <v>1.2916666666666667</v>
      </c>
      <c r="C53" s="33"/>
      <c r="D53" s="62"/>
      <c r="E53" s="62"/>
      <c r="F53" s="27"/>
      <c r="G53" s="28" t="str">
        <f t="shared" si="9"/>
        <v/>
      </c>
      <c r="H53" s="33"/>
      <c r="I53" s="33"/>
      <c r="J53" s="33"/>
      <c r="K53" s="29"/>
      <c r="L53" s="29"/>
      <c r="M53" s="35" t="str">
        <f t="shared" ca="1" si="10"/>
        <v/>
      </c>
      <c r="N53" s="46"/>
      <c r="O53" s="31"/>
    </row>
    <row r="54" spans="1:15" ht="15.75" customHeight="1" x14ac:dyDescent="0.35">
      <c r="A54" s="79" t="s">
        <v>192</v>
      </c>
      <c r="B54" s="80"/>
      <c r="C54" s="80"/>
      <c r="D54" s="80"/>
      <c r="E54" s="81">
        <f>SUM(E42:E53)</f>
        <v>0</v>
      </c>
      <c r="F54" s="36">
        <f>SUM(F42:F53)</f>
        <v>0</v>
      </c>
      <c r="G54" s="36">
        <f>SUM(G42:G53)</f>
        <v>0</v>
      </c>
      <c r="H54" s="37"/>
      <c r="I54" s="37"/>
      <c r="J54" s="37"/>
      <c r="K54" s="37"/>
      <c r="L54" s="37"/>
      <c r="M54" s="38">
        <f ca="1">IFERROR(SUM(M42:M53),"")</f>
        <v>0</v>
      </c>
      <c r="N54" s="36" t="s">
        <v>191</v>
      </c>
      <c r="O54" s="54"/>
    </row>
    <row r="55" spans="1:15" ht="18" customHeight="1" x14ac:dyDescent="0.25">
      <c r="A55" s="82" t="s">
        <v>193</v>
      </c>
      <c r="B55" s="83"/>
      <c r="C55" s="83"/>
      <c r="D55" s="83"/>
      <c r="E55" s="84">
        <f>E41+E54</f>
        <v>0</v>
      </c>
      <c r="F55" s="40">
        <f>F41+F54</f>
        <v>0</v>
      </c>
      <c r="G55" s="40">
        <f>G41+G54</f>
        <v>0</v>
      </c>
      <c r="H55" s="41"/>
      <c r="I55" s="41"/>
      <c r="J55" s="41"/>
      <c r="K55" s="41"/>
      <c r="L55" s="41"/>
      <c r="M55" s="42">
        <f ca="1">IFERROR(M41+M54,"")</f>
        <v>1.0635995371558238E-2</v>
      </c>
      <c r="N55" s="40" t="s">
        <v>194</v>
      </c>
      <c r="O55" s="43">
        <f>IFERROR(O41+O54,"")</f>
        <v>0</v>
      </c>
    </row>
    <row r="56" spans="1:15" ht="15" customHeight="1" x14ac:dyDescent="0.25">
      <c r="A56" s="69">
        <v>46206</v>
      </c>
      <c r="B56" s="25">
        <v>0.33333333333333298</v>
      </c>
      <c r="C56" s="26"/>
      <c r="D56" s="59"/>
      <c r="E56" s="59"/>
      <c r="F56" s="27"/>
      <c r="G56" s="28" t="str">
        <f t="shared" ref="G56:G67" si="12">IF(F56="","",IF(E56="PC 17",F56*4.2,IF(E56="PC 19",F56*5,"")))</f>
        <v/>
      </c>
      <c r="H56" s="26"/>
      <c r="I56" s="26"/>
      <c r="J56" s="26"/>
      <c r="K56" s="29"/>
      <c r="L56" s="29"/>
      <c r="M56" s="35" t="str">
        <f t="shared" ref="M56:M67" ca="1" si="13">IFERROR(IF(K56="","",IF(L56="",MOD(NOW()-K56,1),IF(L56&gt;=K56,L56-K56,L56+1-K56))),"")</f>
        <v/>
      </c>
      <c r="N56" s="46"/>
      <c r="O56" s="31"/>
    </row>
    <row r="57" spans="1:15" ht="15" customHeight="1" x14ac:dyDescent="0.25">
      <c r="A57" s="70">
        <v>46206</v>
      </c>
      <c r="B57" s="32">
        <f t="shared" ref="B57:B67" si="14">B56+TIME(0,60,0)</f>
        <v>0.37499999999999967</v>
      </c>
      <c r="C57" s="26"/>
      <c r="D57" s="59"/>
      <c r="E57" s="59"/>
      <c r="F57" s="27"/>
      <c r="G57" s="34" t="str">
        <f t="shared" si="12"/>
        <v/>
      </c>
      <c r="H57" s="33"/>
      <c r="I57" s="33"/>
      <c r="J57" s="33"/>
      <c r="K57" s="29"/>
      <c r="L57" s="29"/>
      <c r="M57" s="30" t="str">
        <f t="shared" ca="1" si="13"/>
        <v/>
      </c>
      <c r="N57" s="46"/>
      <c r="O57" s="31"/>
    </row>
    <row r="58" spans="1:15" ht="15" customHeight="1" x14ac:dyDescent="0.25">
      <c r="A58" s="69">
        <v>46206</v>
      </c>
      <c r="B58" s="25">
        <f t="shared" si="14"/>
        <v>0.41666666666666635</v>
      </c>
      <c r="C58" s="26"/>
      <c r="D58" s="59"/>
      <c r="E58" s="59"/>
      <c r="F58" s="27"/>
      <c r="G58" s="28" t="str">
        <f t="shared" si="12"/>
        <v/>
      </c>
      <c r="H58" s="26"/>
      <c r="I58" s="26"/>
      <c r="J58" s="26"/>
      <c r="K58" s="29"/>
      <c r="L58" s="29"/>
      <c r="M58" s="35" t="str">
        <f t="shared" ca="1" si="13"/>
        <v/>
      </c>
      <c r="N58" s="46"/>
      <c r="O58" s="31"/>
    </row>
    <row r="59" spans="1:15" ht="15" customHeight="1" x14ac:dyDescent="0.25">
      <c r="A59" s="70">
        <v>46206</v>
      </c>
      <c r="B59" s="32">
        <f t="shared" si="14"/>
        <v>0.45833333333333304</v>
      </c>
      <c r="C59" s="26"/>
      <c r="D59" s="59"/>
      <c r="E59" s="59"/>
      <c r="F59" s="27"/>
      <c r="G59" s="34" t="str">
        <f t="shared" si="12"/>
        <v/>
      </c>
      <c r="H59" s="33"/>
      <c r="I59" s="33"/>
      <c r="J59" s="33"/>
      <c r="K59" s="29"/>
      <c r="L59" s="29"/>
      <c r="M59" s="30" t="str">
        <f t="shared" ca="1" si="13"/>
        <v/>
      </c>
      <c r="N59" s="46"/>
      <c r="O59" s="31"/>
    </row>
    <row r="60" spans="1:15" ht="15" customHeight="1" x14ac:dyDescent="0.25">
      <c r="A60" s="69">
        <v>46206</v>
      </c>
      <c r="B60" s="25">
        <f t="shared" si="14"/>
        <v>0.49999999999999972</v>
      </c>
      <c r="C60" s="26"/>
      <c r="D60" s="59"/>
      <c r="E60" s="59"/>
      <c r="F60" s="27"/>
      <c r="G60" s="28" t="str">
        <f t="shared" si="12"/>
        <v/>
      </c>
      <c r="H60" s="26"/>
      <c r="I60" s="26"/>
      <c r="J60" s="26"/>
      <c r="K60" s="29"/>
      <c r="L60" s="29"/>
      <c r="M60" s="35" t="str">
        <f t="shared" ca="1" si="13"/>
        <v/>
      </c>
      <c r="N60" s="46"/>
      <c r="O60" s="31"/>
    </row>
    <row r="61" spans="1:15" ht="15" customHeight="1" x14ac:dyDescent="0.25">
      <c r="A61" s="70">
        <v>46206</v>
      </c>
      <c r="B61" s="32">
        <f t="shared" si="14"/>
        <v>0.54166666666666641</v>
      </c>
      <c r="C61" s="26"/>
      <c r="D61" s="59"/>
      <c r="E61" s="59"/>
      <c r="F61" s="27"/>
      <c r="G61" s="34" t="str">
        <f t="shared" si="12"/>
        <v/>
      </c>
      <c r="H61" s="33"/>
      <c r="I61" s="33"/>
      <c r="J61" s="33"/>
      <c r="K61" s="29"/>
      <c r="L61" s="29"/>
      <c r="M61" s="30" t="str">
        <f t="shared" ca="1" si="13"/>
        <v/>
      </c>
      <c r="N61" s="46"/>
      <c r="O61" s="31"/>
    </row>
    <row r="62" spans="1:15" ht="15" customHeight="1" x14ac:dyDescent="0.25">
      <c r="A62" s="69">
        <v>46206</v>
      </c>
      <c r="B62" s="25">
        <f t="shared" si="14"/>
        <v>0.58333333333333304</v>
      </c>
      <c r="C62" s="26"/>
      <c r="D62" s="59"/>
      <c r="E62" s="59"/>
      <c r="F62" s="27"/>
      <c r="G62" s="28" t="str">
        <f t="shared" si="12"/>
        <v/>
      </c>
      <c r="H62" s="26"/>
      <c r="I62" s="26"/>
      <c r="J62" s="26"/>
      <c r="K62" s="29"/>
      <c r="L62" s="29"/>
      <c r="M62" s="35" t="str">
        <f t="shared" ca="1" si="13"/>
        <v/>
      </c>
      <c r="N62" s="46"/>
      <c r="O62" s="31"/>
    </row>
    <row r="63" spans="1:15" ht="15" customHeight="1" x14ac:dyDescent="0.25">
      <c r="A63" s="70">
        <v>46206</v>
      </c>
      <c r="B63" s="32">
        <f t="shared" si="14"/>
        <v>0.62499999999999967</v>
      </c>
      <c r="C63" s="26"/>
      <c r="D63" s="59"/>
      <c r="E63" s="59"/>
      <c r="F63" s="27"/>
      <c r="G63" s="34" t="str">
        <f t="shared" si="12"/>
        <v/>
      </c>
      <c r="H63" s="33"/>
      <c r="I63" s="33"/>
      <c r="J63" s="33"/>
      <c r="K63" s="29"/>
      <c r="L63" s="29"/>
      <c r="M63" s="30" t="str">
        <f t="shared" ca="1" si="13"/>
        <v/>
      </c>
      <c r="N63" s="46"/>
      <c r="O63" s="31"/>
    </row>
    <row r="64" spans="1:15" ht="15" customHeight="1" x14ac:dyDescent="0.25">
      <c r="A64" s="69">
        <v>46206</v>
      </c>
      <c r="B64" s="25">
        <f t="shared" si="14"/>
        <v>0.6666666666666663</v>
      </c>
      <c r="C64" s="26"/>
      <c r="D64" s="59"/>
      <c r="E64" s="59"/>
      <c r="F64" s="27"/>
      <c r="G64" s="28" t="str">
        <f t="shared" si="12"/>
        <v/>
      </c>
      <c r="H64" s="26"/>
      <c r="I64" s="26"/>
      <c r="J64" s="26"/>
      <c r="K64" s="29"/>
      <c r="L64" s="29"/>
      <c r="M64" s="35" t="str">
        <f t="shared" ca="1" si="13"/>
        <v/>
      </c>
      <c r="N64" s="46"/>
      <c r="O64" s="31"/>
    </row>
    <row r="65" spans="1:15" ht="15" customHeight="1" x14ac:dyDescent="0.25">
      <c r="A65" s="70">
        <v>46206</v>
      </c>
      <c r="B65" s="32">
        <f t="shared" si="14"/>
        <v>0.70833333333333293</v>
      </c>
      <c r="C65" s="26"/>
      <c r="D65" s="59"/>
      <c r="E65" s="59"/>
      <c r="F65" s="27"/>
      <c r="G65" s="34" t="str">
        <f t="shared" si="12"/>
        <v/>
      </c>
      <c r="H65" s="33"/>
      <c r="I65" s="33"/>
      <c r="J65" s="33"/>
      <c r="K65" s="29"/>
      <c r="L65" s="29"/>
      <c r="M65" s="30" t="str">
        <f t="shared" ca="1" si="13"/>
        <v/>
      </c>
      <c r="N65" s="46"/>
      <c r="O65" s="31"/>
    </row>
    <row r="66" spans="1:15" ht="15" customHeight="1" x14ac:dyDescent="0.25">
      <c r="A66" s="69">
        <v>46206</v>
      </c>
      <c r="B66" s="25">
        <f t="shared" si="14"/>
        <v>0.74999999999999956</v>
      </c>
      <c r="C66" s="26"/>
      <c r="D66" s="59"/>
      <c r="E66" s="59"/>
      <c r="F66" s="27"/>
      <c r="G66" s="28" t="str">
        <f t="shared" si="12"/>
        <v/>
      </c>
      <c r="H66" s="26"/>
      <c r="I66" s="26"/>
      <c r="J66" s="26"/>
      <c r="K66" s="29"/>
      <c r="L66" s="29"/>
      <c r="M66" s="35" t="str">
        <f t="shared" ca="1" si="13"/>
        <v/>
      </c>
      <c r="N66" s="46"/>
      <c r="O66" s="31"/>
    </row>
    <row r="67" spans="1:15" ht="15" customHeight="1" x14ac:dyDescent="0.25">
      <c r="A67" s="70">
        <v>46206</v>
      </c>
      <c r="B67" s="32">
        <f t="shared" si="14"/>
        <v>0.79166666666666619</v>
      </c>
      <c r="C67" s="26"/>
      <c r="D67" s="59"/>
      <c r="E67" s="59"/>
      <c r="F67" s="27"/>
      <c r="G67" s="34" t="str">
        <f t="shared" si="12"/>
        <v/>
      </c>
      <c r="H67" s="33"/>
      <c r="I67" s="33"/>
      <c r="J67" s="33"/>
      <c r="K67" s="29"/>
      <c r="L67" s="29"/>
      <c r="M67" s="30" t="str">
        <f t="shared" ca="1" si="13"/>
        <v/>
      </c>
      <c r="N67" s="46"/>
      <c r="O67" s="31"/>
    </row>
    <row r="68" spans="1:15" ht="15.75" customHeight="1" x14ac:dyDescent="0.35">
      <c r="A68" s="79" t="s">
        <v>190</v>
      </c>
      <c r="B68" s="80"/>
      <c r="C68" s="80"/>
      <c r="D68" s="80"/>
      <c r="E68" s="81">
        <f>SUM(E56:E67)</f>
        <v>0</v>
      </c>
      <c r="F68" s="36">
        <f>SUM(F56:F67)</f>
        <v>0</v>
      </c>
      <c r="G68" s="36">
        <f>SUM(G56:G67)</f>
        <v>0</v>
      </c>
      <c r="H68" s="37"/>
      <c r="I68" s="37"/>
      <c r="J68" s="37"/>
      <c r="K68" s="37"/>
      <c r="L68" s="37"/>
      <c r="M68" s="38">
        <f ca="1">IFERROR(SUM(M56:M67),"")</f>
        <v>0</v>
      </c>
      <c r="N68" s="36" t="s">
        <v>191</v>
      </c>
      <c r="O68" s="54"/>
    </row>
    <row r="69" spans="1:15" ht="15" customHeight="1" x14ac:dyDescent="0.25">
      <c r="A69" s="70">
        <v>46206</v>
      </c>
      <c r="B69" s="32">
        <v>0.83333333333333304</v>
      </c>
      <c r="C69" s="33"/>
      <c r="D69" s="62"/>
      <c r="E69" s="62"/>
      <c r="F69" s="27"/>
      <c r="G69" s="34" t="str">
        <f t="shared" ref="G69:G80" si="15">IF(F69="","",IF(E69="PC 17",F69*4.2,IF(E69="PC 19",F69*5,"")))</f>
        <v/>
      </c>
      <c r="H69" s="33"/>
      <c r="I69" s="33"/>
      <c r="J69" s="33"/>
      <c r="K69" s="29"/>
      <c r="L69" s="29"/>
      <c r="M69" s="30" t="str">
        <f t="shared" ref="M69:M80" ca="1" si="16">IFERROR(IF(K69="","",IF(L69="",MOD(NOW()-K69,1),IF(L69&gt;=K69,L69-K69,L69+1-K69))),"")</f>
        <v/>
      </c>
      <c r="N69" s="46"/>
      <c r="O69" s="31"/>
    </row>
    <row r="70" spans="1:15" ht="15" customHeight="1" x14ac:dyDescent="0.25">
      <c r="A70" s="69">
        <v>46206</v>
      </c>
      <c r="B70" s="25">
        <f t="shared" ref="B70:B80" si="17">B69+TIME(0,60,0)</f>
        <v>0.87499999999999967</v>
      </c>
      <c r="C70" s="33"/>
      <c r="D70" s="62"/>
      <c r="E70" s="62"/>
      <c r="F70" s="27"/>
      <c r="G70" s="28" t="str">
        <f t="shared" si="15"/>
        <v/>
      </c>
      <c r="H70" s="26"/>
      <c r="I70" s="26"/>
      <c r="J70" s="26"/>
      <c r="K70" s="29"/>
      <c r="L70" s="29"/>
      <c r="M70" s="35" t="str">
        <f t="shared" ca="1" si="16"/>
        <v/>
      </c>
      <c r="N70" s="46"/>
      <c r="O70" s="31"/>
    </row>
    <row r="71" spans="1:15" ht="15" customHeight="1" x14ac:dyDescent="0.25">
      <c r="A71" s="70">
        <v>46206</v>
      </c>
      <c r="B71" s="32">
        <f t="shared" si="17"/>
        <v>0.9166666666666663</v>
      </c>
      <c r="C71" s="33"/>
      <c r="D71" s="62"/>
      <c r="E71" s="62"/>
      <c r="F71" s="27"/>
      <c r="G71" s="34" t="str">
        <f t="shared" si="15"/>
        <v/>
      </c>
      <c r="H71" s="33"/>
      <c r="I71" s="33"/>
      <c r="J71" s="33"/>
      <c r="K71" s="29"/>
      <c r="L71" s="29"/>
      <c r="M71" s="30" t="str">
        <f t="shared" ca="1" si="16"/>
        <v/>
      </c>
      <c r="N71" s="46"/>
      <c r="O71" s="31"/>
    </row>
    <row r="72" spans="1:15" ht="15" customHeight="1" x14ac:dyDescent="0.25">
      <c r="A72" s="69">
        <v>46206</v>
      </c>
      <c r="B72" s="25">
        <f t="shared" si="17"/>
        <v>0.95833333333333293</v>
      </c>
      <c r="C72" s="33"/>
      <c r="D72" s="62"/>
      <c r="E72" s="62"/>
      <c r="F72" s="27"/>
      <c r="G72" s="28" t="str">
        <f t="shared" si="15"/>
        <v/>
      </c>
      <c r="H72" s="26"/>
      <c r="I72" s="26"/>
      <c r="J72" s="26"/>
      <c r="K72" s="29"/>
      <c r="L72" s="29"/>
      <c r="M72" s="35" t="str">
        <f t="shared" ca="1" si="16"/>
        <v/>
      </c>
      <c r="N72" s="46"/>
      <c r="O72" s="31"/>
    </row>
    <row r="73" spans="1:15" ht="15" customHeight="1" x14ac:dyDescent="0.25">
      <c r="A73" s="70">
        <v>46206</v>
      </c>
      <c r="B73" s="32">
        <f t="shared" si="17"/>
        <v>0.99999999999999956</v>
      </c>
      <c r="C73" s="33"/>
      <c r="D73" s="62"/>
      <c r="E73" s="62"/>
      <c r="F73" s="27"/>
      <c r="G73" s="34" t="str">
        <f t="shared" si="15"/>
        <v/>
      </c>
      <c r="H73" s="33"/>
      <c r="I73" s="33"/>
      <c r="J73" s="33"/>
      <c r="K73" s="29"/>
      <c r="L73" s="29"/>
      <c r="M73" s="30" t="str">
        <f t="shared" ca="1" si="16"/>
        <v/>
      </c>
      <c r="N73" s="46"/>
      <c r="O73" s="31"/>
    </row>
    <row r="74" spans="1:15" ht="15" customHeight="1" x14ac:dyDescent="0.25">
      <c r="A74" s="69">
        <v>46206</v>
      </c>
      <c r="B74" s="25">
        <f t="shared" si="17"/>
        <v>1.0416666666666663</v>
      </c>
      <c r="C74" s="33"/>
      <c r="D74" s="62"/>
      <c r="E74" s="62"/>
      <c r="F74" s="27"/>
      <c r="G74" s="28" t="str">
        <f t="shared" si="15"/>
        <v/>
      </c>
      <c r="H74" s="26"/>
      <c r="I74" s="26"/>
      <c r="J74" s="26"/>
      <c r="K74" s="29"/>
      <c r="L74" s="29"/>
      <c r="M74" s="35" t="str">
        <f t="shared" ca="1" si="16"/>
        <v/>
      </c>
      <c r="N74" s="46"/>
      <c r="O74" s="31"/>
    </row>
    <row r="75" spans="1:15" ht="15" customHeight="1" x14ac:dyDescent="0.25">
      <c r="A75" s="70">
        <v>46206</v>
      </c>
      <c r="B75" s="32">
        <f t="shared" si="17"/>
        <v>1.083333333333333</v>
      </c>
      <c r="C75" s="33"/>
      <c r="D75" s="62"/>
      <c r="E75" s="62"/>
      <c r="F75" s="27"/>
      <c r="G75" s="34" t="str">
        <f t="shared" si="15"/>
        <v/>
      </c>
      <c r="H75" s="33"/>
      <c r="I75" s="33"/>
      <c r="J75" s="33"/>
      <c r="K75" s="29"/>
      <c r="L75" s="29"/>
      <c r="M75" s="30" t="str">
        <f t="shared" ca="1" si="16"/>
        <v/>
      </c>
      <c r="N75" s="46"/>
      <c r="O75" s="31"/>
    </row>
    <row r="76" spans="1:15" ht="15" customHeight="1" x14ac:dyDescent="0.25">
      <c r="A76" s="69">
        <v>46206</v>
      </c>
      <c r="B76" s="25">
        <f t="shared" si="17"/>
        <v>1.1249999999999998</v>
      </c>
      <c r="C76" s="33"/>
      <c r="D76" s="62"/>
      <c r="E76" s="62"/>
      <c r="F76" s="27"/>
      <c r="G76" s="28" t="str">
        <f t="shared" si="15"/>
        <v/>
      </c>
      <c r="H76" s="26"/>
      <c r="I76" s="26"/>
      <c r="J76" s="26"/>
      <c r="K76" s="29"/>
      <c r="L76" s="29"/>
      <c r="M76" s="35" t="str">
        <f t="shared" ca="1" si="16"/>
        <v/>
      </c>
      <c r="N76" s="46"/>
      <c r="O76" s="31"/>
    </row>
    <row r="77" spans="1:15" ht="15" customHeight="1" x14ac:dyDescent="0.25">
      <c r="A77" s="70">
        <v>46206</v>
      </c>
      <c r="B77" s="32">
        <f t="shared" si="17"/>
        <v>1.1666666666666665</v>
      </c>
      <c r="C77" s="33"/>
      <c r="D77" s="62"/>
      <c r="E77" s="62"/>
      <c r="F77" s="27"/>
      <c r="G77" s="34" t="str">
        <f t="shared" si="15"/>
        <v/>
      </c>
      <c r="H77" s="33"/>
      <c r="I77" s="33"/>
      <c r="J77" s="33"/>
      <c r="K77" s="29"/>
      <c r="L77" s="29"/>
      <c r="M77" s="30" t="str">
        <f t="shared" ca="1" si="16"/>
        <v/>
      </c>
      <c r="N77" s="46"/>
      <c r="O77" s="31"/>
    </row>
    <row r="78" spans="1:15" ht="15" customHeight="1" x14ac:dyDescent="0.25">
      <c r="A78" s="69">
        <v>46206</v>
      </c>
      <c r="B78" s="25">
        <f t="shared" si="17"/>
        <v>1.2083333333333333</v>
      </c>
      <c r="C78" s="33"/>
      <c r="D78" s="62"/>
      <c r="E78" s="62"/>
      <c r="F78" s="27"/>
      <c r="G78" s="28" t="str">
        <f t="shared" si="15"/>
        <v/>
      </c>
      <c r="H78" s="26"/>
      <c r="I78" s="26"/>
      <c r="J78" s="26"/>
      <c r="K78" s="29"/>
      <c r="L78" s="29"/>
      <c r="M78" s="35" t="str">
        <f t="shared" ca="1" si="16"/>
        <v/>
      </c>
      <c r="N78" s="46"/>
      <c r="O78" s="31"/>
    </row>
    <row r="79" spans="1:15" ht="15" customHeight="1" x14ac:dyDescent="0.25">
      <c r="A79" s="70">
        <v>46206</v>
      </c>
      <c r="B79" s="32">
        <f t="shared" si="17"/>
        <v>1.25</v>
      </c>
      <c r="C79" s="33"/>
      <c r="D79" s="62"/>
      <c r="E79" s="62"/>
      <c r="F79" s="27"/>
      <c r="G79" s="34" t="str">
        <f t="shared" si="15"/>
        <v/>
      </c>
      <c r="H79" s="33"/>
      <c r="I79" s="33"/>
      <c r="J79" s="33"/>
      <c r="K79" s="29"/>
      <c r="L79" s="29"/>
      <c r="M79" s="30" t="str">
        <f t="shared" ca="1" si="16"/>
        <v/>
      </c>
      <c r="N79" s="46"/>
      <c r="O79" s="31"/>
    </row>
    <row r="80" spans="1:15" ht="15" customHeight="1" x14ac:dyDescent="0.25">
      <c r="A80" s="69">
        <v>46206</v>
      </c>
      <c r="B80" s="25">
        <f t="shared" si="17"/>
        <v>1.2916666666666667</v>
      </c>
      <c r="C80" s="33"/>
      <c r="D80" s="62"/>
      <c r="E80" s="62"/>
      <c r="F80" s="27"/>
      <c r="G80" s="28" t="str">
        <f t="shared" si="15"/>
        <v/>
      </c>
      <c r="H80" s="26"/>
      <c r="I80" s="26"/>
      <c r="J80" s="26"/>
      <c r="K80" s="29"/>
      <c r="L80" s="29"/>
      <c r="M80" s="35" t="str">
        <f t="shared" ca="1" si="16"/>
        <v/>
      </c>
      <c r="N80" s="46"/>
      <c r="O80" s="31"/>
    </row>
    <row r="81" spans="1:15" ht="15.75" customHeight="1" x14ac:dyDescent="0.35">
      <c r="A81" s="79" t="s">
        <v>192</v>
      </c>
      <c r="B81" s="80"/>
      <c r="C81" s="80"/>
      <c r="D81" s="80"/>
      <c r="E81" s="81">
        <f>SUM(E69:E80)</f>
        <v>0</v>
      </c>
      <c r="F81" s="36">
        <f>SUM(F69:F80)</f>
        <v>0</v>
      </c>
      <c r="G81" s="36">
        <f>SUM(G69:G80)</f>
        <v>0</v>
      </c>
      <c r="H81" s="37"/>
      <c r="I81" s="37"/>
      <c r="J81" s="37"/>
      <c r="K81" s="37"/>
      <c r="L81" s="37"/>
      <c r="M81" s="38">
        <f ca="1">IFERROR(SUM(M69:M80),"")</f>
        <v>0</v>
      </c>
      <c r="N81" s="36" t="s">
        <v>191</v>
      </c>
      <c r="O81" s="54"/>
    </row>
    <row r="82" spans="1:15" ht="18" customHeight="1" x14ac:dyDescent="0.25">
      <c r="A82" s="82" t="s">
        <v>193</v>
      </c>
      <c r="B82" s="83"/>
      <c r="C82" s="83"/>
      <c r="D82" s="83"/>
      <c r="E82" s="84">
        <f>E68+E81</f>
        <v>0</v>
      </c>
      <c r="F82" s="40">
        <f>F68+F81</f>
        <v>0</v>
      </c>
      <c r="G82" s="40">
        <f>G68+G81</f>
        <v>0</v>
      </c>
      <c r="H82" s="41"/>
      <c r="I82" s="41"/>
      <c r="J82" s="41"/>
      <c r="K82" s="41"/>
      <c r="L82" s="41"/>
      <c r="M82" s="42">
        <f ca="1">IFERROR(M68+M81,"")</f>
        <v>0</v>
      </c>
      <c r="N82" s="40" t="s">
        <v>194</v>
      </c>
      <c r="O82" s="43">
        <f>IFERROR(O68+O81,"")</f>
        <v>0</v>
      </c>
    </row>
    <row r="83" spans="1:15" ht="15" customHeight="1" x14ac:dyDescent="0.25">
      <c r="A83" s="69">
        <v>46207</v>
      </c>
      <c r="B83" s="25">
        <v>0.33333333333333298</v>
      </c>
      <c r="C83" s="26"/>
      <c r="D83" s="59"/>
      <c r="E83" s="59"/>
      <c r="F83" s="27"/>
      <c r="G83" s="28" t="str">
        <f t="shared" ref="G83:G94" si="18">IF(F83="","",IF(E83="PC 17",F83*4.2,IF(E83="PC 19",F83*5,"")))</f>
        <v/>
      </c>
      <c r="H83" s="33"/>
      <c r="I83" s="33"/>
      <c r="J83" s="33"/>
      <c r="K83" s="29"/>
      <c r="L83" s="29"/>
      <c r="M83" s="35" t="str">
        <f t="shared" ref="M83:M94" ca="1" si="19">IFERROR(IF(K83="","",IF(L83="",MOD(NOW()-K83,1),IF(L83&gt;=K83,L83-K83,L83+1-K83))),"")</f>
        <v/>
      </c>
      <c r="N83" s="46"/>
      <c r="O83" s="31"/>
    </row>
    <row r="84" spans="1:15" ht="15" customHeight="1" x14ac:dyDescent="0.25">
      <c r="A84" s="70">
        <v>46207</v>
      </c>
      <c r="B84" s="32">
        <f t="shared" ref="B84:B94" si="20">B83+TIME(0,60,0)</f>
        <v>0.37499999999999967</v>
      </c>
      <c r="C84" s="26"/>
      <c r="D84" s="59"/>
      <c r="E84" s="59"/>
      <c r="F84" s="27"/>
      <c r="G84" s="34" t="str">
        <f t="shared" si="18"/>
        <v/>
      </c>
      <c r="H84" s="26"/>
      <c r="I84" s="26"/>
      <c r="J84" s="26"/>
      <c r="K84" s="29"/>
      <c r="L84" s="29"/>
      <c r="M84" s="30" t="str">
        <f t="shared" ca="1" si="19"/>
        <v/>
      </c>
      <c r="N84" s="46"/>
      <c r="O84" s="31"/>
    </row>
    <row r="85" spans="1:15" ht="15" customHeight="1" x14ac:dyDescent="0.25">
      <c r="A85" s="69">
        <v>46207</v>
      </c>
      <c r="B85" s="25">
        <f t="shared" si="20"/>
        <v>0.41666666666666635</v>
      </c>
      <c r="C85" s="26"/>
      <c r="D85" s="59"/>
      <c r="E85" s="59"/>
      <c r="F85" s="27"/>
      <c r="G85" s="28" t="str">
        <f t="shared" si="18"/>
        <v/>
      </c>
      <c r="H85" s="33"/>
      <c r="I85" s="33"/>
      <c r="J85" s="33"/>
      <c r="K85" s="29"/>
      <c r="L85" s="29"/>
      <c r="M85" s="35" t="str">
        <f t="shared" ca="1" si="19"/>
        <v/>
      </c>
      <c r="N85" s="46"/>
      <c r="O85" s="31"/>
    </row>
    <row r="86" spans="1:15" ht="15" customHeight="1" x14ac:dyDescent="0.25">
      <c r="A86" s="70">
        <v>46207</v>
      </c>
      <c r="B86" s="32">
        <f t="shared" si="20"/>
        <v>0.45833333333333304</v>
      </c>
      <c r="C86" s="26"/>
      <c r="D86" s="59"/>
      <c r="E86" s="59"/>
      <c r="F86" s="27"/>
      <c r="G86" s="34" t="str">
        <f t="shared" si="18"/>
        <v/>
      </c>
      <c r="H86" s="26"/>
      <c r="I86" s="26"/>
      <c r="J86" s="26"/>
      <c r="K86" s="29"/>
      <c r="L86" s="29"/>
      <c r="M86" s="30" t="str">
        <f t="shared" ca="1" si="19"/>
        <v/>
      </c>
      <c r="N86" s="46"/>
      <c r="O86" s="31"/>
    </row>
    <row r="87" spans="1:15" ht="15" customHeight="1" x14ac:dyDescent="0.25">
      <c r="A87" s="69">
        <v>46207</v>
      </c>
      <c r="B87" s="25">
        <f t="shared" si="20"/>
        <v>0.49999999999999972</v>
      </c>
      <c r="C87" s="26"/>
      <c r="D87" s="59"/>
      <c r="E87" s="59"/>
      <c r="F87" s="27"/>
      <c r="G87" s="28" t="str">
        <f t="shared" si="18"/>
        <v/>
      </c>
      <c r="H87" s="33"/>
      <c r="I87" s="33"/>
      <c r="J87" s="33"/>
      <c r="K87" s="29"/>
      <c r="L87" s="29"/>
      <c r="M87" s="35" t="str">
        <f t="shared" ca="1" si="19"/>
        <v/>
      </c>
      <c r="N87" s="46"/>
      <c r="O87" s="31"/>
    </row>
    <row r="88" spans="1:15" ht="15" customHeight="1" x14ac:dyDescent="0.25">
      <c r="A88" s="70">
        <v>46207</v>
      </c>
      <c r="B88" s="32">
        <f t="shared" si="20"/>
        <v>0.54166666666666641</v>
      </c>
      <c r="C88" s="26"/>
      <c r="D88" s="59"/>
      <c r="E88" s="59"/>
      <c r="F88" s="27"/>
      <c r="G88" s="34" t="str">
        <f t="shared" si="18"/>
        <v/>
      </c>
      <c r="H88" s="26"/>
      <c r="I88" s="26"/>
      <c r="J88" s="26"/>
      <c r="K88" s="29"/>
      <c r="L88" s="29"/>
      <c r="M88" s="30" t="str">
        <f t="shared" ca="1" si="19"/>
        <v/>
      </c>
      <c r="N88" s="46"/>
      <c r="O88" s="31"/>
    </row>
    <row r="89" spans="1:15" ht="15" customHeight="1" x14ac:dyDescent="0.25">
      <c r="A89" s="69">
        <v>46207</v>
      </c>
      <c r="B89" s="25">
        <f t="shared" si="20"/>
        <v>0.58333333333333304</v>
      </c>
      <c r="C89" s="26"/>
      <c r="D89" s="59"/>
      <c r="E89" s="59"/>
      <c r="F89" s="27"/>
      <c r="G89" s="28" t="str">
        <f t="shared" si="18"/>
        <v/>
      </c>
      <c r="H89" s="33"/>
      <c r="I89" s="33"/>
      <c r="J89" s="33"/>
      <c r="K89" s="29"/>
      <c r="L89" s="29"/>
      <c r="M89" s="35" t="str">
        <f t="shared" ca="1" si="19"/>
        <v/>
      </c>
      <c r="N89" s="46"/>
      <c r="O89" s="31"/>
    </row>
    <row r="90" spans="1:15" ht="15" customHeight="1" x14ac:dyDescent="0.25">
      <c r="A90" s="70">
        <v>46207</v>
      </c>
      <c r="B90" s="32">
        <f t="shared" si="20"/>
        <v>0.62499999999999967</v>
      </c>
      <c r="C90" s="26"/>
      <c r="D90" s="59"/>
      <c r="E90" s="59"/>
      <c r="F90" s="27"/>
      <c r="G90" s="34" t="str">
        <f t="shared" si="18"/>
        <v/>
      </c>
      <c r="H90" s="26"/>
      <c r="I90" s="26"/>
      <c r="J90" s="26"/>
      <c r="K90" s="29"/>
      <c r="L90" s="29"/>
      <c r="M90" s="30" t="str">
        <f t="shared" ca="1" si="19"/>
        <v/>
      </c>
      <c r="N90" s="46"/>
      <c r="O90" s="31"/>
    </row>
    <row r="91" spans="1:15" ht="15" customHeight="1" x14ac:dyDescent="0.25">
      <c r="A91" s="69">
        <v>46207</v>
      </c>
      <c r="B91" s="25">
        <f t="shared" si="20"/>
        <v>0.6666666666666663</v>
      </c>
      <c r="C91" s="26"/>
      <c r="D91" s="59"/>
      <c r="E91" s="59"/>
      <c r="F91" s="27"/>
      <c r="G91" s="28" t="str">
        <f t="shared" si="18"/>
        <v/>
      </c>
      <c r="H91" s="33"/>
      <c r="I91" s="33"/>
      <c r="J91" s="33"/>
      <c r="K91" s="29"/>
      <c r="L91" s="29"/>
      <c r="M91" s="35" t="str">
        <f t="shared" ca="1" si="19"/>
        <v/>
      </c>
      <c r="N91" s="46"/>
      <c r="O91" s="31"/>
    </row>
    <row r="92" spans="1:15" ht="15" customHeight="1" x14ac:dyDescent="0.25">
      <c r="A92" s="70">
        <v>46207</v>
      </c>
      <c r="B92" s="32">
        <f t="shared" si="20"/>
        <v>0.70833333333333293</v>
      </c>
      <c r="C92" s="26"/>
      <c r="D92" s="59"/>
      <c r="E92" s="59"/>
      <c r="F92" s="27"/>
      <c r="G92" s="34" t="str">
        <f t="shared" si="18"/>
        <v/>
      </c>
      <c r="H92" s="26"/>
      <c r="I92" s="26"/>
      <c r="J92" s="26"/>
      <c r="K92" s="29"/>
      <c r="L92" s="29"/>
      <c r="M92" s="30" t="str">
        <f t="shared" ca="1" si="19"/>
        <v/>
      </c>
      <c r="N92" s="46"/>
      <c r="O92" s="31"/>
    </row>
    <row r="93" spans="1:15" ht="15" customHeight="1" x14ac:dyDescent="0.25">
      <c r="A93" s="69">
        <v>46207</v>
      </c>
      <c r="B93" s="25">
        <f t="shared" si="20"/>
        <v>0.74999999999999956</v>
      </c>
      <c r="C93" s="26"/>
      <c r="D93" s="59"/>
      <c r="E93" s="59"/>
      <c r="F93" s="27"/>
      <c r="G93" s="28" t="str">
        <f t="shared" si="18"/>
        <v/>
      </c>
      <c r="H93" s="33"/>
      <c r="I93" s="33"/>
      <c r="J93" s="33"/>
      <c r="K93" s="29"/>
      <c r="L93" s="29"/>
      <c r="M93" s="35" t="str">
        <f t="shared" ca="1" si="19"/>
        <v/>
      </c>
      <c r="N93" s="46"/>
      <c r="O93" s="31"/>
    </row>
    <row r="94" spans="1:15" ht="15" customHeight="1" x14ac:dyDescent="0.25">
      <c r="A94" s="70">
        <v>46207</v>
      </c>
      <c r="B94" s="32">
        <f t="shared" si="20"/>
        <v>0.79166666666666619</v>
      </c>
      <c r="C94" s="26"/>
      <c r="D94" s="59"/>
      <c r="E94" s="59"/>
      <c r="F94" s="27"/>
      <c r="G94" s="34" t="str">
        <f t="shared" si="18"/>
        <v/>
      </c>
      <c r="H94" s="26"/>
      <c r="I94" s="26"/>
      <c r="J94" s="26"/>
      <c r="K94" s="29"/>
      <c r="L94" s="29"/>
      <c r="M94" s="30" t="str">
        <f t="shared" ca="1" si="19"/>
        <v/>
      </c>
      <c r="N94" s="46"/>
      <c r="O94" s="31"/>
    </row>
    <row r="95" spans="1:15" ht="15.75" customHeight="1" x14ac:dyDescent="0.35">
      <c r="A95" s="79" t="s">
        <v>190</v>
      </c>
      <c r="B95" s="80"/>
      <c r="C95" s="80"/>
      <c r="D95" s="80"/>
      <c r="E95" s="81">
        <f>SUM(E83:E94)</f>
        <v>0</v>
      </c>
      <c r="F95" s="36">
        <f>SUM(F83:F94)</f>
        <v>0</v>
      </c>
      <c r="G95" s="36">
        <f>SUM(G83:G94)</f>
        <v>0</v>
      </c>
      <c r="H95" s="37"/>
      <c r="I95" s="37"/>
      <c r="J95" s="37"/>
      <c r="K95" s="37"/>
      <c r="L95" s="37"/>
      <c r="M95" s="38">
        <f ca="1">IFERROR(SUM(M83:M94),"")</f>
        <v>0</v>
      </c>
      <c r="N95" s="36" t="s">
        <v>191</v>
      </c>
      <c r="O95" s="54"/>
    </row>
    <row r="96" spans="1:15" ht="15" customHeight="1" x14ac:dyDescent="0.25">
      <c r="A96" s="70">
        <v>46207</v>
      </c>
      <c r="B96" s="32">
        <v>0.83333333333333304</v>
      </c>
      <c r="C96" s="33"/>
      <c r="D96" s="62"/>
      <c r="E96" s="62"/>
      <c r="F96" s="27"/>
      <c r="G96" s="34" t="str">
        <f t="shared" ref="G96:G107" si="21">IF(F96="","",IF(E96="PC 17",F96*4.2,IF(E96="PC 19",F96*5,"")))</f>
        <v/>
      </c>
      <c r="H96" s="26"/>
      <c r="I96" s="26"/>
      <c r="J96" s="26"/>
      <c r="K96" s="29"/>
      <c r="L96" s="29"/>
      <c r="M96" s="30" t="str">
        <f t="shared" ref="M96:M107" ca="1" si="22">IFERROR(IF(K96="","",IF(L96="",MOD(NOW()-K96,1),IF(L96&gt;=K96,L96-K96,L96+1-K96))),"")</f>
        <v/>
      </c>
      <c r="N96" s="46"/>
      <c r="O96" s="31"/>
    </row>
    <row r="97" spans="1:15" ht="15" customHeight="1" x14ac:dyDescent="0.25">
      <c r="A97" s="69">
        <v>46207</v>
      </c>
      <c r="B97" s="25">
        <f t="shared" ref="B97:B107" si="23">B96+TIME(0,60,0)</f>
        <v>0.87499999999999967</v>
      </c>
      <c r="C97" s="33"/>
      <c r="D97" s="62"/>
      <c r="E97" s="62"/>
      <c r="F97" s="27"/>
      <c r="G97" s="28" t="str">
        <f t="shared" si="21"/>
        <v/>
      </c>
      <c r="H97" s="33"/>
      <c r="I97" s="33"/>
      <c r="J97" s="33"/>
      <c r="K97" s="29"/>
      <c r="L97" s="29"/>
      <c r="M97" s="35" t="str">
        <f t="shared" ca="1" si="22"/>
        <v/>
      </c>
      <c r="N97" s="46"/>
      <c r="O97" s="31"/>
    </row>
    <row r="98" spans="1:15" ht="15" customHeight="1" x14ac:dyDescent="0.25">
      <c r="A98" s="70">
        <v>46207</v>
      </c>
      <c r="B98" s="32">
        <f t="shared" si="23"/>
        <v>0.9166666666666663</v>
      </c>
      <c r="C98" s="33"/>
      <c r="D98" s="62"/>
      <c r="E98" s="62"/>
      <c r="F98" s="27"/>
      <c r="G98" s="34" t="str">
        <f t="shared" si="21"/>
        <v/>
      </c>
      <c r="H98" s="26"/>
      <c r="I98" s="26"/>
      <c r="J98" s="26"/>
      <c r="K98" s="29"/>
      <c r="L98" s="29"/>
      <c r="M98" s="30" t="str">
        <f t="shared" ca="1" si="22"/>
        <v/>
      </c>
      <c r="N98" s="46"/>
      <c r="O98" s="31"/>
    </row>
    <row r="99" spans="1:15" ht="15" customHeight="1" x14ac:dyDescent="0.25">
      <c r="A99" s="69">
        <v>46207</v>
      </c>
      <c r="B99" s="25">
        <f t="shared" si="23"/>
        <v>0.95833333333333293</v>
      </c>
      <c r="C99" s="33"/>
      <c r="D99" s="62"/>
      <c r="E99" s="62"/>
      <c r="F99" s="27"/>
      <c r="G99" s="28" t="str">
        <f t="shared" si="21"/>
        <v/>
      </c>
      <c r="H99" s="33"/>
      <c r="I99" s="33"/>
      <c r="J99" s="33"/>
      <c r="K99" s="29"/>
      <c r="L99" s="29"/>
      <c r="M99" s="35" t="str">
        <f t="shared" ca="1" si="22"/>
        <v/>
      </c>
      <c r="N99" s="46"/>
      <c r="O99" s="31"/>
    </row>
    <row r="100" spans="1:15" ht="15" customHeight="1" x14ac:dyDescent="0.25">
      <c r="A100" s="70">
        <v>46207</v>
      </c>
      <c r="B100" s="32">
        <f t="shared" si="23"/>
        <v>0.99999999999999956</v>
      </c>
      <c r="C100" s="33"/>
      <c r="D100" s="62"/>
      <c r="E100" s="62"/>
      <c r="F100" s="27"/>
      <c r="G100" s="34" t="str">
        <f t="shared" si="21"/>
        <v/>
      </c>
      <c r="H100" s="26"/>
      <c r="I100" s="26"/>
      <c r="J100" s="26"/>
      <c r="K100" s="29"/>
      <c r="L100" s="29"/>
      <c r="M100" s="30" t="str">
        <f t="shared" ca="1" si="22"/>
        <v/>
      </c>
      <c r="N100" s="46"/>
      <c r="O100" s="31"/>
    </row>
    <row r="101" spans="1:15" ht="15" customHeight="1" x14ac:dyDescent="0.25">
      <c r="A101" s="69">
        <v>46207</v>
      </c>
      <c r="B101" s="25">
        <f t="shared" si="23"/>
        <v>1.0416666666666663</v>
      </c>
      <c r="C101" s="33"/>
      <c r="D101" s="62"/>
      <c r="E101" s="62"/>
      <c r="F101" s="27"/>
      <c r="G101" s="28" t="str">
        <f t="shared" si="21"/>
        <v/>
      </c>
      <c r="H101" s="33"/>
      <c r="I101" s="33"/>
      <c r="J101" s="33"/>
      <c r="K101" s="29"/>
      <c r="L101" s="29"/>
      <c r="M101" s="35" t="str">
        <f t="shared" ca="1" si="22"/>
        <v/>
      </c>
      <c r="N101" s="46"/>
      <c r="O101" s="31"/>
    </row>
    <row r="102" spans="1:15" ht="15" customHeight="1" x14ac:dyDescent="0.25">
      <c r="A102" s="70">
        <v>46207</v>
      </c>
      <c r="B102" s="32">
        <f t="shared" si="23"/>
        <v>1.083333333333333</v>
      </c>
      <c r="C102" s="33"/>
      <c r="D102" s="62"/>
      <c r="E102" s="62"/>
      <c r="F102" s="27"/>
      <c r="G102" s="34" t="str">
        <f t="shared" si="21"/>
        <v/>
      </c>
      <c r="H102" s="26"/>
      <c r="I102" s="26"/>
      <c r="J102" s="26"/>
      <c r="K102" s="29"/>
      <c r="L102" s="29"/>
      <c r="M102" s="30" t="str">
        <f t="shared" ca="1" si="22"/>
        <v/>
      </c>
      <c r="N102" s="46"/>
      <c r="O102" s="31"/>
    </row>
    <row r="103" spans="1:15" ht="15" customHeight="1" x14ac:dyDescent="0.25">
      <c r="A103" s="69">
        <v>46207</v>
      </c>
      <c r="B103" s="25">
        <f t="shared" si="23"/>
        <v>1.1249999999999998</v>
      </c>
      <c r="C103" s="33"/>
      <c r="D103" s="62"/>
      <c r="E103" s="62"/>
      <c r="F103" s="27"/>
      <c r="G103" s="28" t="str">
        <f t="shared" si="21"/>
        <v/>
      </c>
      <c r="H103" s="33"/>
      <c r="I103" s="33"/>
      <c r="J103" s="33"/>
      <c r="K103" s="29"/>
      <c r="L103" s="29"/>
      <c r="M103" s="35" t="str">
        <f t="shared" ca="1" si="22"/>
        <v/>
      </c>
      <c r="N103" s="46"/>
      <c r="O103" s="31"/>
    </row>
    <row r="104" spans="1:15" ht="15" customHeight="1" x14ac:dyDescent="0.25">
      <c r="A104" s="70">
        <v>46207</v>
      </c>
      <c r="B104" s="32">
        <f t="shared" si="23"/>
        <v>1.1666666666666665</v>
      </c>
      <c r="C104" s="33"/>
      <c r="D104" s="62"/>
      <c r="E104" s="62"/>
      <c r="F104" s="27"/>
      <c r="G104" s="34" t="str">
        <f t="shared" si="21"/>
        <v/>
      </c>
      <c r="H104" s="26"/>
      <c r="I104" s="26"/>
      <c r="J104" s="26"/>
      <c r="K104" s="29"/>
      <c r="L104" s="29"/>
      <c r="M104" s="30" t="str">
        <f t="shared" ca="1" si="22"/>
        <v/>
      </c>
      <c r="N104" s="46"/>
      <c r="O104" s="31"/>
    </row>
    <row r="105" spans="1:15" ht="15" customHeight="1" x14ac:dyDescent="0.25">
      <c r="A105" s="69">
        <v>46207</v>
      </c>
      <c r="B105" s="25">
        <f t="shared" si="23"/>
        <v>1.2083333333333333</v>
      </c>
      <c r="C105" s="33"/>
      <c r="D105" s="62"/>
      <c r="E105" s="62"/>
      <c r="F105" s="27"/>
      <c r="G105" s="28" t="str">
        <f t="shared" si="21"/>
        <v/>
      </c>
      <c r="H105" s="33"/>
      <c r="I105" s="33"/>
      <c r="J105" s="33"/>
      <c r="K105" s="29"/>
      <c r="L105" s="29"/>
      <c r="M105" s="35" t="str">
        <f t="shared" ca="1" si="22"/>
        <v/>
      </c>
      <c r="N105" s="46"/>
      <c r="O105" s="31"/>
    </row>
    <row r="106" spans="1:15" ht="15" customHeight="1" x14ac:dyDescent="0.25">
      <c r="A106" s="70">
        <v>46207</v>
      </c>
      <c r="B106" s="32">
        <f t="shared" si="23"/>
        <v>1.25</v>
      </c>
      <c r="C106" s="33"/>
      <c r="D106" s="62"/>
      <c r="E106" s="62"/>
      <c r="F106" s="27"/>
      <c r="G106" s="34" t="str">
        <f t="shared" si="21"/>
        <v/>
      </c>
      <c r="H106" s="26"/>
      <c r="I106" s="26"/>
      <c r="J106" s="26"/>
      <c r="K106" s="29"/>
      <c r="L106" s="29"/>
      <c r="M106" s="30" t="str">
        <f t="shared" ca="1" si="22"/>
        <v/>
      </c>
      <c r="N106" s="46"/>
      <c r="O106" s="31"/>
    </row>
    <row r="107" spans="1:15" ht="15" customHeight="1" x14ac:dyDescent="0.25">
      <c r="A107" s="69">
        <v>46207</v>
      </c>
      <c r="B107" s="25">
        <f t="shared" si="23"/>
        <v>1.2916666666666667</v>
      </c>
      <c r="C107" s="33"/>
      <c r="D107" s="62"/>
      <c r="E107" s="62"/>
      <c r="F107" s="27"/>
      <c r="G107" s="28" t="str">
        <f t="shared" si="21"/>
        <v/>
      </c>
      <c r="H107" s="33"/>
      <c r="I107" s="33"/>
      <c r="J107" s="33"/>
      <c r="K107" s="29"/>
      <c r="L107" s="29"/>
      <c r="M107" s="35" t="str">
        <f t="shared" ca="1" si="22"/>
        <v/>
      </c>
      <c r="N107" s="46"/>
      <c r="O107" s="31"/>
    </row>
    <row r="108" spans="1:15" ht="15.75" customHeight="1" x14ac:dyDescent="0.35">
      <c r="A108" s="79" t="s">
        <v>192</v>
      </c>
      <c r="B108" s="80"/>
      <c r="C108" s="80"/>
      <c r="D108" s="80"/>
      <c r="E108" s="81">
        <f>SUM(E96:E107)</f>
        <v>0</v>
      </c>
      <c r="F108" s="36">
        <f>SUM(F96:F107)</f>
        <v>0</v>
      </c>
      <c r="G108" s="36">
        <f>SUM(G96:G107)</f>
        <v>0</v>
      </c>
      <c r="H108" s="37"/>
      <c r="I108" s="37"/>
      <c r="J108" s="37"/>
      <c r="K108" s="37"/>
      <c r="L108" s="37"/>
      <c r="M108" s="38">
        <f ca="1">IFERROR(SUM(M96:M107),"")</f>
        <v>0</v>
      </c>
      <c r="N108" s="36" t="s">
        <v>191</v>
      </c>
      <c r="O108" s="54"/>
    </row>
    <row r="109" spans="1:15" ht="18" customHeight="1" x14ac:dyDescent="0.25">
      <c r="A109" s="82" t="s">
        <v>193</v>
      </c>
      <c r="B109" s="83"/>
      <c r="C109" s="83"/>
      <c r="D109" s="83"/>
      <c r="E109" s="84">
        <f>E95+E108</f>
        <v>0</v>
      </c>
      <c r="F109" s="40">
        <f>F95+F108</f>
        <v>0</v>
      </c>
      <c r="G109" s="40">
        <f>G95+G108</f>
        <v>0</v>
      </c>
      <c r="H109" s="41"/>
      <c r="I109" s="41"/>
      <c r="J109" s="41"/>
      <c r="K109" s="41"/>
      <c r="L109" s="41"/>
      <c r="M109" s="42">
        <f ca="1">IFERROR(M95+M108,"")</f>
        <v>0</v>
      </c>
      <c r="N109" s="40" t="s">
        <v>194</v>
      </c>
      <c r="O109" s="43">
        <f>IFERROR(O95+O108,"")</f>
        <v>0</v>
      </c>
    </row>
    <row r="110" spans="1:15" ht="15" customHeight="1" x14ac:dyDescent="0.25">
      <c r="A110" s="69">
        <v>46208</v>
      </c>
      <c r="B110" s="25">
        <v>0.33333333333333298</v>
      </c>
      <c r="C110" s="26"/>
      <c r="D110" s="59"/>
      <c r="E110" s="59"/>
      <c r="F110" s="27"/>
      <c r="G110" s="28" t="str">
        <f t="shared" ref="G110:G121" si="24">IF(F110="","",IF(E110="PC 17",F110*4.2,IF(E110="PC 19",F110*5,"")))</f>
        <v/>
      </c>
      <c r="H110" s="26"/>
      <c r="I110" s="26"/>
      <c r="J110" s="26"/>
      <c r="K110" s="29"/>
      <c r="L110" s="29"/>
      <c r="M110" s="35" t="str">
        <f t="shared" ref="M110:M121" ca="1" si="25">IFERROR(IF(K110="","",IF(L110="",MOD(NOW()-K110,1),IF(L110&gt;=K110,L110-K110,L110+1-K110))),"")</f>
        <v/>
      </c>
      <c r="N110" s="46"/>
      <c r="O110" s="31"/>
    </row>
    <row r="111" spans="1:15" ht="15" customHeight="1" x14ac:dyDescent="0.25">
      <c r="A111" s="70">
        <v>46208</v>
      </c>
      <c r="B111" s="32">
        <f t="shared" ref="B111:B121" si="26">B110+TIME(0,60,0)</f>
        <v>0.37499999999999967</v>
      </c>
      <c r="C111" s="26"/>
      <c r="D111" s="59"/>
      <c r="E111" s="59"/>
      <c r="F111" s="27"/>
      <c r="G111" s="34" t="str">
        <f t="shared" si="24"/>
        <v/>
      </c>
      <c r="H111" s="33"/>
      <c r="I111" s="33"/>
      <c r="J111" s="33"/>
      <c r="K111" s="29"/>
      <c r="L111" s="29"/>
      <c r="M111" s="30" t="str">
        <f t="shared" ca="1" si="25"/>
        <v/>
      </c>
      <c r="N111" s="46"/>
      <c r="O111" s="31"/>
    </row>
    <row r="112" spans="1:15" ht="15" customHeight="1" x14ac:dyDescent="0.25">
      <c r="A112" s="69">
        <v>46208</v>
      </c>
      <c r="B112" s="25">
        <f t="shared" si="26"/>
        <v>0.41666666666666635</v>
      </c>
      <c r="C112" s="26"/>
      <c r="D112" s="59"/>
      <c r="E112" s="59"/>
      <c r="F112" s="27"/>
      <c r="G112" s="28" t="str">
        <f t="shared" si="24"/>
        <v/>
      </c>
      <c r="H112" s="26"/>
      <c r="I112" s="26"/>
      <c r="J112" s="26"/>
      <c r="K112" s="29"/>
      <c r="L112" s="29"/>
      <c r="M112" s="35" t="str">
        <f t="shared" ca="1" si="25"/>
        <v/>
      </c>
      <c r="N112" s="46"/>
      <c r="O112" s="31"/>
    </row>
    <row r="113" spans="1:15" ht="15" customHeight="1" x14ac:dyDescent="0.25">
      <c r="A113" s="70">
        <v>46208</v>
      </c>
      <c r="B113" s="32">
        <f t="shared" si="26"/>
        <v>0.45833333333333304</v>
      </c>
      <c r="C113" s="26"/>
      <c r="D113" s="59"/>
      <c r="E113" s="59"/>
      <c r="F113" s="27"/>
      <c r="G113" s="34" t="str">
        <f t="shared" si="24"/>
        <v/>
      </c>
      <c r="H113" s="33"/>
      <c r="I113" s="33"/>
      <c r="J113" s="33"/>
      <c r="K113" s="29"/>
      <c r="L113" s="29"/>
      <c r="M113" s="30" t="str">
        <f t="shared" ca="1" si="25"/>
        <v/>
      </c>
      <c r="N113" s="46"/>
      <c r="O113" s="31"/>
    </row>
    <row r="114" spans="1:15" ht="15" customHeight="1" x14ac:dyDescent="0.25">
      <c r="A114" s="69">
        <v>46208</v>
      </c>
      <c r="B114" s="25">
        <f t="shared" si="26"/>
        <v>0.49999999999999972</v>
      </c>
      <c r="C114" s="26"/>
      <c r="D114" s="59"/>
      <c r="E114" s="59"/>
      <c r="F114" s="27"/>
      <c r="G114" s="28" t="str">
        <f t="shared" si="24"/>
        <v/>
      </c>
      <c r="H114" s="26"/>
      <c r="I114" s="26"/>
      <c r="J114" s="26"/>
      <c r="K114" s="29"/>
      <c r="L114" s="29"/>
      <c r="M114" s="35" t="str">
        <f t="shared" ca="1" si="25"/>
        <v/>
      </c>
      <c r="N114" s="46"/>
      <c r="O114" s="31"/>
    </row>
    <row r="115" spans="1:15" ht="15" customHeight="1" x14ac:dyDescent="0.25">
      <c r="A115" s="70">
        <v>46208</v>
      </c>
      <c r="B115" s="32">
        <f t="shared" si="26"/>
        <v>0.54166666666666641</v>
      </c>
      <c r="C115" s="26"/>
      <c r="D115" s="59"/>
      <c r="E115" s="59"/>
      <c r="F115" s="27"/>
      <c r="G115" s="34" t="str">
        <f t="shared" si="24"/>
        <v/>
      </c>
      <c r="H115" s="33"/>
      <c r="I115" s="33"/>
      <c r="J115" s="33"/>
      <c r="K115" s="29"/>
      <c r="L115" s="29"/>
      <c r="M115" s="30" t="str">
        <f t="shared" ca="1" si="25"/>
        <v/>
      </c>
      <c r="N115" s="46"/>
      <c r="O115" s="31"/>
    </row>
    <row r="116" spans="1:15" ht="15" customHeight="1" x14ac:dyDescent="0.25">
      <c r="A116" s="69">
        <v>46208</v>
      </c>
      <c r="B116" s="25">
        <f t="shared" si="26"/>
        <v>0.58333333333333304</v>
      </c>
      <c r="C116" s="26"/>
      <c r="D116" s="59"/>
      <c r="E116" s="59"/>
      <c r="F116" s="27"/>
      <c r="G116" s="28" t="str">
        <f t="shared" si="24"/>
        <v/>
      </c>
      <c r="H116" s="26"/>
      <c r="I116" s="26"/>
      <c r="J116" s="26"/>
      <c r="K116" s="29"/>
      <c r="L116" s="29"/>
      <c r="M116" s="35" t="str">
        <f t="shared" ca="1" si="25"/>
        <v/>
      </c>
      <c r="N116" s="46"/>
      <c r="O116" s="31"/>
    </row>
    <row r="117" spans="1:15" ht="15" customHeight="1" x14ac:dyDescent="0.25">
      <c r="A117" s="70">
        <v>46208</v>
      </c>
      <c r="B117" s="32">
        <f t="shared" si="26"/>
        <v>0.62499999999999967</v>
      </c>
      <c r="C117" s="26"/>
      <c r="D117" s="59"/>
      <c r="E117" s="59"/>
      <c r="F117" s="27"/>
      <c r="G117" s="34" t="str">
        <f t="shared" si="24"/>
        <v/>
      </c>
      <c r="H117" s="33"/>
      <c r="I117" s="33"/>
      <c r="J117" s="33"/>
      <c r="K117" s="29"/>
      <c r="L117" s="29"/>
      <c r="M117" s="30" t="str">
        <f t="shared" ca="1" si="25"/>
        <v/>
      </c>
      <c r="N117" s="46"/>
      <c r="O117" s="31"/>
    </row>
    <row r="118" spans="1:15" ht="15" customHeight="1" x14ac:dyDescent="0.25">
      <c r="A118" s="69">
        <v>46208</v>
      </c>
      <c r="B118" s="25">
        <f t="shared" si="26"/>
        <v>0.6666666666666663</v>
      </c>
      <c r="C118" s="26"/>
      <c r="D118" s="59"/>
      <c r="E118" s="59"/>
      <c r="F118" s="27"/>
      <c r="G118" s="28" t="str">
        <f t="shared" si="24"/>
        <v/>
      </c>
      <c r="H118" s="26"/>
      <c r="I118" s="26"/>
      <c r="J118" s="26"/>
      <c r="K118" s="29"/>
      <c r="L118" s="29"/>
      <c r="M118" s="35" t="str">
        <f t="shared" ca="1" si="25"/>
        <v/>
      </c>
      <c r="N118" s="46"/>
      <c r="O118" s="31"/>
    </row>
    <row r="119" spans="1:15" ht="15" customHeight="1" x14ac:dyDescent="0.25">
      <c r="A119" s="70">
        <v>46208</v>
      </c>
      <c r="B119" s="32">
        <f t="shared" si="26"/>
        <v>0.70833333333333293</v>
      </c>
      <c r="C119" s="26"/>
      <c r="D119" s="59"/>
      <c r="E119" s="59"/>
      <c r="F119" s="27"/>
      <c r="G119" s="34" t="str">
        <f t="shared" si="24"/>
        <v/>
      </c>
      <c r="H119" s="33"/>
      <c r="I119" s="33"/>
      <c r="J119" s="33"/>
      <c r="K119" s="29"/>
      <c r="L119" s="29"/>
      <c r="M119" s="30" t="str">
        <f t="shared" ca="1" si="25"/>
        <v/>
      </c>
      <c r="N119" s="46"/>
      <c r="O119" s="31"/>
    </row>
    <row r="120" spans="1:15" ht="15" customHeight="1" x14ac:dyDescent="0.25">
      <c r="A120" s="69">
        <v>46208</v>
      </c>
      <c r="B120" s="25">
        <f t="shared" si="26"/>
        <v>0.74999999999999956</v>
      </c>
      <c r="C120" s="26"/>
      <c r="D120" s="59"/>
      <c r="E120" s="59"/>
      <c r="F120" s="27"/>
      <c r="G120" s="28" t="str">
        <f t="shared" si="24"/>
        <v/>
      </c>
      <c r="H120" s="26"/>
      <c r="I120" s="26"/>
      <c r="J120" s="26"/>
      <c r="K120" s="29"/>
      <c r="L120" s="29"/>
      <c r="M120" s="35" t="str">
        <f t="shared" ca="1" si="25"/>
        <v/>
      </c>
      <c r="N120" s="46"/>
      <c r="O120" s="31"/>
    </row>
    <row r="121" spans="1:15" ht="15" customHeight="1" x14ac:dyDescent="0.25">
      <c r="A121" s="70">
        <v>46208</v>
      </c>
      <c r="B121" s="32">
        <f t="shared" si="26"/>
        <v>0.79166666666666619</v>
      </c>
      <c r="C121" s="26"/>
      <c r="D121" s="59"/>
      <c r="E121" s="59"/>
      <c r="F121" s="27"/>
      <c r="G121" s="34" t="str">
        <f t="shared" si="24"/>
        <v/>
      </c>
      <c r="H121" s="33"/>
      <c r="I121" s="33"/>
      <c r="J121" s="33"/>
      <c r="K121" s="29"/>
      <c r="L121" s="29"/>
      <c r="M121" s="30" t="str">
        <f t="shared" ca="1" si="25"/>
        <v/>
      </c>
      <c r="N121" s="46"/>
      <c r="O121" s="31"/>
    </row>
    <row r="122" spans="1:15" ht="15.75" customHeight="1" x14ac:dyDescent="0.35">
      <c r="A122" s="79" t="s">
        <v>190</v>
      </c>
      <c r="B122" s="80"/>
      <c r="C122" s="80"/>
      <c r="D122" s="80"/>
      <c r="E122" s="81">
        <f>SUM(E110:E121)</f>
        <v>0</v>
      </c>
      <c r="F122" s="36">
        <f>SUM(F110:F121)</f>
        <v>0</v>
      </c>
      <c r="G122" s="36">
        <f>SUM(G110:G121)</f>
        <v>0</v>
      </c>
      <c r="H122" s="37"/>
      <c r="I122" s="37"/>
      <c r="J122" s="37"/>
      <c r="K122" s="37"/>
      <c r="L122" s="37"/>
      <c r="M122" s="38">
        <f ca="1">IFERROR(SUM(M110:M121),"")</f>
        <v>0</v>
      </c>
      <c r="N122" s="36" t="s">
        <v>191</v>
      </c>
      <c r="O122" s="54"/>
    </row>
    <row r="123" spans="1:15" ht="15" customHeight="1" x14ac:dyDescent="0.25">
      <c r="A123" s="70">
        <v>46208</v>
      </c>
      <c r="B123" s="32">
        <v>0.83333333333333304</v>
      </c>
      <c r="C123" s="33"/>
      <c r="D123" s="62"/>
      <c r="E123" s="62"/>
      <c r="F123" s="27"/>
      <c r="G123" s="34" t="str">
        <f t="shared" ref="G123:G134" si="27">IF(F123="","",IF(E123="PC 17",F123*4.2,IF(E123="PC 19",F123*5,"")))</f>
        <v/>
      </c>
      <c r="H123" s="33"/>
      <c r="I123" s="33"/>
      <c r="J123" s="33"/>
      <c r="K123" s="29"/>
      <c r="L123" s="29"/>
      <c r="M123" s="30" t="str">
        <f t="shared" ref="M123:M134" ca="1" si="28">IFERROR(IF(K123="","",IF(L123="",MOD(NOW()-K123,1),IF(L123&gt;=K123,L123-K123,L123+1-K123))),"")</f>
        <v/>
      </c>
      <c r="N123" s="46"/>
      <c r="O123" s="31"/>
    </row>
    <row r="124" spans="1:15" ht="15" customHeight="1" x14ac:dyDescent="0.25">
      <c r="A124" s="69">
        <v>46208</v>
      </c>
      <c r="B124" s="25">
        <f t="shared" ref="B124:B134" si="29">B123+TIME(0,60,0)</f>
        <v>0.87499999999999967</v>
      </c>
      <c r="C124" s="33"/>
      <c r="D124" s="62"/>
      <c r="E124" s="62"/>
      <c r="F124" s="27"/>
      <c r="G124" s="28" t="str">
        <f t="shared" si="27"/>
        <v/>
      </c>
      <c r="H124" s="26"/>
      <c r="I124" s="26"/>
      <c r="J124" s="26"/>
      <c r="K124" s="29"/>
      <c r="L124" s="29"/>
      <c r="M124" s="35" t="str">
        <f t="shared" ca="1" si="28"/>
        <v/>
      </c>
      <c r="N124" s="46"/>
      <c r="O124" s="31"/>
    </row>
    <row r="125" spans="1:15" ht="15" customHeight="1" x14ac:dyDescent="0.25">
      <c r="A125" s="70">
        <v>46208</v>
      </c>
      <c r="B125" s="32">
        <f t="shared" si="29"/>
        <v>0.9166666666666663</v>
      </c>
      <c r="C125" s="33"/>
      <c r="D125" s="62"/>
      <c r="E125" s="62"/>
      <c r="F125" s="27"/>
      <c r="G125" s="34" t="str">
        <f t="shared" si="27"/>
        <v/>
      </c>
      <c r="H125" s="33"/>
      <c r="I125" s="33"/>
      <c r="J125" s="33"/>
      <c r="K125" s="29"/>
      <c r="L125" s="29"/>
      <c r="M125" s="30" t="str">
        <f t="shared" ca="1" si="28"/>
        <v/>
      </c>
      <c r="N125" s="46"/>
      <c r="O125" s="31"/>
    </row>
    <row r="126" spans="1:15" ht="15" customHeight="1" x14ac:dyDescent="0.25">
      <c r="A126" s="69">
        <v>46208</v>
      </c>
      <c r="B126" s="25">
        <f t="shared" si="29"/>
        <v>0.95833333333333293</v>
      </c>
      <c r="C126" s="33"/>
      <c r="D126" s="62"/>
      <c r="E126" s="62"/>
      <c r="F126" s="27"/>
      <c r="G126" s="28" t="str">
        <f t="shared" si="27"/>
        <v/>
      </c>
      <c r="H126" s="26"/>
      <c r="I126" s="26"/>
      <c r="J126" s="26"/>
      <c r="K126" s="29"/>
      <c r="L126" s="29"/>
      <c r="M126" s="35" t="str">
        <f t="shared" ca="1" si="28"/>
        <v/>
      </c>
      <c r="N126" s="46"/>
      <c r="O126" s="31"/>
    </row>
    <row r="127" spans="1:15" ht="15" customHeight="1" x14ac:dyDescent="0.25">
      <c r="A127" s="70">
        <v>46208</v>
      </c>
      <c r="B127" s="32">
        <f t="shared" si="29"/>
        <v>0.99999999999999956</v>
      </c>
      <c r="C127" s="33"/>
      <c r="D127" s="62"/>
      <c r="E127" s="62"/>
      <c r="F127" s="27"/>
      <c r="G127" s="34" t="str">
        <f t="shared" si="27"/>
        <v/>
      </c>
      <c r="H127" s="33"/>
      <c r="I127" s="33"/>
      <c r="J127" s="33"/>
      <c r="K127" s="29"/>
      <c r="L127" s="29"/>
      <c r="M127" s="30" t="str">
        <f t="shared" ca="1" si="28"/>
        <v/>
      </c>
      <c r="N127" s="46"/>
      <c r="O127" s="31"/>
    </row>
    <row r="128" spans="1:15" ht="15" customHeight="1" x14ac:dyDescent="0.25">
      <c r="A128" s="69">
        <v>46208</v>
      </c>
      <c r="B128" s="25">
        <f t="shared" si="29"/>
        <v>1.0416666666666663</v>
      </c>
      <c r="C128" s="33"/>
      <c r="D128" s="62"/>
      <c r="E128" s="62"/>
      <c r="F128" s="27"/>
      <c r="G128" s="28" t="str">
        <f t="shared" si="27"/>
        <v/>
      </c>
      <c r="H128" s="26"/>
      <c r="I128" s="26"/>
      <c r="J128" s="26"/>
      <c r="K128" s="29"/>
      <c r="L128" s="29"/>
      <c r="M128" s="35" t="str">
        <f t="shared" ca="1" si="28"/>
        <v/>
      </c>
      <c r="N128" s="46"/>
      <c r="O128" s="31"/>
    </row>
    <row r="129" spans="1:15" ht="15" customHeight="1" x14ac:dyDescent="0.25">
      <c r="A129" s="70">
        <v>46208</v>
      </c>
      <c r="B129" s="32">
        <f t="shared" si="29"/>
        <v>1.083333333333333</v>
      </c>
      <c r="C129" s="33"/>
      <c r="D129" s="62"/>
      <c r="E129" s="62"/>
      <c r="F129" s="27"/>
      <c r="G129" s="34" t="str">
        <f t="shared" si="27"/>
        <v/>
      </c>
      <c r="H129" s="33"/>
      <c r="I129" s="33"/>
      <c r="J129" s="33"/>
      <c r="K129" s="29"/>
      <c r="L129" s="29"/>
      <c r="M129" s="30" t="str">
        <f t="shared" ca="1" si="28"/>
        <v/>
      </c>
      <c r="N129" s="46"/>
      <c r="O129" s="31"/>
    </row>
    <row r="130" spans="1:15" ht="15" customHeight="1" x14ac:dyDescent="0.25">
      <c r="A130" s="69">
        <v>46208</v>
      </c>
      <c r="B130" s="25">
        <f t="shared" si="29"/>
        <v>1.1249999999999998</v>
      </c>
      <c r="C130" s="33"/>
      <c r="D130" s="62"/>
      <c r="E130" s="62"/>
      <c r="F130" s="27"/>
      <c r="G130" s="28" t="str">
        <f t="shared" si="27"/>
        <v/>
      </c>
      <c r="H130" s="26"/>
      <c r="I130" s="26"/>
      <c r="J130" s="26"/>
      <c r="K130" s="29"/>
      <c r="L130" s="29"/>
      <c r="M130" s="35" t="str">
        <f t="shared" ca="1" si="28"/>
        <v/>
      </c>
      <c r="N130" s="46"/>
      <c r="O130" s="31"/>
    </row>
    <row r="131" spans="1:15" ht="15" customHeight="1" x14ac:dyDescent="0.25">
      <c r="A131" s="70">
        <v>46208</v>
      </c>
      <c r="B131" s="32">
        <f t="shared" si="29"/>
        <v>1.1666666666666665</v>
      </c>
      <c r="C131" s="33"/>
      <c r="D131" s="62"/>
      <c r="E131" s="62"/>
      <c r="F131" s="27"/>
      <c r="G131" s="34" t="str">
        <f t="shared" si="27"/>
        <v/>
      </c>
      <c r="H131" s="33"/>
      <c r="I131" s="33"/>
      <c r="J131" s="33"/>
      <c r="K131" s="29"/>
      <c r="L131" s="29"/>
      <c r="M131" s="30" t="str">
        <f t="shared" ca="1" si="28"/>
        <v/>
      </c>
      <c r="N131" s="46"/>
      <c r="O131" s="31"/>
    </row>
    <row r="132" spans="1:15" ht="15" customHeight="1" x14ac:dyDescent="0.25">
      <c r="A132" s="69">
        <v>46208</v>
      </c>
      <c r="B132" s="25">
        <f t="shared" si="29"/>
        <v>1.2083333333333333</v>
      </c>
      <c r="C132" s="33"/>
      <c r="D132" s="62"/>
      <c r="E132" s="62"/>
      <c r="F132" s="27"/>
      <c r="G132" s="28" t="str">
        <f t="shared" si="27"/>
        <v/>
      </c>
      <c r="H132" s="26"/>
      <c r="I132" s="26"/>
      <c r="J132" s="26"/>
      <c r="K132" s="29"/>
      <c r="L132" s="29"/>
      <c r="M132" s="35" t="str">
        <f t="shared" ca="1" si="28"/>
        <v/>
      </c>
      <c r="N132" s="46"/>
      <c r="O132" s="31"/>
    </row>
    <row r="133" spans="1:15" ht="15" customHeight="1" x14ac:dyDescent="0.25">
      <c r="A133" s="70">
        <v>46208</v>
      </c>
      <c r="B133" s="32">
        <f t="shared" si="29"/>
        <v>1.25</v>
      </c>
      <c r="C133" s="33"/>
      <c r="D133" s="62"/>
      <c r="E133" s="62"/>
      <c r="F133" s="27"/>
      <c r="G133" s="34" t="str">
        <f t="shared" si="27"/>
        <v/>
      </c>
      <c r="H133" s="33"/>
      <c r="I133" s="33"/>
      <c r="J133" s="33"/>
      <c r="K133" s="29"/>
      <c r="L133" s="29"/>
      <c r="M133" s="30" t="str">
        <f t="shared" ca="1" si="28"/>
        <v/>
      </c>
      <c r="N133" s="46"/>
      <c r="O133" s="31"/>
    </row>
    <row r="134" spans="1:15" ht="15" customHeight="1" x14ac:dyDescent="0.25">
      <c r="A134" s="69">
        <v>46208</v>
      </c>
      <c r="B134" s="25">
        <f t="shared" si="29"/>
        <v>1.2916666666666667</v>
      </c>
      <c r="C134" s="33"/>
      <c r="D134" s="62"/>
      <c r="E134" s="62"/>
      <c r="F134" s="27"/>
      <c r="G134" s="28" t="str">
        <f t="shared" si="27"/>
        <v/>
      </c>
      <c r="H134" s="26"/>
      <c r="I134" s="26"/>
      <c r="J134" s="26"/>
      <c r="K134" s="29"/>
      <c r="L134" s="29"/>
      <c r="M134" s="35" t="str">
        <f t="shared" ca="1" si="28"/>
        <v/>
      </c>
      <c r="N134" s="46"/>
      <c r="O134" s="31"/>
    </row>
    <row r="135" spans="1:15" ht="15.75" customHeight="1" x14ac:dyDescent="0.35">
      <c r="A135" s="79" t="s">
        <v>192</v>
      </c>
      <c r="B135" s="80"/>
      <c r="C135" s="80"/>
      <c r="D135" s="80"/>
      <c r="E135" s="81">
        <f>SUM(E123:E134)</f>
        <v>0</v>
      </c>
      <c r="F135" s="36">
        <f>SUM(F123:F134)</f>
        <v>0</v>
      </c>
      <c r="G135" s="36">
        <f>SUM(G123:G134)</f>
        <v>0</v>
      </c>
      <c r="H135" s="37"/>
      <c r="I135" s="37"/>
      <c r="J135" s="37"/>
      <c r="K135" s="37"/>
      <c r="L135" s="37"/>
      <c r="M135" s="38">
        <f ca="1">IFERROR(SUM(M123:M134),"")</f>
        <v>0</v>
      </c>
      <c r="N135" s="36" t="s">
        <v>191</v>
      </c>
      <c r="O135" s="54"/>
    </row>
    <row r="136" spans="1:15" ht="18" customHeight="1" x14ac:dyDescent="0.25">
      <c r="A136" s="82" t="s">
        <v>193</v>
      </c>
      <c r="B136" s="83"/>
      <c r="C136" s="83"/>
      <c r="D136" s="83"/>
      <c r="E136" s="84">
        <f>E122+E135</f>
        <v>0</v>
      </c>
      <c r="F136" s="40">
        <f>F122+F135</f>
        <v>0</v>
      </c>
      <c r="G136" s="40">
        <f>G122+G135</f>
        <v>0</v>
      </c>
      <c r="H136" s="41"/>
      <c r="I136" s="41"/>
      <c r="J136" s="41"/>
      <c r="K136" s="41"/>
      <c r="L136" s="41"/>
      <c r="M136" s="42">
        <f ca="1">IFERROR(M122+M135,"")</f>
        <v>0</v>
      </c>
      <c r="N136" s="40" t="s">
        <v>194</v>
      </c>
      <c r="O136" s="43">
        <f>IFERROR(O122+O135,"")</f>
        <v>0</v>
      </c>
    </row>
    <row r="137" spans="1:15" ht="15" customHeight="1" x14ac:dyDescent="0.25">
      <c r="A137" s="70">
        <v>46209</v>
      </c>
      <c r="B137" s="32">
        <v>0.33333333333333298</v>
      </c>
      <c r="C137" s="33"/>
      <c r="D137" s="62"/>
      <c r="E137" s="62"/>
      <c r="F137" s="27"/>
      <c r="G137" s="34" t="str">
        <f t="shared" ref="G137:G148" si="30">IF(F137="","",IF(E137="PC 17",F137*4.2,IF(E137="PC 19",F137*5,"")))</f>
        <v/>
      </c>
      <c r="H137" s="33"/>
      <c r="I137" s="33"/>
      <c r="J137" s="33"/>
      <c r="K137" s="29"/>
      <c r="L137" s="29"/>
      <c r="M137" s="35" t="str">
        <f t="shared" ref="M137:M148" ca="1" si="31">IFERROR(IF(K137="","",IF(L137="",MOD(NOW()-K137,1),IF(L137&gt;=K137,L137-K137,L137+1-K137))),"")</f>
        <v/>
      </c>
      <c r="N137" s="46"/>
      <c r="O137" s="31"/>
    </row>
    <row r="138" spans="1:15" ht="15" customHeight="1" x14ac:dyDescent="0.25">
      <c r="A138" s="69">
        <v>46209</v>
      </c>
      <c r="B138" s="25">
        <f t="shared" ref="B138:B148" si="32">B137+TIME(0,60,0)</f>
        <v>0.37499999999999967</v>
      </c>
      <c r="C138" s="33"/>
      <c r="D138" s="62"/>
      <c r="E138" s="62"/>
      <c r="F138" s="27"/>
      <c r="G138" s="28" t="str">
        <f t="shared" si="30"/>
        <v/>
      </c>
      <c r="H138" s="26"/>
      <c r="I138" s="26"/>
      <c r="J138" s="26"/>
      <c r="K138" s="29"/>
      <c r="L138" s="29"/>
      <c r="M138" s="30" t="str">
        <f t="shared" ca="1" si="31"/>
        <v/>
      </c>
      <c r="N138" s="46"/>
      <c r="O138" s="31"/>
    </row>
    <row r="139" spans="1:15" ht="15" customHeight="1" x14ac:dyDescent="0.25">
      <c r="A139" s="70">
        <v>46209</v>
      </c>
      <c r="B139" s="32">
        <f t="shared" si="32"/>
        <v>0.41666666666666635</v>
      </c>
      <c r="C139" s="33"/>
      <c r="D139" s="62"/>
      <c r="E139" s="62"/>
      <c r="F139" s="27"/>
      <c r="G139" s="34" t="str">
        <f t="shared" si="30"/>
        <v/>
      </c>
      <c r="H139" s="33"/>
      <c r="I139" s="33"/>
      <c r="J139" s="33"/>
      <c r="K139" s="29"/>
      <c r="L139" s="29"/>
      <c r="M139" s="35" t="str">
        <f t="shared" ca="1" si="31"/>
        <v/>
      </c>
      <c r="N139" s="46"/>
      <c r="O139" s="31"/>
    </row>
    <row r="140" spans="1:15" ht="15" customHeight="1" x14ac:dyDescent="0.25">
      <c r="A140" s="69">
        <v>46209</v>
      </c>
      <c r="B140" s="25">
        <f t="shared" si="32"/>
        <v>0.45833333333333304</v>
      </c>
      <c r="C140" s="33"/>
      <c r="D140" s="62"/>
      <c r="E140" s="62"/>
      <c r="F140" s="27"/>
      <c r="G140" s="28" t="str">
        <f t="shared" si="30"/>
        <v/>
      </c>
      <c r="H140" s="26"/>
      <c r="I140" s="26"/>
      <c r="J140" s="26"/>
      <c r="K140" s="29"/>
      <c r="L140" s="29"/>
      <c r="M140" s="30" t="str">
        <f t="shared" ca="1" si="31"/>
        <v/>
      </c>
      <c r="N140" s="46"/>
      <c r="O140" s="31"/>
    </row>
    <row r="141" spans="1:15" ht="15" customHeight="1" x14ac:dyDescent="0.25">
      <c r="A141" s="70">
        <v>46209</v>
      </c>
      <c r="B141" s="32">
        <f t="shared" si="32"/>
        <v>0.49999999999999972</v>
      </c>
      <c r="C141" s="33"/>
      <c r="D141" s="62"/>
      <c r="E141" s="62"/>
      <c r="F141" s="27"/>
      <c r="G141" s="34" t="str">
        <f t="shared" si="30"/>
        <v/>
      </c>
      <c r="H141" s="33"/>
      <c r="I141" s="33"/>
      <c r="J141" s="33"/>
      <c r="K141" s="29"/>
      <c r="L141" s="29"/>
      <c r="M141" s="35" t="str">
        <f t="shared" ca="1" si="31"/>
        <v/>
      </c>
      <c r="N141" s="46"/>
      <c r="O141" s="31"/>
    </row>
    <row r="142" spans="1:15" ht="15" customHeight="1" x14ac:dyDescent="0.25">
      <c r="A142" s="69">
        <v>46209</v>
      </c>
      <c r="B142" s="25">
        <f t="shared" si="32"/>
        <v>0.54166666666666641</v>
      </c>
      <c r="C142" s="33"/>
      <c r="D142" s="62"/>
      <c r="E142" s="62"/>
      <c r="F142" s="27"/>
      <c r="G142" s="28" t="str">
        <f t="shared" si="30"/>
        <v/>
      </c>
      <c r="H142" s="26"/>
      <c r="I142" s="26"/>
      <c r="J142" s="26"/>
      <c r="K142" s="29"/>
      <c r="L142" s="29"/>
      <c r="M142" s="30" t="str">
        <f t="shared" ca="1" si="31"/>
        <v/>
      </c>
      <c r="N142" s="46"/>
      <c r="O142" s="31"/>
    </row>
    <row r="143" spans="1:15" ht="15" customHeight="1" x14ac:dyDescent="0.25">
      <c r="A143" s="70">
        <v>46209</v>
      </c>
      <c r="B143" s="32">
        <f t="shared" si="32"/>
        <v>0.58333333333333304</v>
      </c>
      <c r="C143" s="33"/>
      <c r="D143" s="62"/>
      <c r="E143" s="62"/>
      <c r="F143" s="27"/>
      <c r="G143" s="34" t="str">
        <f t="shared" si="30"/>
        <v/>
      </c>
      <c r="H143" s="33"/>
      <c r="I143" s="33"/>
      <c r="J143" s="33"/>
      <c r="K143" s="29"/>
      <c r="L143" s="29"/>
      <c r="M143" s="35" t="str">
        <f t="shared" ca="1" si="31"/>
        <v/>
      </c>
      <c r="N143" s="46"/>
      <c r="O143" s="31"/>
    </row>
    <row r="144" spans="1:15" ht="15" customHeight="1" x14ac:dyDescent="0.25">
      <c r="A144" s="69">
        <v>46209</v>
      </c>
      <c r="B144" s="25">
        <f t="shared" si="32"/>
        <v>0.62499999999999967</v>
      </c>
      <c r="C144" s="33"/>
      <c r="D144" s="62"/>
      <c r="E144" s="62"/>
      <c r="F144" s="27"/>
      <c r="G144" s="28" t="str">
        <f t="shared" si="30"/>
        <v/>
      </c>
      <c r="H144" s="26"/>
      <c r="I144" s="26"/>
      <c r="J144" s="26"/>
      <c r="K144" s="29"/>
      <c r="L144" s="29"/>
      <c r="M144" s="30" t="str">
        <f t="shared" ca="1" si="31"/>
        <v/>
      </c>
      <c r="N144" s="46"/>
      <c r="O144" s="31"/>
    </row>
    <row r="145" spans="1:15" ht="15" customHeight="1" x14ac:dyDescent="0.25">
      <c r="A145" s="70">
        <v>46209</v>
      </c>
      <c r="B145" s="32">
        <f t="shared" si="32"/>
        <v>0.6666666666666663</v>
      </c>
      <c r="C145" s="33"/>
      <c r="D145" s="62"/>
      <c r="E145" s="62"/>
      <c r="F145" s="27"/>
      <c r="G145" s="34" t="str">
        <f t="shared" si="30"/>
        <v/>
      </c>
      <c r="H145" s="33"/>
      <c r="I145" s="33"/>
      <c r="J145" s="33"/>
      <c r="K145" s="29"/>
      <c r="L145" s="29"/>
      <c r="M145" s="35" t="str">
        <f t="shared" ca="1" si="31"/>
        <v/>
      </c>
      <c r="N145" s="46"/>
      <c r="O145" s="31"/>
    </row>
    <row r="146" spans="1:15" ht="15" customHeight="1" x14ac:dyDescent="0.25">
      <c r="A146" s="69">
        <v>46209</v>
      </c>
      <c r="B146" s="25">
        <f t="shared" si="32"/>
        <v>0.70833333333333293</v>
      </c>
      <c r="C146" s="33"/>
      <c r="D146" s="62"/>
      <c r="E146" s="62"/>
      <c r="F146" s="27"/>
      <c r="G146" s="28" t="str">
        <f t="shared" si="30"/>
        <v/>
      </c>
      <c r="H146" s="26"/>
      <c r="I146" s="26"/>
      <c r="J146" s="26"/>
      <c r="K146" s="29"/>
      <c r="L146" s="29"/>
      <c r="M146" s="30" t="str">
        <f t="shared" ca="1" si="31"/>
        <v/>
      </c>
      <c r="N146" s="46"/>
      <c r="O146" s="31"/>
    </row>
    <row r="147" spans="1:15" ht="15" customHeight="1" x14ac:dyDescent="0.25">
      <c r="A147" s="70">
        <v>46209</v>
      </c>
      <c r="B147" s="32">
        <f t="shared" si="32"/>
        <v>0.74999999999999956</v>
      </c>
      <c r="C147" s="33"/>
      <c r="D147" s="62"/>
      <c r="E147" s="62"/>
      <c r="F147" s="27"/>
      <c r="G147" s="34" t="str">
        <f t="shared" si="30"/>
        <v/>
      </c>
      <c r="H147" s="33"/>
      <c r="I147" s="33"/>
      <c r="J147" s="33"/>
      <c r="K147" s="29"/>
      <c r="L147" s="29"/>
      <c r="M147" s="35" t="str">
        <f t="shared" ca="1" si="31"/>
        <v/>
      </c>
      <c r="N147" s="46"/>
      <c r="O147" s="31"/>
    </row>
    <row r="148" spans="1:15" ht="15" customHeight="1" x14ac:dyDescent="0.25">
      <c r="A148" s="69">
        <v>46209</v>
      </c>
      <c r="B148" s="25">
        <f t="shared" si="32"/>
        <v>0.79166666666666619</v>
      </c>
      <c r="C148" s="33"/>
      <c r="D148" s="62"/>
      <c r="E148" s="62"/>
      <c r="F148" s="27"/>
      <c r="G148" s="28" t="str">
        <f t="shared" si="30"/>
        <v/>
      </c>
      <c r="H148" s="26"/>
      <c r="I148" s="26"/>
      <c r="J148" s="26"/>
      <c r="K148" s="29"/>
      <c r="L148" s="29"/>
      <c r="M148" s="30" t="str">
        <f t="shared" ca="1" si="31"/>
        <v/>
      </c>
      <c r="N148" s="46"/>
      <c r="O148" s="31"/>
    </row>
    <row r="149" spans="1:15" ht="15.75" customHeight="1" x14ac:dyDescent="0.35">
      <c r="A149" s="79" t="s">
        <v>190</v>
      </c>
      <c r="B149" s="80"/>
      <c r="C149" s="80"/>
      <c r="D149" s="80"/>
      <c r="E149" s="81">
        <f>SUM(E137:E148)</f>
        <v>0</v>
      </c>
      <c r="F149" s="36">
        <f>SUM(F137:F148)</f>
        <v>0</v>
      </c>
      <c r="G149" s="36">
        <f>SUM(G137:G148)</f>
        <v>0</v>
      </c>
      <c r="H149" s="37"/>
      <c r="I149" s="37"/>
      <c r="J149" s="37"/>
      <c r="K149" s="37"/>
      <c r="L149" s="37"/>
      <c r="M149" s="38">
        <f ca="1">IFERROR(SUM(M137:M148),"")</f>
        <v>0</v>
      </c>
      <c r="N149" s="36" t="s">
        <v>191</v>
      </c>
      <c r="O149" s="54"/>
    </row>
    <row r="150" spans="1:15" ht="15" customHeight="1" x14ac:dyDescent="0.25">
      <c r="A150" s="69">
        <v>46209</v>
      </c>
      <c r="B150" s="25">
        <v>0.83333333333333304</v>
      </c>
      <c r="C150" s="26"/>
      <c r="D150" s="59"/>
      <c r="E150" s="59"/>
      <c r="F150" s="27"/>
      <c r="G150" s="28" t="str">
        <f t="shared" ref="G150:G161" si="33">IF(F150="","",IF(E150="PC 17",F150*4.2,IF(E150="PC 19",F150*5,"")))</f>
        <v/>
      </c>
      <c r="H150" s="26"/>
      <c r="I150" s="26"/>
      <c r="J150" s="26"/>
      <c r="K150" s="29"/>
      <c r="L150" s="29"/>
      <c r="M150" s="30" t="str">
        <f t="shared" ref="M150:M161" ca="1" si="34">IFERROR(IF(K150="","",IF(L150="",MOD(NOW()-K150,1),IF(L150&gt;=K150,L150-K150,L150+1-K150))),"")</f>
        <v/>
      </c>
      <c r="N150" s="46"/>
      <c r="O150" s="31"/>
    </row>
    <row r="151" spans="1:15" ht="15" customHeight="1" x14ac:dyDescent="0.25">
      <c r="A151" s="70">
        <v>46209</v>
      </c>
      <c r="B151" s="32">
        <f t="shared" ref="B151:B161" si="35">B150+TIME(0,60,0)</f>
        <v>0.87499999999999967</v>
      </c>
      <c r="C151" s="26"/>
      <c r="D151" s="59"/>
      <c r="E151" s="59"/>
      <c r="F151" s="27"/>
      <c r="G151" s="34" t="str">
        <f t="shared" si="33"/>
        <v/>
      </c>
      <c r="H151" s="33"/>
      <c r="I151" s="33"/>
      <c r="J151" s="33"/>
      <c r="K151" s="29"/>
      <c r="L151" s="29"/>
      <c r="M151" s="35" t="str">
        <f t="shared" ca="1" si="34"/>
        <v/>
      </c>
      <c r="N151" s="46"/>
      <c r="O151" s="31"/>
    </row>
    <row r="152" spans="1:15" ht="15" customHeight="1" x14ac:dyDescent="0.25">
      <c r="A152" s="69">
        <v>46209</v>
      </c>
      <c r="B152" s="25">
        <f t="shared" si="35"/>
        <v>0.9166666666666663</v>
      </c>
      <c r="C152" s="26"/>
      <c r="D152" s="59"/>
      <c r="E152" s="59"/>
      <c r="F152" s="27"/>
      <c r="G152" s="28" t="str">
        <f t="shared" si="33"/>
        <v/>
      </c>
      <c r="H152" s="26"/>
      <c r="I152" s="26"/>
      <c r="J152" s="26"/>
      <c r="K152" s="29"/>
      <c r="L152" s="29"/>
      <c r="M152" s="30" t="str">
        <f t="shared" ca="1" si="34"/>
        <v/>
      </c>
      <c r="N152" s="46"/>
      <c r="O152" s="31"/>
    </row>
    <row r="153" spans="1:15" ht="15" customHeight="1" x14ac:dyDescent="0.25">
      <c r="A153" s="70">
        <v>46209</v>
      </c>
      <c r="B153" s="32">
        <f t="shared" si="35"/>
        <v>0.95833333333333293</v>
      </c>
      <c r="C153" s="26"/>
      <c r="D153" s="59"/>
      <c r="E153" s="59"/>
      <c r="F153" s="27"/>
      <c r="G153" s="34" t="str">
        <f t="shared" si="33"/>
        <v/>
      </c>
      <c r="H153" s="33"/>
      <c r="I153" s="33"/>
      <c r="J153" s="33"/>
      <c r="K153" s="29"/>
      <c r="L153" s="29"/>
      <c r="M153" s="35" t="str">
        <f t="shared" ca="1" si="34"/>
        <v/>
      </c>
      <c r="N153" s="46"/>
      <c r="O153" s="31"/>
    </row>
    <row r="154" spans="1:15" ht="15" customHeight="1" x14ac:dyDescent="0.25">
      <c r="A154" s="69">
        <v>46209</v>
      </c>
      <c r="B154" s="25">
        <f t="shared" si="35"/>
        <v>0.99999999999999956</v>
      </c>
      <c r="C154" s="26"/>
      <c r="D154" s="59"/>
      <c r="E154" s="59"/>
      <c r="F154" s="27"/>
      <c r="G154" s="28" t="str">
        <f t="shared" si="33"/>
        <v/>
      </c>
      <c r="H154" s="26"/>
      <c r="I154" s="26"/>
      <c r="J154" s="26"/>
      <c r="K154" s="29"/>
      <c r="L154" s="29"/>
      <c r="M154" s="30" t="str">
        <f t="shared" ca="1" si="34"/>
        <v/>
      </c>
      <c r="N154" s="46"/>
      <c r="O154" s="31"/>
    </row>
    <row r="155" spans="1:15" ht="15" customHeight="1" x14ac:dyDescent="0.25">
      <c r="A155" s="70">
        <v>46209</v>
      </c>
      <c r="B155" s="32">
        <f t="shared" si="35"/>
        <v>1.0416666666666663</v>
      </c>
      <c r="C155" s="26"/>
      <c r="D155" s="59"/>
      <c r="E155" s="59"/>
      <c r="F155" s="27"/>
      <c r="G155" s="34" t="str">
        <f t="shared" si="33"/>
        <v/>
      </c>
      <c r="H155" s="33"/>
      <c r="I155" s="33"/>
      <c r="J155" s="33"/>
      <c r="K155" s="29"/>
      <c r="L155" s="29"/>
      <c r="M155" s="35" t="str">
        <f t="shared" ca="1" si="34"/>
        <v/>
      </c>
      <c r="N155" s="46"/>
      <c r="O155" s="31"/>
    </row>
    <row r="156" spans="1:15" ht="15" customHeight="1" x14ac:dyDescent="0.25">
      <c r="A156" s="69">
        <v>46209</v>
      </c>
      <c r="B156" s="25">
        <f t="shared" si="35"/>
        <v>1.083333333333333</v>
      </c>
      <c r="C156" s="26"/>
      <c r="D156" s="59"/>
      <c r="E156" s="59"/>
      <c r="F156" s="27"/>
      <c r="G156" s="28" t="str">
        <f t="shared" si="33"/>
        <v/>
      </c>
      <c r="H156" s="26"/>
      <c r="I156" s="26"/>
      <c r="J156" s="26"/>
      <c r="K156" s="29"/>
      <c r="L156" s="29"/>
      <c r="M156" s="30" t="str">
        <f t="shared" ca="1" si="34"/>
        <v/>
      </c>
      <c r="N156" s="46"/>
      <c r="O156" s="31"/>
    </row>
    <row r="157" spans="1:15" ht="15" customHeight="1" x14ac:dyDescent="0.25">
      <c r="A157" s="70">
        <v>46209</v>
      </c>
      <c r="B157" s="32">
        <f t="shared" si="35"/>
        <v>1.1249999999999998</v>
      </c>
      <c r="C157" s="26"/>
      <c r="D157" s="59"/>
      <c r="E157" s="59"/>
      <c r="F157" s="27"/>
      <c r="G157" s="34" t="str">
        <f t="shared" si="33"/>
        <v/>
      </c>
      <c r="H157" s="33"/>
      <c r="I157" s="33"/>
      <c r="J157" s="33"/>
      <c r="K157" s="29"/>
      <c r="L157" s="29"/>
      <c r="M157" s="35" t="str">
        <f t="shared" ca="1" si="34"/>
        <v/>
      </c>
      <c r="N157" s="46"/>
      <c r="O157" s="31"/>
    </row>
    <row r="158" spans="1:15" ht="15" customHeight="1" x14ac:dyDescent="0.25">
      <c r="A158" s="69">
        <v>46209</v>
      </c>
      <c r="B158" s="25">
        <f t="shared" si="35"/>
        <v>1.1666666666666665</v>
      </c>
      <c r="C158" s="26"/>
      <c r="D158" s="59"/>
      <c r="E158" s="59"/>
      <c r="F158" s="27"/>
      <c r="G158" s="28" t="str">
        <f t="shared" si="33"/>
        <v/>
      </c>
      <c r="H158" s="26"/>
      <c r="I158" s="26"/>
      <c r="J158" s="26"/>
      <c r="K158" s="29"/>
      <c r="L158" s="29"/>
      <c r="M158" s="30" t="str">
        <f t="shared" ca="1" si="34"/>
        <v/>
      </c>
      <c r="N158" s="46"/>
      <c r="O158" s="31"/>
    </row>
    <row r="159" spans="1:15" ht="15" customHeight="1" x14ac:dyDescent="0.25">
      <c r="A159" s="70">
        <v>46209</v>
      </c>
      <c r="B159" s="32">
        <f t="shared" si="35"/>
        <v>1.2083333333333333</v>
      </c>
      <c r="C159" s="26"/>
      <c r="D159" s="59"/>
      <c r="E159" s="59"/>
      <c r="F159" s="27"/>
      <c r="G159" s="34" t="str">
        <f t="shared" si="33"/>
        <v/>
      </c>
      <c r="H159" s="33"/>
      <c r="I159" s="33"/>
      <c r="J159" s="33"/>
      <c r="K159" s="29"/>
      <c r="L159" s="29"/>
      <c r="M159" s="35" t="str">
        <f t="shared" ca="1" si="34"/>
        <v/>
      </c>
      <c r="N159" s="46"/>
      <c r="O159" s="31"/>
    </row>
    <row r="160" spans="1:15" ht="15" customHeight="1" x14ac:dyDescent="0.25">
      <c r="A160" s="69">
        <v>46209</v>
      </c>
      <c r="B160" s="25">
        <f t="shared" si="35"/>
        <v>1.25</v>
      </c>
      <c r="C160" s="26"/>
      <c r="D160" s="59"/>
      <c r="E160" s="59"/>
      <c r="F160" s="27"/>
      <c r="G160" s="28" t="str">
        <f t="shared" si="33"/>
        <v/>
      </c>
      <c r="H160" s="26"/>
      <c r="I160" s="26"/>
      <c r="J160" s="26"/>
      <c r="K160" s="29"/>
      <c r="L160" s="29"/>
      <c r="M160" s="30" t="str">
        <f t="shared" ca="1" si="34"/>
        <v/>
      </c>
      <c r="N160" s="46"/>
      <c r="O160" s="31"/>
    </row>
    <row r="161" spans="1:15" ht="15" customHeight="1" x14ac:dyDescent="0.25">
      <c r="A161" s="70">
        <v>46209</v>
      </c>
      <c r="B161" s="32">
        <f t="shared" si="35"/>
        <v>1.2916666666666667</v>
      </c>
      <c r="C161" s="26"/>
      <c r="D161" s="59"/>
      <c r="E161" s="59"/>
      <c r="F161" s="27"/>
      <c r="G161" s="34" t="str">
        <f t="shared" si="33"/>
        <v/>
      </c>
      <c r="H161" s="33"/>
      <c r="I161" s="33"/>
      <c r="J161" s="33"/>
      <c r="K161" s="29"/>
      <c r="L161" s="29"/>
      <c r="M161" s="35" t="str">
        <f t="shared" ca="1" si="34"/>
        <v/>
      </c>
      <c r="N161" s="46"/>
      <c r="O161" s="31"/>
    </row>
    <row r="162" spans="1:15" ht="15.75" customHeight="1" x14ac:dyDescent="0.35">
      <c r="A162" s="79" t="s">
        <v>192</v>
      </c>
      <c r="B162" s="80"/>
      <c r="C162" s="80"/>
      <c r="D162" s="80"/>
      <c r="E162" s="81">
        <f>SUM(E150:E161)</f>
        <v>0</v>
      </c>
      <c r="F162" s="36">
        <f>SUM(F150:F161)</f>
        <v>0</v>
      </c>
      <c r="G162" s="36">
        <f>SUM(G150:G161)</f>
        <v>0</v>
      </c>
      <c r="H162" s="37"/>
      <c r="I162" s="37"/>
      <c r="J162" s="37"/>
      <c r="K162" s="37"/>
      <c r="L162" s="37"/>
      <c r="M162" s="38">
        <f ca="1">IFERROR(SUM(M150:M161),"")</f>
        <v>0</v>
      </c>
      <c r="N162" s="36" t="s">
        <v>191</v>
      </c>
      <c r="O162" s="54"/>
    </row>
    <row r="163" spans="1:15" ht="18" customHeight="1" x14ac:dyDescent="0.25">
      <c r="A163" s="82" t="s">
        <v>193</v>
      </c>
      <c r="B163" s="83"/>
      <c r="C163" s="83"/>
      <c r="D163" s="83"/>
      <c r="E163" s="84">
        <f>E149+E162</f>
        <v>0</v>
      </c>
      <c r="F163" s="40">
        <f>F149+F162</f>
        <v>0</v>
      </c>
      <c r="G163" s="40">
        <f>G149+G162</f>
        <v>0</v>
      </c>
      <c r="H163" s="41"/>
      <c r="I163" s="41"/>
      <c r="J163" s="41"/>
      <c r="K163" s="41"/>
      <c r="L163" s="41"/>
      <c r="M163" s="42">
        <f ca="1">IFERROR(M149+M162,"")</f>
        <v>0</v>
      </c>
      <c r="N163" s="40" t="s">
        <v>194</v>
      </c>
      <c r="O163" s="43">
        <f>IFERROR(O149+O162,"")</f>
        <v>0</v>
      </c>
    </row>
    <row r="164" spans="1:15" ht="15" customHeight="1" x14ac:dyDescent="0.25">
      <c r="A164" s="69">
        <v>46210</v>
      </c>
      <c r="B164" s="25">
        <v>0.33333333333333298</v>
      </c>
      <c r="C164" s="26"/>
      <c r="D164" s="59"/>
      <c r="E164" s="59"/>
      <c r="F164" s="27"/>
      <c r="G164" s="28" t="str">
        <f t="shared" ref="G164:G175" si="36">IF(F164="","",IF(E164="PC 17",F164*4.2,IF(E164="PC 19",F164*5,"")))</f>
        <v/>
      </c>
      <c r="H164" s="26"/>
      <c r="I164" s="26"/>
      <c r="J164" s="26"/>
      <c r="K164" s="29"/>
      <c r="L164" s="29"/>
      <c r="M164" s="30" t="str">
        <f t="shared" ref="M164:M175" ca="1" si="37">IFERROR(IF(K164="","",IF(L164="",MOD(NOW()-K164,1),IF(L164&gt;=K164,L164-K164,L164+1-K164))),"")</f>
        <v/>
      </c>
      <c r="N164" s="46"/>
      <c r="O164" s="31"/>
    </row>
    <row r="165" spans="1:15" ht="15" customHeight="1" x14ac:dyDescent="0.25">
      <c r="A165" s="70">
        <v>46210</v>
      </c>
      <c r="B165" s="32">
        <f t="shared" ref="B165:B175" si="38">B164+TIME(0,60,0)</f>
        <v>0.37499999999999967</v>
      </c>
      <c r="C165" s="33"/>
      <c r="D165" s="62"/>
      <c r="E165" s="62"/>
      <c r="F165" s="27"/>
      <c r="G165" s="34" t="str">
        <f t="shared" si="36"/>
        <v/>
      </c>
      <c r="H165" s="33"/>
      <c r="I165" s="33"/>
      <c r="J165" s="33"/>
      <c r="K165" s="29"/>
      <c r="L165" s="29"/>
      <c r="M165" s="35" t="str">
        <f t="shared" ca="1" si="37"/>
        <v/>
      </c>
      <c r="N165" s="46"/>
      <c r="O165" s="31"/>
    </row>
    <row r="166" spans="1:15" ht="15" customHeight="1" x14ac:dyDescent="0.25">
      <c r="A166" s="69">
        <v>46210</v>
      </c>
      <c r="B166" s="25">
        <f t="shared" si="38"/>
        <v>0.41666666666666635</v>
      </c>
      <c r="C166" s="26"/>
      <c r="D166" s="59"/>
      <c r="E166" s="59"/>
      <c r="F166" s="27"/>
      <c r="G166" s="28" t="str">
        <f t="shared" si="36"/>
        <v/>
      </c>
      <c r="H166" s="26"/>
      <c r="I166" s="26"/>
      <c r="J166" s="26"/>
      <c r="K166" s="29"/>
      <c r="L166" s="29"/>
      <c r="M166" s="30" t="str">
        <f t="shared" ca="1" si="37"/>
        <v/>
      </c>
      <c r="N166" s="46"/>
      <c r="O166" s="31"/>
    </row>
    <row r="167" spans="1:15" ht="15" customHeight="1" x14ac:dyDescent="0.25">
      <c r="A167" s="70">
        <v>46210</v>
      </c>
      <c r="B167" s="32">
        <f t="shared" si="38"/>
        <v>0.45833333333333304</v>
      </c>
      <c r="C167" s="33"/>
      <c r="D167" s="62"/>
      <c r="E167" s="62"/>
      <c r="F167" s="27"/>
      <c r="G167" s="34" t="str">
        <f t="shared" si="36"/>
        <v/>
      </c>
      <c r="H167" s="33"/>
      <c r="I167" s="33"/>
      <c r="J167" s="33"/>
      <c r="K167" s="29"/>
      <c r="L167" s="29"/>
      <c r="M167" s="35" t="str">
        <f t="shared" ca="1" si="37"/>
        <v/>
      </c>
      <c r="N167" s="46"/>
      <c r="O167" s="31"/>
    </row>
    <row r="168" spans="1:15" ht="15" customHeight="1" x14ac:dyDescent="0.25">
      <c r="A168" s="69">
        <v>46210</v>
      </c>
      <c r="B168" s="25">
        <f t="shared" si="38"/>
        <v>0.49999999999999972</v>
      </c>
      <c r="C168" s="26"/>
      <c r="D168" s="59"/>
      <c r="E168" s="59"/>
      <c r="F168" s="27"/>
      <c r="G168" s="28" t="str">
        <f t="shared" si="36"/>
        <v/>
      </c>
      <c r="H168" s="26"/>
      <c r="I168" s="26"/>
      <c r="J168" s="26"/>
      <c r="K168" s="29"/>
      <c r="L168" s="29"/>
      <c r="M168" s="30" t="str">
        <f t="shared" ca="1" si="37"/>
        <v/>
      </c>
      <c r="N168" s="46"/>
      <c r="O168" s="31"/>
    </row>
    <row r="169" spans="1:15" ht="15" customHeight="1" x14ac:dyDescent="0.25">
      <c r="A169" s="70">
        <v>46210</v>
      </c>
      <c r="B169" s="32">
        <f t="shared" si="38"/>
        <v>0.54166666666666641</v>
      </c>
      <c r="C169" s="33"/>
      <c r="D169" s="62"/>
      <c r="E169" s="62"/>
      <c r="F169" s="27"/>
      <c r="G169" s="34" t="str">
        <f t="shared" si="36"/>
        <v/>
      </c>
      <c r="H169" s="33"/>
      <c r="I169" s="33"/>
      <c r="J169" s="33"/>
      <c r="K169" s="29"/>
      <c r="L169" s="29"/>
      <c r="M169" s="35" t="str">
        <f t="shared" ca="1" si="37"/>
        <v/>
      </c>
      <c r="N169" s="46"/>
      <c r="O169" s="31"/>
    </row>
    <row r="170" spans="1:15" ht="15" customHeight="1" x14ac:dyDescent="0.25">
      <c r="A170" s="69">
        <v>46210</v>
      </c>
      <c r="B170" s="25">
        <f t="shared" si="38"/>
        <v>0.58333333333333304</v>
      </c>
      <c r="C170" s="26"/>
      <c r="D170" s="59"/>
      <c r="E170" s="59"/>
      <c r="F170" s="27"/>
      <c r="G170" s="28" t="str">
        <f t="shared" si="36"/>
        <v/>
      </c>
      <c r="H170" s="26"/>
      <c r="I170" s="26"/>
      <c r="J170" s="26"/>
      <c r="K170" s="29"/>
      <c r="L170" s="29"/>
      <c r="M170" s="30" t="str">
        <f t="shared" ca="1" si="37"/>
        <v/>
      </c>
      <c r="N170" s="46"/>
      <c r="O170" s="31"/>
    </row>
    <row r="171" spans="1:15" ht="15" customHeight="1" x14ac:dyDescent="0.25">
      <c r="A171" s="70">
        <v>46210</v>
      </c>
      <c r="B171" s="32">
        <f t="shared" si="38"/>
        <v>0.62499999999999967</v>
      </c>
      <c r="C171" s="33"/>
      <c r="D171" s="62"/>
      <c r="E171" s="62"/>
      <c r="F171" s="27"/>
      <c r="G171" s="34" t="str">
        <f t="shared" si="36"/>
        <v/>
      </c>
      <c r="H171" s="33"/>
      <c r="I171" s="33"/>
      <c r="J171" s="33"/>
      <c r="K171" s="29"/>
      <c r="L171" s="29"/>
      <c r="M171" s="35" t="str">
        <f t="shared" ca="1" si="37"/>
        <v/>
      </c>
      <c r="N171" s="46"/>
      <c r="O171" s="31"/>
    </row>
    <row r="172" spans="1:15" ht="15" customHeight="1" x14ac:dyDescent="0.25">
      <c r="A172" s="69">
        <v>46210</v>
      </c>
      <c r="B172" s="25">
        <f t="shared" si="38"/>
        <v>0.6666666666666663</v>
      </c>
      <c r="C172" s="26"/>
      <c r="D172" s="59"/>
      <c r="E172" s="59"/>
      <c r="F172" s="27"/>
      <c r="G172" s="28" t="str">
        <f t="shared" si="36"/>
        <v/>
      </c>
      <c r="H172" s="26"/>
      <c r="I172" s="26"/>
      <c r="J172" s="26"/>
      <c r="K172" s="29"/>
      <c r="L172" s="29"/>
      <c r="M172" s="30" t="str">
        <f t="shared" ca="1" si="37"/>
        <v/>
      </c>
      <c r="N172" s="46"/>
      <c r="O172" s="31"/>
    </row>
    <row r="173" spans="1:15" ht="15" customHeight="1" x14ac:dyDescent="0.25">
      <c r="A173" s="70">
        <v>46210</v>
      </c>
      <c r="B173" s="32">
        <f t="shared" si="38"/>
        <v>0.70833333333333293</v>
      </c>
      <c r="C173" s="33"/>
      <c r="D173" s="62"/>
      <c r="E173" s="62"/>
      <c r="F173" s="27"/>
      <c r="G173" s="34" t="str">
        <f t="shared" si="36"/>
        <v/>
      </c>
      <c r="H173" s="33"/>
      <c r="I173" s="33"/>
      <c r="J173" s="33"/>
      <c r="K173" s="29"/>
      <c r="L173" s="29"/>
      <c r="M173" s="35" t="str">
        <f t="shared" ca="1" si="37"/>
        <v/>
      </c>
      <c r="N173" s="46"/>
      <c r="O173" s="31"/>
    </row>
    <row r="174" spans="1:15" ht="15" customHeight="1" x14ac:dyDescent="0.25">
      <c r="A174" s="69">
        <v>46210</v>
      </c>
      <c r="B174" s="25">
        <f t="shared" si="38"/>
        <v>0.74999999999999956</v>
      </c>
      <c r="C174" s="26"/>
      <c r="D174" s="59"/>
      <c r="E174" s="59"/>
      <c r="F174" s="27"/>
      <c r="G174" s="28" t="str">
        <f t="shared" si="36"/>
        <v/>
      </c>
      <c r="H174" s="26"/>
      <c r="I174" s="26"/>
      <c r="J174" s="26"/>
      <c r="K174" s="29"/>
      <c r="L174" s="29"/>
      <c r="M174" s="30" t="str">
        <f t="shared" ca="1" si="37"/>
        <v/>
      </c>
      <c r="N174" s="46"/>
      <c r="O174" s="31"/>
    </row>
    <row r="175" spans="1:15" ht="15" customHeight="1" x14ac:dyDescent="0.25">
      <c r="A175" s="70">
        <v>46210</v>
      </c>
      <c r="B175" s="32">
        <f t="shared" si="38"/>
        <v>0.79166666666666619</v>
      </c>
      <c r="C175" s="33"/>
      <c r="D175" s="62"/>
      <c r="E175" s="62"/>
      <c r="F175" s="27"/>
      <c r="G175" s="34" t="str">
        <f t="shared" si="36"/>
        <v/>
      </c>
      <c r="H175" s="33"/>
      <c r="I175" s="33"/>
      <c r="J175" s="33"/>
      <c r="K175" s="29"/>
      <c r="L175" s="29"/>
      <c r="M175" s="35" t="str">
        <f t="shared" ca="1" si="37"/>
        <v/>
      </c>
      <c r="N175" s="46"/>
      <c r="O175" s="31"/>
    </row>
    <row r="176" spans="1:15" ht="15.75" customHeight="1" x14ac:dyDescent="0.25">
      <c r="A176" s="79" t="s">
        <v>190</v>
      </c>
      <c r="B176" s="80"/>
      <c r="C176" s="80"/>
      <c r="D176" s="80"/>
      <c r="E176" s="81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37"/>
      <c r="L176" s="37"/>
      <c r="M176" s="38">
        <f ca="1">IFERROR(SUM(M164:M175),"")</f>
        <v>0</v>
      </c>
      <c r="N176" s="36" t="s">
        <v>191</v>
      </c>
      <c r="O176" s="39"/>
    </row>
    <row r="177" spans="1:15" ht="15" customHeight="1" x14ac:dyDescent="0.25">
      <c r="A177" s="70">
        <v>46210</v>
      </c>
      <c r="B177" s="32">
        <v>0.83333333333333304</v>
      </c>
      <c r="C177" s="33"/>
      <c r="D177" s="62"/>
      <c r="E177" s="62"/>
      <c r="F177" s="27"/>
      <c r="G177" s="34" t="str">
        <f t="shared" ref="G177:G188" si="39">IF(F177="","",IF(E177="PC 17",F177*4.2,IF(E177="PC 19",F177*5,"")))</f>
        <v/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46"/>
      <c r="O177" s="31"/>
    </row>
    <row r="178" spans="1:15" ht="15" customHeight="1" x14ac:dyDescent="0.25">
      <c r="A178" s="69">
        <v>46210</v>
      </c>
      <c r="B178" s="25">
        <f t="shared" ref="B178:B188" si="41">B177+TIME(0,60,0)</f>
        <v>0.87499999999999967</v>
      </c>
      <c r="C178" s="26"/>
      <c r="D178" s="59"/>
      <c r="E178" s="59"/>
      <c r="F178" s="27"/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46"/>
      <c r="O178" s="31"/>
    </row>
    <row r="179" spans="1:15" ht="15" customHeight="1" x14ac:dyDescent="0.25">
      <c r="A179" s="70">
        <v>46210</v>
      </c>
      <c r="B179" s="32">
        <f t="shared" si="41"/>
        <v>0.9166666666666663</v>
      </c>
      <c r="C179" s="33"/>
      <c r="D179" s="62"/>
      <c r="E179" s="62"/>
      <c r="F179" s="27"/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46"/>
      <c r="O179" s="31"/>
    </row>
    <row r="180" spans="1:15" ht="15" customHeight="1" x14ac:dyDescent="0.25">
      <c r="A180" s="69">
        <v>46210</v>
      </c>
      <c r="B180" s="25">
        <f t="shared" si="41"/>
        <v>0.95833333333333293</v>
      </c>
      <c r="C180" s="26"/>
      <c r="D180" s="59"/>
      <c r="E180" s="59"/>
      <c r="F180" s="27"/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46"/>
      <c r="O180" s="31"/>
    </row>
    <row r="181" spans="1:15" ht="15" customHeight="1" x14ac:dyDescent="0.25">
      <c r="A181" s="70">
        <v>46210</v>
      </c>
      <c r="B181" s="32">
        <f t="shared" si="41"/>
        <v>0.99999999999999956</v>
      </c>
      <c r="C181" s="33"/>
      <c r="D181" s="62"/>
      <c r="E181" s="62"/>
      <c r="F181" s="27"/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46"/>
      <c r="O181" s="31"/>
    </row>
    <row r="182" spans="1:15" ht="15" customHeight="1" x14ac:dyDescent="0.25">
      <c r="A182" s="69">
        <v>46210</v>
      </c>
      <c r="B182" s="25">
        <f t="shared" si="41"/>
        <v>1.0416666666666663</v>
      </c>
      <c r="C182" s="26"/>
      <c r="D182" s="59"/>
      <c r="E182" s="59"/>
      <c r="F182" s="27"/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46"/>
      <c r="O182" s="31"/>
    </row>
    <row r="183" spans="1:15" ht="15" customHeight="1" x14ac:dyDescent="0.25">
      <c r="A183" s="70">
        <v>46210</v>
      </c>
      <c r="B183" s="32">
        <f t="shared" si="41"/>
        <v>1.083333333333333</v>
      </c>
      <c r="C183" s="33"/>
      <c r="D183" s="62"/>
      <c r="E183" s="62"/>
      <c r="F183" s="27"/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46"/>
      <c r="O183" s="31"/>
    </row>
    <row r="184" spans="1:15" ht="15" customHeight="1" x14ac:dyDescent="0.25">
      <c r="A184" s="69">
        <v>46210</v>
      </c>
      <c r="B184" s="25">
        <f t="shared" si="41"/>
        <v>1.1249999999999998</v>
      </c>
      <c r="C184" s="26"/>
      <c r="D184" s="59"/>
      <c r="E184" s="59"/>
      <c r="F184" s="27"/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46"/>
      <c r="O184" s="31"/>
    </row>
    <row r="185" spans="1:15" ht="15" customHeight="1" x14ac:dyDescent="0.25">
      <c r="A185" s="70">
        <v>46210</v>
      </c>
      <c r="B185" s="32">
        <f t="shared" si="41"/>
        <v>1.1666666666666665</v>
      </c>
      <c r="C185" s="33"/>
      <c r="D185" s="62"/>
      <c r="E185" s="62"/>
      <c r="F185" s="27"/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46"/>
      <c r="O185" s="31"/>
    </row>
    <row r="186" spans="1:15" ht="15" customHeight="1" x14ac:dyDescent="0.25">
      <c r="A186" s="69">
        <v>46210</v>
      </c>
      <c r="B186" s="25">
        <f t="shared" si="41"/>
        <v>1.2083333333333333</v>
      </c>
      <c r="C186" s="26"/>
      <c r="D186" s="59"/>
      <c r="E186" s="59"/>
      <c r="F186" s="27"/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46"/>
      <c r="O186" s="31"/>
    </row>
    <row r="187" spans="1:15" ht="15" customHeight="1" x14ac:dyDescent="0.25">
      <c r="A187" s="70">
        <v>46210</v>
      </c>
      <c r="B187" s="32">
        <f t="shared" si="41"/>
        <v>1.25</v>
      </c>
      <c r="C187" s="33"/>
      <c r="D187" s="62"/>
      <c r="E187" s="62"/>
      <c r="F187" s="27"/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46"/>
      <c r="O187" s="31"/>
    </row>
    <row r="188" spans="1:15" ht="15" customHeight="1" x14ac:dyDescent="0.25">
      <c r="A188" s="69">
        <v>46210</v>
      </c>
      <c r="B188" s="25">
        <f t="shared" si="41"/>
        <v>1.2916666666666667</v>
      </c>
      <c r="C188" s="26"/>
      <c r="D188" s="59"/>
      <c r="E188" s="59"/>
      <c r="F188" s="27"/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46"/>
      <c r="O188" s="31"/>
    </row>
    <row r="189" spans="1:15" ht="15.75" customHeight="1" x14ac:dyDescent="0.25">
      <c r="A189" s="79" t="s">
        <v>192</v>
      </c>
      <c r="B189" s="80"/>
      <c r="C189" s="80"/>
      <c r="D189" s="80"/>
      <c r="E189" s="81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37"/>
      <c r="L189" s="37"/>
      <c r="M189" s="38">
        <f ca="1">IFERROR(SUM(M177:M188),"")</f>
        <v>0</v>
      </c>
      <c r="N189" s="36" t="s">
        <v>191</v>
      </c>
      <c r="O189" s="39"/>
    </row>
    <row r="190" spans="1:15" ht="18" customHeight="1" x14ac:dyDescent="0.25">
      <c r="A190" s="82" t="s">
        <v>193</v>
      </c>
      <c r="B190" s="83"/>
      <c r="C190" s="83"/>
      <c r="D190" s="83"/>
      <c r="E190" s="84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41"/>
      <c r="L190" s="41"/>
      <c r="M190" s="42">
        <f ca="1">IFERROR(M176+M189,"")</f>
        <v>0</v>
      </c>
      <c r="N190" s="40" t="s">
        <v>194</v>
      </c>
      <c r="O190" s="43">
        <f>IFERROR(O176+O189,"")</f>
        <v>0</v>
      </c>
    </row>
    <row r="191" spans="1:15" ht="15" customHeight="1" x14ac:dyDescent="0.25">
      <c r="A191" s="70">
        <v>46211</v>
      </c>
      <c r="B191" s="32">
        <v>0.33333333333333298</v>
      </c>
      <c r="C191" s="33"/>
      <c r="D191" s="62"/>
      <c r="E191" s="62"/>
      <c r="F191" s="27"/>
      <c r="G191" s="34" t="str">
        <f t="shared" ref="G191:G202" si="42">IF(F191="","",IF(E191="PC 17",F191*4.2,IF(E191="PC 19",F191*5,"")))</f>
        <v/>
      </c>
      <c r="H191" s="33"/>
      <c r="I191" s="33"/>
      <c r="J191" s="33"/>
      <c r="K191" s="29"/>
      <c r="L191" s="29"/>
      <c r="M191" s="35" t="str">
        <f t="shared" ref="M191:M202" ca="1" si="43">IFERROR(IF(K191="","",IF(L191="",MOD(NOW()-K191,1),IF(L191&gt;=K191,L191-K191,L191+1-K191))),"")</f>
        <v/>
      </c>
      <c r="N191" s="46"/>
      <c r="O191" s="31"/>
    </row>
    <row r="192" spans="1:15" ht="15" customHeight="1" x14ac:dyDescent="0.25">
      <c r="A192" s="69">
        <v>46211</v>
      </c>
      <c r="B192" s="25">
        <f t="shared" ref="B192:B202" si="44">B191+TIME(0,60,0)</f>
        <v>0.37499999999999967</v>
      </c>
      <c r="C192" s="33"/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46"/>
      <c r="O192" s="31"/>
    </row>
    <row r="193" spans="1:15" ht="15" customHeight="1" x14ac:dyDescent="0.25">
      <c r="A193" s="70">
        <v>46211</v>
      </c>
      <c r="B193" s="32">
        <f t="shared" si="44"/>
        <v>0.41666666666666635</v>
      </c>
      <c r="C193" s="33"/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46"/>
      <c r="O193" s="31"/>
    </row>
    <row r="194" spans="1:15" ht="15" customHeight="1" x14ac:dyDescent="0.25">
      <c r="A194" s="69">
        <v>46211</v>
      </c>
      <c r="B194" s="25">
        <f t="shared" si="44"/>
        <v>0.45833333333333304</v>
      </c>
      <c r="C194" s="33"/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46"/>
      <c r="O194" s="31"/>
    </row>
    <row r="195" spans="1:15" ht="15" customHeight="1" x14ac:dyDescent="0.25">
      <c r="A195" s="70">
        <v>46211</v>
      </c>
      <c r="B195" s="32">
        <f t="shared" si="44"/>
        <v>0.49999999999999972</v>
      </c>
      <c r="C195" s="33"/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46"/>
      <c r="O195" s="31"/>
    </row>
    <row r="196" spans="1:15" ht="15" customHeight="1" x14ac:dyDescent="0.25">
      <c r="A196" s="69">
        <v>46211</v>
      </c>
      <c r="B196" s="25">
        <f t="shared" si="44"/>
        <v>0.54166666666666641</v>
      </c>
      <c r="C196" s="33"/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46"/>
      <c r="O196" s="31"/>
    </row>
    <row r="197" spans="1:15" ht="15" customHeight="1" x14ac:dyDescent="0.25">
      <c r="A197" s="70">
        <v>46211</v>
      </c>
      <c r="B197" s="32">
        <f t="shared" si="44"/>
        <v>0.58333333333333304</v>
      </c>
      <c r="C197" s="33"/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46"/>
      <c r="O197" s="31"/>
    </row>
    <row r="198" spans="1:15" ht="15" customHeight="1" x14ac:dyDescent="0.25">
      <c r="A198" s="69">
        <v>46211</v>
      </c>
      <c r="B198" s="25">
        <f t="shared" si="44"/>
        <v>0.62499999999999967</v>
      </c>
      <c r="C198" s="33"/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46"/>
      <c r="O198" s="31"/>
    </row>
    <row r="199" spans="1:15" ht="15" customHeight="1" x14ac:dyDescent="0.25">
      <c r="A199" s="70">
        <v>46211</v>
      </c>
      <c r="B199" s="32">
        <f t="shared" si="44"/>
        <v>0.6666666666666663</v>
      </c>
      <c r="C199" s="33"/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46"/>
      <c r="O199" s="31"/>
    </row>
    <row r="200" spans="1:15" ht="15" customHeight="1" x14ac:dyDescent="0.25">
      <c r="A200" s="69">
        <v>46211</v>
      </c>
      <c r="B200" s="25">
        <f t="shared" si="44"/>
        <v>0.70833333333333293</v>
      </c>
      <c r="C200" s="33"/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46"/>
      <c r="O200" s="31"/>
    </row>
    <row r="201" spans="1:15" ht="15" customHeight="1" x14ac:dyDescent="0.25">
      <c r="A201" s="70">
        <v>46211</v>
      </c>
      <c r="B201" s="32">
        <f t="shared" si="44"/>
        <v>0.74999999999999956</v>
      </c>
      <c r="C201" s="33"/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46"/>
      <c r="O201" s="31"/>
    </row>
    <row r="202" spans="1:15" ht="15" customHeight="1" x14ac:dyDescent="0.25">
      <c r="A202" s="69">
        <v>46211</v>
      </c>
      <c r="B202" s="25">
        <f t="shared" si="44"/>
        <v>0.79166666666666619</v>
      </c>
      <c r="C202" s="33"/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46"/>
      <c r="O202" s="31"/>
    </row>
    <row r="203" spans="1:15" ht="15.75" customHeight="1" x14ac:dyDescent="0.25">
      <c r="A203" s="79" t="s">
        <v>190</v>
      </c>
      <c r="B203" s="80"/>
      <c r="C203" s="80"/>
      <c r="D203" s="80"/>
      <c r="E203" s="81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37"/>
      <c r="L203" s="37"/>
      <c r="M203" s="38">
        <f ca="1">IFERROR(SUM(M191:M202),"")</f>
        <v>0</v>
      </c>
      <c r="N203" s="36" t="s">
        <v>191</v>
      </c>
      <c r="O203" s="45"/>
    </row>
    <row r="204" spans="1:15" ht="15" customHeight="1" x14ac:dyDescent="0.25">
      <c r="A204" s="69">
        <v>46211</v>
      </c>
      <c r="B204" s="25">
        <v>0.83333333333333304</v>
      </c>
      <c r="C204" s="26"/>
      <c r="D204" s="59"/>
      <c r="E204" s="59"/>
      <c r="F204" s="27"/>
      <c r="G204" s="28" t="str">
        <f t="shared" ref="G204:G215" si="45">IF(F204="","",IF(E204="PC 17",F204*4.2,IF(E204="PC 19",F204*5,"")))</f>
        <v/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46"/>
      <c r="O204" s="47"/>
    </row>
    <row r="205" spans="1:15" ht="15" customHeight="1" x14ac:dyDescent="0.25">
      <c r="A205" s="70">
        <v>46211</v>
      </c>
      <c r="B205" s="32">
        <f t="shared" ref="B205:B215" si="47">B204+TIME(0,60,0)</f>
        <v>0.87499999999999967</v>
      </c>
      <c r="C205" s="26"/>
      <c r="D205" s="59"/>
      <c r="E205" s="59"/>
      <c r="F205" s="27"/>
      <c r="G205" s="34" t="str">
        <f t="shared" si="45"/>
        <v/>
      </c>
      <c r="H205" s="33"/>
      <c r="I205" s="33"/>
      <c r="J205" s="33"/>
      <c r="K205" s="29"/>
      <c r="L205" s="29"/>
      <c r="M205" s="35" t="str">
        <f t="shared" ca="1" si="46"/>
        <v/>
      </c>
      <c r="N205" s="46"/>
      <c r="O205" s="47"/>
    </row>
    <row r="206" spans="1:15" ht="15" customHeight="1" x14ac:dyDescent="0.25">
      <c r="A206" s="69">
        <v>46211</v>
      </c>
      <c r="B206" s="25">
        <f t="shared" si="47"/>
        <v>0.9166666666666663</v>
      </c>
      <c r="C206" s="26"/>
      <c r="D206" s="59"/>
      <c r="E206" s="59"/>
      <c r="F206" s="27"/>
      <c r="G206" s="28" t="str">
        <f t="shared" si="45"/>
        <v/>
      </c>
      <c r="H206" s="26"/>
      <c r="I206" s="26"/>
      <c r="J206" s="26"/>
      <c r="K206" s="29"/>
      <c r="L206" s="29"/>
      <c r="M206" s="30" t="str">
        <f t="shared" ca="1" si="46"/>
        <v/>
      </c>
      <c r="N206" s="46"/>
      <c r="O206" s="47"/>
    </row>
    <row r="207" spans="1:15" ht="15" customHeight="1" x14ac:dyDescent="0.25">
      <c r="A207" s="70">
        <v>46211</v>
      </c>
      <c r="B207" s="32">
        <f t="shared" si="47"/>
        <v>0.95833333333333293</v>
      </c>
      <c r="C207" s="26"/>
      <c r="D207" s="59"/>
      <c r="E207" s="59"/>
      <c r="F207" s="27"/>
      <c r="G207" s="34" t="str">
        <f t="shared" si="45"/>
        <v/>
      </c>
      <c r="H207" s="33"/>
      <c r="I207" s="33"/>
      <c r="J207" s="33"/>
      <c r="K207" s="29"/>
      <c r="L207" s="29"/>
      <c r="M207" s="35" t="str">
        <f t="shared" ca="1" si="46"/>
        <v/>
      </c>
      <c r="N207" s="46"/>
      <c r="O207" s="47"/>
    </row>
    <row r="208" spans="1:15" ht="15" customHeight="1" x14ac:dyDescent="0.25">
      <c r="A208" s="69">
        <v>46211</v>
      </c>
      <c r="B208" s="25">
        <f t="shared" si="47"/>
        <v>0.99999999999999956</v>
      </c>
      <c r="C208" s="26"/>
      <c r="D208" s="59"/>
      <c r="E208" s="59"/>
      <c r="F208" s="27"/>
      <c r="G208" s="28" t="str">
        <f t="shared" si="45"/>
        <v/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 x14ac:dyDescent="0.25">
      <c r="A209" s="70">
        <v>46211</v>
      </c>
      <c r="B209" s="32">
        <f t="shared" si="47"/>
        <v>1.0416666666666663</v>
      </c>
      <c r="C209" s="26"/>
      <c r="D209" s="59"/>
      <c r="E209" s="59"/>
      <c r="F209" s="27"/>
      <c r="G209" s="34" t="str">
        <f t="shared" si="45"/>
        <v/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 x14ac:dyDescent="0.25">
      <c r="A210" s="69">
        <v>46211</v>
      </c>
      <c r="B210" s="25">
        <f t="shared" si="47"/>
        <v>1.083333333333333</v>
      </c>
      <c r="C210" s="26"/>
      <c r="D210" s="59"/>
      <c r="E210" s="59"/>
      <c r="F210" s="27"/>
      <c r="G210" s="28" t="str">
        <f t="shared" si="45"/>
        <v/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 x14ac:dyDescent="0.25">
      <c r="A211" s="70">
        <v>46211</v>
      </c>
      <c r="B211" s="32">
        <f t="shared" si="47"/>
        <v>1.1249999999999998</v>
      </c>
      <c r="C211" s="26"/>
      <c r="D211" s="59"/>
      <c r="E211" s="59"/>
      <c r="F211" s="27"/>
      <c r="G211" s="34" t="str">
        <f t="shared" si="45"/>
        <v/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 x14ac:dyDescent="0.25">
      <c r="A212" s="69">
        <v>46211</v>
      </c>
      <c r="B212" s="25">
        <f t="shared" si="47"/>
        <v>1.1666666666666665</v>
      </c>
      <c r="C212" s="26"/>
      <c r="D212" s="59"/>
      <c r="E212" s="59"/>
      <c r="F212" s="27"/>
      <c r="G212" s="28" t="str">
        <f t="shared" si="45"/>
        <v/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 x14ac:dyDescent="0.25">
      <c r="A213" s="70">
        <v>46211</v>
      </c>
      <c r="B213" s="32">
        <f t="shared" si="47"/>
        <v>1.2083333333333333</v>
      </c>
      <c r="C213" s="26"/>
      <c r="D213" s="59"/>
      <c r="E213" s="59"/>
      <c r="F213" s="27"/>
      <c r="G213" s="34" t="str">
        <f t="shared" si="45"/>
        <v/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 x14ac:dyDescent="0.25">
      <c r="A214" s="69">
        <v>46211</v>
      </c>
      <c r="B214" s="25">
        <f t="shared" si="47"/>
        <v>1.25</v>
      </c>
      <c r="C214" s="26"/>
      <c r="D214" s="59"/>
      <c r="E214" s="59"/>
      <c r="F214" s="27"/>
      <c r="G214" s="28" t="str">
        <f t="shared" si="45"/>
        <v/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 x14ac:dyDescent="0.25">
      <c r="A215" s="70">
        <v>46211</v>
      </c>
      <c r="B215" s="32">
        <f t="shared" si="47"/>
        <v>1.2916666666666667</v>
      </c>
      <c r="C215" s="26"/>
      <c r="D215" s="59"/>
      <c r="E215" s="59"/>
      <c r="F215" s="27"/>
      <c r="G215" s="34" t="str">
        <f t="shared" si="45"/>
        <v/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 x14ac:dyDescent="0.25">
      <c r="A216" s="79" t="s">
        <v>192</v>
      </c>
      <c r="B216" s="80"/>
      <c r="C216" s="80"/>
      <c r="D216" s="80"/>
      <c r="E216" s="81">
        <f>SUM(E204:E215)</f>
        <v>0</v>
      </c>
      <c r="F216" s="36">
        <f>SUM(F204:F215)</f>
        <v>0</v>
      </c>
      <c r="G216" s="36">
        <f>SUM(G204:G215)</f>
        <v>0</v>
      </c>
      <c r="H216" s="37"/>
      <c r="I216" s="37"/>
      <c r="J216" s="37"/>
      <c r="K216" s="37"/>
      <c r="L216" s="37"/>
      <c r="M216" s="38">
        <f ca="1">IFERROR(SUM(M204:M215),"")</f>
        <v>0</v>
      </c>
      <c r="N216" s="36" t="s">
        <v>191</v>
      </c>
      <c r="O216" s="45"/>
    </row>
    <row r="217" spans="1:15" ht="18" customHeight="1" x14ac:dyDescent="0.25">
      <c r="A217" s="82" t="s">
        <v>193</v>
      </c>
      <c r="B217" s="83"/>
      <c r="C217" s="83"/>
      <c r="D217" s="83"/>
      <c r="E217" s="84">
        <f>E203+E216</f>
        <v>0</v>
      </c>
      <c r="F217" s="40">
        <f>F203+F216</f>
        <v>0</v>
      </c>
      <c r="G217" s="40">
        <f>G203+G216</f>
        <v>0</v>
      </c>
      <c r="H217" s="41"/>
      <c r="I217" s="41"/>
      <c r="J217" s="41"/>
      <c r="K217" s="41"/>
      <c r="L217" s="41"/>
      <c r="M217" s="42">
        <f ca="1">IFERROR(M203+M216,"")</f>
        <v>0</v>
      </c>
      <c r="N217" s="40" t="s">
        <v>194</v>
      </c>
      <c r="O217" s="48">
        <f>IFERROR(O203+O216,"")</f>
        <v>0</v>
      </c>
    </row>
    <row r="218" spans="1:15" ht="15" customHeight="1" x14ac:dyDescent="0.25">
      <c r="A218" s="69">
        <v>46212</v>
      </c>
      <c r="B218" s="25">
        <v>0.33333333333333298</v>
      </c>
      <c r="C218" s="26"/>
      <c r="D218" s="59"/>
      <c r="E218" s="59"/>
      <c r="F218" s="27"/>
      <c r="G218" s="28" t="str">
        <f t="shared" ref="G218:G229" si="48">IF(F218="","",IF(E218="PC 17",F218*4.2,IF(E218="PC 19",F218*5,"")))</f>
        <v/>
      </c>
      <c r="H218" s="26"/>
      <c r="I218" s="26"/>
      <c r="J218" s="26"/>
      <c r="K218" s="29"/>
      <c r="L218" s="29"/>
      <c r="M218" s="30" t="str">
        <f t="shared" ref="M218:M229" ca="1" si="49">IFERROR(IF(K218="","",IF(L218="",MOD(NOW()-K218,1),IF(L218&gt;=K218,L218-K218,L218+1-K218))),"")</f>
        <v/>
      </c>
      <c r="N218" s="46"/>
      <c r="O218" s="47"/>
    </row>
    <row r="219" spans="1:15" ht="15" customHeight="1" x14ac:dyDescent="0.25">
      <c r="A219" s="70">
        <v>46212</v>
      </c>
      <c r="B219" s="32">
        <f t="shared" ref="B219:B229" si="50">B218+TIME(0,60,0)</f>
        <v>0.37499999999999967</v>
      </c>
      <c r="C219" s="26"/>
      <c r="D219" s="59"/>
      <c r="E219" s="59"/>
      <c r="F219" s="27"/>
      <c r="G219" s="34" t="str">
        <f t="shared" si="48"/>
        <v/>
      </c>
      <c r="H219" s="33"/>
      <c r="I219" s="33"/>
      <c r="J219" s="33"/>
      <c r="K219" s="29"/>
      <c r="L219" s="29"/>
      <c r="M219" s="35" t="str">
        <f t="shared" ca="1" si="49"/>
        <v/>
      </c>
      <c r="N219" s="46"/>
      <c r="O219" s="47"/>
    </row>
    <row r="220" spans="1:15" ht="15" customHeight="1" x14ac:dyDescent="0.25">
      <c r="A220" s="69">
        <v>46212</v>
      </c>
      <c r="B220" s="25">
        <f t="shared" si="50"/>
        <v>0.41666666666666635</v>
      </c>
      <c r="C220" s="26"/>
      <c r="D220" s="59"/>
      <c r="E220" s="59"/>
      <c r="F220" s="27"/>
      <c r="G220" s="28" t="str">
        <f t="shared" si="48"/>
        <v/>
      </c>
      <c r="H220" s="26"/>
      <c r="I220" s="26"/>
      <c r="J220" s="26"/>
      <c r="K220" s="29"/>
      <c r="L220" s="29"/>
      <c r="M220" s="30" t="str">
        <f t="shared" ca="1" si="49"/>
        <v/>
      </c>
      <c r="N220" s="46"/>
      <c r="O220" s="47"/>
    </row>
    <row r="221" spans="1:15" ht="15" customHeight="1" x14ac:dyDescent="0.25">
      <c r="A221" s="70">
        <v>46212</v>
      </c>
      <c r="B221" s="32">
        <f t="shared" si="50"/>
        <v>0.45833333333333304</v>
      </c>
      <c r="C221" s="26"/>
      <c r="D221" s="59"/>
      <c r="E221" s="59"/>
      <c r="F221" s="27"/>
      <c r="G221" s="34" t="str">
        <f t="shared" si="48"/>
        <v/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 x14ac:dyDescent="0.25">
      <c r="A222" s="69">
        <v>46212</v>
      </c>
      <c r="B222" s="25">
        <f t="shared" si="50"/>
        <v>0.49999999999999972</v>
      </c>
      <c r="C222" s="26"/>
      <c r="D222" s="59"/>
      <c r="E222" s="59"/>
      <c r="F222" s="27"/>
      <c r="G222" s="28" t="str">
        <f t="shared" si="48"/>
        <v/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 x14ac:dyDescent="0.25">
      <c r="A223" s="70">
        <v>46212</v>
      </c>
      <c r="B223" s="32">
        <f t="shared" si="50"/>
        <v>0.54166666666666641</v>
      </c>
      <c r="C223" s="26"/>
      <c r="D223" s="59"/>
      <c r="E223" s="59"/>
      <c r="F223" s="27"/>
      <c r="G223" s="34" t="str">
        <f t="shared" si="48"/>
        <v/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 x14ac:dyDescent="0.25">
      <c r="A224" s="69">
        <v>46212</v>
      </c>
      <c r="B224" s="25">
        <f t="shared" si="50"/>
        <v>0.58333333333333304</v>
      </c>
      <c r="C224" s="26"/>
      <c r="D224" s="59"/>
      <c r="E224" s="59"/>
      <c r="F224" s="27"/>
      <c r="G224" s="28" t="str">
        <f t="shared" si="48"/>
        <v/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 x14ac:dyDescent="0.25">
      <c r="A225" s="70">
        <v>46212</v>
      </c>
      <c r="B225" s="32">
        <f t="shared" si="50"/>
        <v>0.62499999999999967</v>
      </c>
      <c r="C225" s="26"/>
      <c r="D225" s="59"/>
      <c r="E225" s="59"/>
      <c r="F225" s="27"/>
      <c r="G225" s="34" t="str">
        <f t="shared" si="48"/>
        <v/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 x14ac:dyDescent="0.25">
      <c r="A226" s="69">
        <v>46212</v>
      </c>
      <c r="B226" s="25">
        <f t="shared" si="50"/>
        <v>0.6666666666666663</v>
      </c>
      <c r="C226" s="26"/>
      <c r="D226" s="59"/>
      <c r="E226" s="59"/>
      <c r="F226" s="27"/>
      <c r="G226" s="28" t="str">
        <f t="shared" si="48"/>
        <v/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 x14ac:dyDescent="0.25">
      <c r="A227" s="70">
        <v>46212</v>
      </c>
      <c r="B227" s="32">
        <f t="shared" si="50"/>
        <v>0.70833333333333293</v>
      </c>
      <c r="C227" s="26"/>
      <c r="D227" s="59"/>
      <c r="E227" s="59"/>
      <c r="F227" s="27"/>
      <c r="G227" s="34" t="str">
        <f t="shared" si="48"/>
        <v/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 x14ac:dyDescent="0.25">
      <c r="A228" s="69">
        <v>46212</v>
      </c>
      <c r="B228" s="25">
        <f t="shared" si="50"/>
        <v>0.74999999999999956</v>
      </c>
      <c r="C228" s="26"/>
      <c r="D228" s="59"/>
      <c r="E228" s="59"/>
      <c r="F228" s="27"/>
      <c r="G228" s="28" t="str">
        <f t="shared" si="48"/>
        <v/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 x14ac:dyDescent="0.25">
      <c r="A229" s="70">
        <v>46212</v>
      </c>
      <c r="B229" s="32">
        <f t="shared" si="50"/>
        <v>0.79166666666666619</v>
      </c>
      <c r="C229" s="26"/>
      <c r="D229" s="59"/>
      <c r="E229" s="59"/>
      <c r="F229" s="27"/>
      <c r="G229" s="34" t="str">
        <f t="shared" si="48"/>
        <v/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 x14ac:dyDescent="0.25">
      <c r="A230" s="79" t="s">
        <v>190</v>
      </c>
      <c r="B230" s="80"/>
      <c r="C230" s="80"/>
      <c r="D230" s="80"/>
      <c r="E230" s="81">
        <f>SUM(E218:E229)</f>
        <v>0</v>
      </c>
      <c r="F230" s="36">
        <f>SUM(F218:F229)</f>
        <v>0</v>
      </c>
      <c r="G230" s="36">
        <f>SUM(G218:G229)</f>
        <v>0</v>
      </c>
      <c r="H230" s="37"/>
      <c r="I230" s="37"/>
      <c r="J230" s="37"/>
      <c r="K230" s="37"/>
      <c r="L230" s="37"/>
      <c r="M230" s="38">
        <f ca="1">IFERROR(SUM(M218:M229),"")</f>
        <v>0</v>
      </c>
      <c r="N230" s="36" t="s">
        <v>191</v>
      </c>
      <c r="O230" s="39"/>
    </row>
    <row r="231" spans="1:15" ht="15" customHeight="1" x14ac:dyDescent="0.25">
      <c r="A231" s="70">
        <v>46212</v>
      </c>
      <c r="B231" s="32">
        <v>0.83333333333333304</v>
      </c>
      <c r="C231" s="33"/>
      <c r="D231" s="62"/>
      <c r="E231" s="62"/>
      <c r="F231" s="27"/>
      <c r="G231" s="34" t="str">
        <f t="shared" ref="G231:G242" si="51">IF(F231="","",IF(E231="PC 17",F231*4.2,IF(E231="PC 19",F231*5,"")))</f>
        <v/>
      </c>
      <c r="H231" s="33"/>
      <c r="I231" s="33"/>
      <c r="J231" s="33"/>
      <c r="K231" s="29"/>
      <c r="L231" s="29"/>
      <c r="M231" s="35" t="str">
        <f t="shared" ref="M231:M242" ca="1" si="52">IFERROR(IF(K231="","",IF(L231="",MOD(NOW()-K231,1),IF(L231&gt;=K231,L231-K231,L231+1-K231))),"")</f>
        <v/>
      </c>
      <c r="N231" s="46"/>
      <c r="O231" s="47"/>
    </row>
    <row r="232" spans="1:15" ht="15" customHeight="1" x14ac:dyDescent="0.25">
      <c r="A232" s="69">
        <v>46212</v>
      </c>
      <c r="B232" s="25">
        <f t="shared" ref="B232:B242" si="53">B231+TIME(0,60,0)</f>
        <v>0.87499999999999967</v>
      </c>
      <c r="C232" s="33"/>
      <c r="D232" s="62"/>
      <c r="E232" s="62"/>
      <c r="F232" s="27"/>
      <c r="G232" s="28" t="str">
        <f t="shared" si="51"/>
        <v/>
      </c>
      <c r="H232" s="26"/>
      <c r="I232" s="26"/>
      <c r="J232" s="26"/>
      <c r="K232" s="29"/>
      <c r="L232" s="29"/>
      <c r="M232" s="30" t="str">
        <f t="shared" ca="1" si="52"/>
        <v/>
      </c>
      <c r="N232" s="46"/>
      <c r="O232" s="47"/>
    </row>
    <row r="233" spans="1:15" ht="15" customHeight="1" x14ac:dyDescent="0.25">
      <c r="A233" s="70">
        <v>46212</v>
      </c>
      <c r="B233" s="32">
        <f t="shared" si="53"/>
        <v>0.9166666666666663</v>
      </c>
      <c r="C233" s="33"/>
      <c r="D233" s="62"/>
      <c r="E233" s="62"/>
      <c r="F233" s="27"/>
      <c r="G233" s="34" t="str">
        <f t="shared" si="51"/>
        <v/>
      </c>
      <c r="H233" s="33"/>
      <c r="I233" s="33"/>
      <c r="J233" s="33"/>
      <c r="K233" s="29"/>
      <c r="L233" s="29"/>
      <c r="M233" s="35" t="str">
        <f t="shared" ca="1" si="52"/>
        <v/>
      </c>
      <c r="N233" s="46"/>
      <c r="O233" s="47"/>
    </row>
    <row r="234" spans="1:15" ht="15" customHeight="1" x14ac:dyDescent="0.25">
      <c r="A234" s="69">
        <v>46212</v>
      </c>
      <c r="B234" s="25">
        <f t="shared" si="53"/>
        <v>0.95833333333333293</v>
      </c>
      <c r="C234" s="33"/>
      <c r="D234" s="62"/>
      <c r="E234" s="62"/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46"/>
      <c r="O234" s="47"/>
    </row>
    <row r="235" spans="1:15" ht="15" customHeight="1" x14ac:dyDescent="0.25">
      <c r="A235" s="70">
        <v>46212</v>
      </c>
      <c r="B235" s="32">
        <f t="shared" si="53"/>
        <v>0.99999999999999956</v>
      </c>
      <c r="C235" s="33"/>
      <c r="D235" s="62"/>
      <c r="E235" s="62"/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46"/>
      <c r="O235" s="47"/>
    </row>
    <row r="236" spans="1:15" ht="15" customHeight="1" x14ac:dyDescent="0.25">
      <c r="A236" s="69">
        <v>46212</v>
      </c>
      <c r="B236" s="25">
        <f t="shared" si="53"/>
        <v>1.0416666666666663</v>
      </c>
      <c r="C236" s="33"/>
      <c r="D236" s="62"/>
      <c r="E236" s="62"/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 x14ac:dyDescent="0.25">
      <c r="A237" s="70">
        <v>46212</v>
      </c>
      <c r="B237" s="32">
        <f t="shared" si="53"/>
        <v>1.083333333333333</v>
      </c>
      <c r="C237" s="33"/>
      <c r="D237" s="62"/>
      <c r="E237" s="62"/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 x14ac:dyDescent="0.25">
      <c r="A238" s="69">
        <v>46212</v>
      </c>
      <c r="B238" s="25">
        <f t="shared" si="53"/>
        <v>1.1249999999999998</v>
      </c>
      <c r="C238" s="33"/>
      <c r="D238" s="62"/>
      <c r="E238" s="62"/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 x14ac:dyDescent="0.25">
      <c r="A239" s="70">
        <v>46212</v>
      </c>
      <c r="B239" s="32">
        <f t="shared" si="53"/>
        <v>1.1666666666666665</v>
      </c>
      <c r="C239" s="33"/>
      <c r="D239" s="62"/>
      <c r="E239" s="62"/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 x14ac:dyDescent="0.25">
      <c r="A240" s="69">
        <v>46212</v>
      </c>
      <c r="B240" s="25">
        <f t="shared" si="53"/>
        <v>1.2083333333333333</v>
      </c>
      <c r="C240" s="33"/>
      <c r="D240" s="62"/>
      <c r="E240" s="62"/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 x14ac:dyDescent="0.25">
      <c r="A241" s="70">
        <v>46212</v>
      </c>
      <c r="B241" s="32">
        <f t="shared" si="53"/>
        <v>1.25</v>
      </c>
      <c r="C241" s="33"/>
      <c r="D241" s="62"/>
      <c r="E241" s="62"/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 x14ac:dyDescent="0.25">
      <c r="A242" s="69">
        <v>46212</v>
      </c>
      <c r="B242" s="25">
        <f t="shared" si="53"/>
        <v>1.2916666666666667</v>
      </c>
      <c r="C242" s="33"/>
      <c r="D242" s="62"/>
      <c r="E242" s="62"/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 x14ac:dyDescent="0.25">
      <c r="A243" s="79" t="s">
        <v>192</v>
      </c>
      <c r="B243" s="80"/>
      <c r="C243" s="80"/>
      <c r="D243" s="80"/>
      <c r="E243" s="81">
        <f>SUM(E231:E242)</f>
        <v>0</v>
      </c>
      <c r="F243" s="36">
        <f>SUM(F231:F242)</f>
        <v>0</v>
      </c>
      <c r="G243" s="36">
        <f>SUM(G231:G242)</f>
        <v>0</v>
      </c>
      <c r="H243" s="37"/>
      <c r="I243" s="37"/>
      <c r="J243" s="37"/>
      <c r="K243" s="37"/>
      <c r="L243" s="37"/>
      <c r="M243" s="38">
        <f ca="1">IFERROR(SUM(M231:M242),"")</f>
        <v>0</v>
      </c>
      <c r="N243" s="36" t="s">
        <v>191</v>
      </c>
      <c r="O243" s="39"/>
    </row>
    <row r="244" spans="1:15" ht="18" customHeight="1" x14ac:dyDescent="0.25">
      <c r="A244" s="82" t="s">
        <v>193</v>
      </c>
      <c r="B244" s="83"/>
      <c r="C244" s="83"/>
      <c r="D244" s="83"/>
      <c r="E244" s="84">
        <f>E230+E243</f>
        <v>0</v>
      </c>
      <c r="F244" s="40">
        <f>F230+F243</f>
        <v>0</v>
      </c>
      <c r="G244" s="40">
        <f>G230+G243</f>
        <v>0</v>
      </c>
      <c r="H244" s="41"/>
      <c r="I244" s="41"/>
      <c r="J244" s="41"/>
      <c r="K244" s="41"/>
      <c r="L244" s="41"/>
      <c r="M244" s="42">
        <f ca="1">IFERROR(M230+M243,"")</f>
        <v>0</v>
      </c>
      <c r="N244" s="40" t="s">
        <v>194</v>
      </c>
      <c r="O244" s="48">
        <f>IFERROR(O230+O243,"")</f>
        <v>0</v>
      </c>
    </row>
    <row r="245" spans="1:15" ht="15" customHeight="1" x14ac:dyDescent="0.25">
      <c r="A245" s="69">
        <v>46213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19",F245*5,"")))</f>
        <v/>
      </c>
      <c r="H245" s="33"/>
      <c r="I245" s="33"/>
      <c r="J245" s="33"/>
      <c r="K245" s="29"/>
      <c r="L245" s="29"/>
      <c r="M245" s="35" t="str">
        <f t="shared" ref="M245:M256" ca="1" si="55">IFERROR(IF(K245="","",IF(L245="",MOD(NOW()-K245,1),IF(L245&gt;=K245,L245-K245,L245+1-K245))),"")</f>
        <v/>
      </c>
      <c r="N245" s="46"/>
      <c r="O245" s="47"/>
    </row>
    <row r="246" spans="1:15" ht="15" customHeight="1" x14ac:dyDescent="0.25">
      <c r="A246" s="70">
        <v>46213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 x14ac:dyDescent="0.25">
      <c r="A247" s="69">
        <v>46213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 x14ac:dyDescent="0.25">
      <c r="A248" s="70">
        <v>46213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 x14ac:dyDescent="0.25">
      <c r="A249" s="69">
        <v>46213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 x14ac:dyDescent="0.25">
      <c r="A250" s="70">
        <v>46213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 x14ac:dyDescent="0.25">
      <c r="A251" s="69">
        <v>46213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 x14ac:dyDescent="0.25">
      <c r="A252" s="70">
        <v>46213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 x14ac:dyDescent="0.25">
      <c r="A253" s="69">
        <v>46213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 x14ac:dyDescent="0.25">
      <c r="A254" s="70">
        <v>46213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 x14ac:dyDescent="0.25">
      <c r="A255" s="69">
        <v>46213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 x14ac:dyDescent="0.25">
      <c r="A256" s="70">
        <v>46213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 x14ac:dyDescent="0.25">
      <c r="A257" s="79" t="s">
        <v>190</v>
      </c>
      <c r="B257" s="80"/>
      <c r="C257" s="80"/>
      <c r="D257" s="80"/>
      <c r="E257" s="81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37"/>
      <c r="L257" s="37"/>
      <c r="M257" s="38">
        <f ca="1">IFERROR(SUM(M245:M256),"")</f>
        <v>0</v>
      </c>
      <c r="N257" s="36" t="s">
        <v>191</v>
      </c>
      <c r="O257" s="39"/>
    </row>
    <row r="258" spans="1:15" ht="15" customHeight="1" x14ac:dyDescent="0.25">
      <c r="A258" s="70">
        <v>46213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19",F258*5,"")))</f>
        <v/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27"/>
      <c r="O258" s="47"/>
    </row>
    <row r="259" spans="1:15" ht="15" customHeight="1" x14ac:dyDescent="0.25">
      <c r="A259" s="69">
        <v>46213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5" t="str">
        <f t="shared" ca="1" si="58"/>
        <v/>
      </c>
      <c r="N259" s="46"/>
      <c r="O259" s="47"/>
    </row>
    <row r="260" spans="1:15" ht="15" customHeight="1" x14ac:dyDescent="0.25">
      <c r="A260" s="70">
        <v>46213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 x14ac:dyDescent="0.25">
      <c r="A261" s="69">
        <v>46213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5" t="str">
        <f t="shared" ca="1" si="58"/>
        <v/>
      </c>
      <c r="N261" s="46"/>
      <c r="O261" s="47"/>
    </row>
    <row r="262" spans="1:15" ht="15" customHeight="1" x14ac:dyDescent="0.25">
      <c r="A262" s="70">
        <v>46213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 x14ac:dyDescent="0.25">
      <c r="A263" s="69">
        <v>46213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 x14ac:dyDescent="0.25">
      <c r="A264" s="70">
        <v>46213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 x14ac:dyDescent="0.25">
      <c r="A265" s="69">
        <v>46213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 x14ac:dyDescent="0.25">
      <c r="A266" s="70">
        <v>46213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 x14ac:dyDescent="0.25">
      <c r="A267" s="69">
        <v>46213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 x14ac:dyDescent="0.25">
      <c r="A268" s="70">
        <v>46213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 x14ac:dyDescent="0.25">
      <c r="A269" s="69">
        <v>46213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 x14ac:dyDescent="0.25">
      <c r="A270" s="79" t="s">
        <v>192</v>
      </c>
      <c r="B270" s="80"/>
      <c r="C270" s="80"/>
      <c r="D270" s="80"/>
      <c r="E270" s="81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191</v>
      </c>
      <c r="O270" s="39"/>
    </row>
    <row r="271" spans="1:15" ht="18" customHeight="1" x14ac:dyDescent="0.25">
      <c r="A271" s="82" t="s">
        <v>193</v>
      </c>
      <c r="B271" s="83"/>
      <c r="C271" s="83"/>
      <c r="D271" s="83"/>
      <c r="E271" s="84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41"/>
      <c r="L271" s="41"/>
      <c r="M271" s="42">
        <f ca="1">IFERROR(M257+M270,"")</f>
        <v>0</v>
      </c>
      <c r="N271" s="40" t="s">
        <v>194</v>
      </c>
      <c r="O271" s="48">
        <f>IFERROR(O257+O270,"")</f>
        <v>0</v>
      </c>
    </row>
    <row r="272" spans="1:15" ht="15" customHeight="1" x14ac:dyDescent="0.25">
      <c r="A272" s="69">
        <v>46214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19",F272*5,"")))</f>
        <v/>
      </c>
      <c r="H272" s="26"/>
      <c r="I272" s="26"/>
      <c r="J272" s="26"/>
      <c r="K272" s="29"/>
      <c r="L272" s="29"/>
      <c r="M272" s="30" t="str">
        <f t="shared" ref="M272:M283" ca="1" si="61">IFERROR(IF(K272="","",IF(L272="",MOD(NOW()-K272,1),IF(L272&gt;=K272,L272-K272,L272+1-K272))),"")</f>
        <v/>
      </c>
      <c r="N272" s="46"/>
      <c r="O272" s="47"/>
    </row>
    <row r="273" spans="1:15" ht="15" customHeight="1" x14ac:dyDescent="0.25">
      <c r="A273" s="70">
        <v>46214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46"/>
      <c r="O273" s="47"/>
    </row>
    <row r="274" spans="1:15" ht="15" customHeight="1" x14ac:dyDescent="0.25">
      <c r="A274" s="69">
        <v>46214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46"/>
      <c r="O274" s="47"/>
    </row>
    <row r="275" spans="1:15" ht="15" customHeight="1" x14ac:dyDescent="0.25">
      <c r="A275" s="70">
        <v>46214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 x14ac:dyDescent="0.25">
      <c r="A276" s="69">
        <v>46214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 x14ac:dyDescent="0.25">
      <c r="A277" s="70">
        <v>46214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 x14ac:dyDescent="0.25">
      <c r="A278" s="69">
        <v>46214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 x14ac:dyDescent="0.25">
      <c r="A279" s="70">
        <v>46214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 x14ac:dyDescent="0.25">
      <c r="A280" s="69">
        <v>46214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 x14ac:dyDescent="0.25">
      <c r="A281" s="70">
        <v>46214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 x14ac:dyDescent="0.25">
      <c r="A282" s="69">
        <v>46214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 x14ac:dyDescent="0.25">
      <c r="A283" s="70">
        <v>46214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 x14ac:dyDescent="0.25">
      <c r="A284" s="79" t="s">
        <v>190</v>
      </c>
      <c r="B284" s="80"/>
      <c r="C284" s="80"/>
      <c r="D284" s="80"/>
      <c r="E284" s="81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37"/>
      <c r="L284" s="37"/>
      <c r="M284" s="38">
        <f ca="1">IFERROR(SUM(M272:M283),"")</f>
        <v>0</v>
      </c>
      <c r="N284" s="36" t="s">
        <v>191</v>
      </c>
      <c r="O284" s="39"/>
    </row>
    <row r="285" spans="1:15" ht="15" customHeight="1" x14ac:dyDescent="0.25">
      <c r="A285" s="70">
        <v>46214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19",F285*5,"")))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46"/>
      <c r="O285" s="47"/>
    </row>
    <row r="286" spans="1:15" ht="15" customHeight="1" x14ac:dyDescent="0.25">
      <c r="A286" s="69">
        <v>46214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30" t="str">
        <f t="shared" ca="1" si="64"/>
        <v/>
      </c>
      <c r="N286" s="46"/>
      <c r="O286" s="47"/>
    </row>
    <row r="287" spans="1:15" ht="15" customHeight="1" x14ac:dyDescent="0.25">
      <c r="A287" s="70">
        <v>46214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35" t="str">
        <f t="shared" ca="1" si="64"/>
        <v/>
      </c>
      <c r="N287" s="46"/>
      <c r="O287" s="47"/>
    </row>
    <row r="288" spans="1:15" ht="15" customHeight="1" x14ac:dyDescent="0.25">
      <c r="A288" s="69">
        <v>46214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30" t="str">
        <f t="shared" ca="1" si="64"/>
        <v/>
      </c>
      <c r="N288" s="46"/>
      <c r="O288" s="47"/>
    </row>
    <row r="289" spans="1:15" ht="15" customHeight="1" x14ac:dyDescent="0.25">
      <c r="A289" s="70">
        <v>46214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46"/>
      <c r="O289" s="47"/>
    </row>
    <row r="290" spans="1:15" ht="15" customHeight="1" x14ac:dyDescent="0.25">
      <c r="A290" s="69">
        <v>46214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30" t="str">
        <f t="shared" ca="1" si="64"/>
        <v/>
      </c>
      <c r="N290" s="46"/>
      <c r="O290" s="47"/>
    </row>
    <row r="291" spans="1:15" ht="15" customHeight="1" x14ac:dyDescent="0.25">
      <c r="A291" s="70">
        <v>46214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46"/>
      <c r="O291" s="47"/>
    </row>
    <row r="292" spans="1:15" ht="15" customHeight="1" x14ac:dyDescent="0.25">
      <c r="A292" s="69">
        <v>46214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30" t="str">
        <f t="shared" ca="1" si="64"/>
        <v/>
      </c>
      <c r="N292" s="46"/>
      <c r="O292" s="47"/>
    </row>
    <row r="293" spans="1:15" ht="15" customHeight="1" x14ac:dyDescent="0.25">
      <c r="A293" s="70">
        <v>46214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46"/>
      <c r="O293" s="47"/>
    </row>
    <row r="294" spans="1:15" ht="15" customHeight="1" x14ac:dyDescent="0.25">
      <c r="A294" s="69">
        <v>46214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30" t="str">
        <f t="shared" ca="1" si="64"/>
        <v/>
      </c>
      <c r="N294" s="46"/>
      <c r="O294" s="47"/>
    </row>
    <row r="295" spans="1:15" ht="15" customHeight="1" x14ac:dyDescent="0.25">
      <c r="A295" s="70">
        <v>46214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46"/>
      <c r="O295" s="47"/>
    </row>
    <row r="296" spans="1:15" ht="15" customHeight="1" x14ac:dyDescent="0.25">
      <c r="A296" s="69">
        <v>46214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46"/>
      <c r="O296" s="47"/>
    </row>
    <row r="297" spans="1:15" ht="15.75" customHeight="1" x14ac:dyDescent="0.25">
      <c r="A297" s="79" t="s">
        <v>192</v>
      </c>
      <c r="B297" s="80"/>
      <c r="C297" s="80"/>
      <c r="D297" s="80"/>
      <c r="E297" s="81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191</v>
      </c>
      <c r="O297" s="39"/>
    </row>
    <row r="298" spans="1:15" ht="18" customHeight="1" x14ac:dyDescent="0.25">
      <c r="A298" s="82" t="s">
        <v>193</v>
      </c>
      <c r="B298" s="83"/>
      <c r="C298" s="83"/>
      <c r="D298" s="83"/>
      <c r="E298" s="84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41"/>
      <c r="L298" s="41"/>
      <c r="M298" s="42">
        <f ca="1">IFERROR(M284+M297,"")</f>
        <v>0</v>
      </c>
      <c r="N298" s="40" t="s">
        <v>194</v>
      </c>
      <c r="O298" s="48">
        <f>IFERROR(O284+O297,"")</f>
        <v>0</v>
      </c>
    </row>
    <row r="299" spans="1:15" ht="15" customHeight="1" x14ac:dyDescent="0.25">
      <c r="A299" s="70">
        <v>46215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19",F299*5,"")))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46"/>
      <c r="O299" s="47"/>
    </row>
    <row r="300" spans="1:15" ht="15" customHeight="1" x14ac:dyDescent="0.25">
      <c r="A300" s="69">
        <v>46215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46"/>
      <c r="O300" s="47"/>
    </row>
    <row r="301" spans="1:15" ht="15" customHeight="1" x14ac:dyDescent="0.25">
      <c r="A301" s="70">
        <v>46215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29"/>
      <c r="L301" s="29"/>
      <c r="M301" s="35" t="str">
        <f t="shared" ca="1" si="67"/>
        <v/>
      </c>
      <c r="N301" s="46"/>
      <c r="O301" s="47"/>
    </row>
    <row r="302" spans="1:15" ht="15" customHeight="1" x14ac:dyDescent="0.25">
      <c r="A302" s="69">
        <v>46215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46"/>
      <c r="O302" s="47"/>
    </row>
    <row r="303" spans="1:15" ht="15" customHeight="1" x14ac:dyDescent="0.25">
      <c r="A303" s="70">
        <v>46215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46"/>
      <c r="O303" s="47"/>
    </row>
    <row r="304" spans="1:15" ht="15" customHeight="1" x14ac:dyDescent="0.25">
      <c r="A304" s="69">
        <v>46215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46"/>
      <c r="O304" s="47"/>
    </row>
    <row r="305" spans="1:15" ht="15" customHeight="1" x14ac:dyDescent="0.25">
      <c r="A305" s="70">
        <v>46215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 x14ac:dyDescent="0.25">
      <c r="A306" s="69">
        <v>46215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 x14ac:dyDescent="0.25">
      <c r="A307" s="70">
        <v>46215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 x14ac:dyDescent="0.25">
      <c r="A308" s="69">
        <v>46215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 x14ac:dyDescent="0.25">
      <c r="A309" s="70">
        <v>46215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 x14ac:dyDescent="0.25">
      <c r="A310" s="69">
        <v>46215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 x14ac:dyDescent="0.25">
      <c r="A311" s="79" t="s">
        <v>190</v>
      </c>
      <c r="B311" s="80"/>
      <c r="C311" s="80"/>
      <c r="D311" s="80"/>
      <c r="E311" s="81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37"/>
      <c r="L311" s="37"/>
      <c r="M311" s="38">
        <f ca="1">IFERROR(SUM(M299:M310),"")</f>
        <v>0</v>
      </c>
      <c r="N311" s="36" t="s">
        <v>191</v>
      </c>
      <c r="O311" s="39"/>
    </row>
    <row r="312" spans="1:15" ht="15" customHeight="1" x14ac:dyDescent="0.25">
      <c r="A312" s="69">
        <v>46215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19",F312*5,"")))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46"/>
      <c r="O312" s="47"/>
    </row>
    <row r="313" spans="1:15" ht="15" customHeight="1" x14ac:dyDescent="0.25">
      <c r="A313" s="70">
        <v>46215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46"/>
      <c r="O313" s="47"/>
    </row>
    <row r="314" spans="1:15" ht="15" customHeight="1" x14ac:dyDescent="0.25">
      <c r="A314" s="69">
        <v>46215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46"/>
      <c r="O314" s="47"/>
    </row>
    <row r="315" spans="1:15" ht="15" customHeight="1" x14ac:dyDescent="0.25">
      <c r="A315" s="70">
        <v>46215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 x14ac:dyDescent="0.25">
      <c r="A316" s="69">
        <v>46215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46"/>
      <c r="O316" s="47"/>
    </row>
    <row r="317" spans="1:15" ht="15" customHeight="1" x14ac:dyDescent="0.25">
      <c r="A317" s="70">
        <v>46215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46"/>
      <c r="O317" s="47"/>
    </row>
    <row r="318" spans="1:15" ht="15" customHeight="1" x14ac:dyDescent="0.25">
      <c r="A318" s="69">
        <v>46215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46"/>
      <c r="O318" s="47"/>
    </row>
    <row r="319" spans="1:15" ht="15" customHeight="1" x14ac:dyDescent="0.25">
      <c r="A319" s="70">
        <v>46215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 x14ac:dyDescent="0.25">
      <c r="A320" s="69">
        <v>46215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46"/>
      <c r="O320" s="47"/>
    </row>
    <row r="321" spans="1:15" ht="15" customHeight="1" x14ac:dyDescent="0.25">
      <c r="A321" s="70">
        <v>46215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 x14ac:dyDescent="0.25">
      <c r="A322" s="69">
        <v>46215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 x14ac:dyDescent="0.25">
      <c r="A323" s="70">
        <v>46215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 x14ac:dyDescent="0.25">
      <c r="A324" s="79" t="s">
        <v>192</v>
      </c>
      <c r="B324" s="80"/>
      <c r="C324" s="80"/>
      <c r="D324" s="80"/>
      <c r="E324" s="81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191</v>
      </c>
      <c r="O324" s="39"/>
    </row>
    <row r="325" spans="1:15" ht="18" customHeight="1" x14ac:dyDescent="0.25">
      <c r="A325" s="82" t="s">
        <v>193</v>
      </c>
      <c r="B325" s="83"/>
      <c r="C325" s="83"/>
      <c r="D325" s="83"/>
      <c r="E325" s="84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41"/>
      <c r="L325" s="41"/>
      <c r="M325" s="42">
        <f ca="1">IFERROR(M311+M324,"")</f>
        <v>0</v>
      </c>
      <c r="N325" s="40" t="s">
        <v>194</v>
      </c>
      <c r="O325" s="48">
        <f>IFERROR(O311+O324,"")</f>
        <v>0</v>
      </c>
    </row>
    <row r="326" spans="1:15" ht="15" customHeight="1" x14ac:dyDescent="0.25">
      <c r="A326" s="69">
        <v>46216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19",F326*5,"")))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46"/>
      <c r="O326" s="47"/>
    </row>
    <row r="327" spans="1:15" ht="15" customHeight="1" x14ac:dyDescent="0.25">
      <c r="A327" s="70">
        <v>46216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46"/>
      <c r="O327" s="47"/>
    </row>
    <row r="328" spans="1:15" ht="15" customHeight="1" x14ac:dyDescent="0.25">
      <c r="A328" s="69">
        <v>46216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46"/>
      <c r="O328" s="47"/>
    </row>
    <row r="329" spans="1:15" ht="15" customHeight="1" x14ac:dyDescent="0.25">
      <c r="A329" s="70">
        <v>46216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46"/>
      <c r="O329" s="47"/>
    </row>
    <row r="330" spans="1:15" ht="15" customHeight="1" x14ac:dyDescent="0.25">
      <c r="A330" s="69">
        <v>46216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 x14ac:dyDescent="0.25">
      <c r="A331" s="70">
        <v>46216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 x14ac:dyDescent="0.25">
      <c r="A332" s="69">
        <v>46216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 x14ac:dyDescent="0.25">
      <c r="A333" s="70">
        <v>46216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 x14ac:dyDescent="0.25">
      <c r="A334" s="69">
        <v>46216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 x14ac:dyDescent="0.25">
      <c r="A335" s="70">
        <v>46216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 x14ac:dyDescent="0.25">
      <c r="A336" s="69">
        <v>46216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 x14ac:dyDescent="0.25">
      <c r="A337" s="70">
        <v>46216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 x14ac:dyDescent="0.25">
      <c r="A338" s="79" t="s">
        <v>190</v>
      </c>
      <c r="B338" s="80"/>
      <c r="C338" s="80"/>
      <c r="D338" s="80"/>
      <c r="E338" s="81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191</v>
      </c>
      <c r="O338" s="39"/>
    </row>
    <row r="339" spans="1:15" ht="15" customHeight="1" x14ac:dyDescent="0.25">
      <c r="A339" s="70">
        <v>46216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19",F339*5,"")))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46"/>
      <c r="O339" s="47"/>
    </row>
    <row r="340" spans="1:15" ht="15" customHeight="1" x14ac:dyDescent="0.25">
      <c r="A340" s="69">
        <v>46216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46"/>
      <c r="O340" s="47"/>
    </row>
    <row r="341" spans="1:15" ht="15" customHeight="1" x14ac:dyDescent="0.25">
      <c r="A341" s="70">
        <v>46216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46"/>
      <c r="O341" s="47"/>
    </row>
    <row r="342" spans="1:15" ht="15" customHeight="1" x14ac:dyDescent="0.25">
      <c r="A342" s="69">
        <v>46216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46"/>
      <c r="O342" s="47"/>
    </row>
    <row r="343" spans="1:15" ht="15" customHeight="1" x14ac:dyDescent="0.25">
      <c r="A343" s="70">
        <v>46216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 x14ac:dyDescent="0.25">
      <c r="A344" s="69">
        <v>46216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 x14ac:dyDescent="0.25">
      <c r="A345" s="70">
        <v>46216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 x14ac:dyDescent="0.25">
      <c r="A346" s="69">
        <v>46216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 x14ac:dyDescent="0.25">
      <c r="A347" s="70">
        <v>46216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 x14ac:dyDescent="0.25">
      <c r="A348" s="69">
        <v>46216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 x14ac:dyDescent="0.25">
      <c r="A349" s="70">
        <v>46216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 x14ac:dyDescent="0.25">
      <c r="A350" s="69">
        <v>46216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 x14ac:dyDescent="0.25">
      <c r="A351" s="79" t="s">
        <v>192</v>
      </c>
      <c r="B351" s="80"/>
      <c r="C351" s="80"/>
      <c r="D351" s="80"/>
      <c r="E351" s="81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191</v>
      </c>
      <c r="O351" s="39"/>
    </row>
    <row r="352" spans="1:15" ht="18" customHeight="1" x14ac:dyDescent="0.25">
      <c r="A352" s="82" t="s">
        <v>193</v>
      </c>
      <c r="B352" s="83"/>
      <c r="C352" s="83"/>
      <c r="D352" s="83"/>
      <c r="E352" s="84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194</v>
      </c>
      <c r="O352" s="48">
        <f>IFERROR(O338+O351,"")</f>
        <v>0</v>
      </c>
    </row>
    <row r="353" spans="1:15" ht="15" customHeight="1" x14ac:dyDescent="0.25">
      <c r="A353" s="70">
        <v>46217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19",F353*5,"")))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46"/>
      <c r="O353" s="47"/>
    </row>
    <row r="354" spans="1:15" ht="15" customHeight="1" x14ac:dyDescent="0.25">
      <c r="A354" s="69">
        <v>46217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 x14ac:dyDescent="0.25">
      <c r="A355" s="70">
        <v>46217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47"/>
    </row>
    <row r="356" spans="1:15" ht="15" customHeight="1" x14ac:dyDescent="0.25">
      <c r="A356" s="69">
        <v>46217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46"/>
      <c r="O356" s="47"/>
    </row>
    <row r="357" spans="1:15" ht="15" customHeight="1" x14ac:dyDescent="0.25">
      <c r="A357" s="70">
        <v>46217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46"/>
      <c r="O357" s="47"/>
    </row>
    <row r="358" spans="1:15" ht="15" customHeight="1" x14ac:dyDescent="0.25">
      <c r="A358" s="69">
        <v>46217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 x14ac:dyDescent="0.25">
      <c r="A359" s="70">
        <v>46217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 x14ac:dyDescent="0.25">
      <c r="A360" s="69">
        <v>46217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 x14ac:dyDescent="0.25">
      <c r="A361" s="70">
        <v>46217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 x14ac:dyDescent="0.25">
      <c r="A362" s="69">
        <v>46217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 x14ac:dyDescent="0.25">
      <c r="A363" s="70">
        <v>46217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 x14ac:dyDescent="0.25">
      <c r="A364" s="69">
        <v>46217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 x14ac:dyDescent="0.25">
      <c r="A365" s="79" t="s">
        <v>190</v>
      </c>
      <c r="B365" s="80"/>
      <c r="C365" s="80"/>
      <c r="D365" s="80"/>
      <c r="E365" s="81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191</v>
      </c>
      <c r="O365" s="39"/>
    </row>
    <row r="366" spans="1:15" ht="15" customHeight="1" x14ac:dyDescent="0.25">
      <c r="A366" s="69">
        <v>46217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19",F366*5,"")))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46"/>
      <c r="O366" s="47"/>
    </row>
    <row r="367" spans="1:15" ht="15" customHeight="1" x14ac:dyDescent="0.25">
      <c r="A367" s="70">
        <v>46217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46"/>
      <c r="O367" s="47"/>
    </row>
    <row r="368" spans="1:15" ht="15" customHeight="1" x14ac:dyDescent="0.25">
      <c r="A368" s="69">
        <v>46217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46"/>
      <c r="O368" s="47"/>
    </row>
    <row r="369" spans="1:15" ht="15" customHeight="1" x14ac:dyDescent="0.25">
      <c r="A369" s="70">
        <v>46217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46"/>
      <c r="O369" s="47"/>
    </row>
    <row r="370" spans="1:15" ht="15" customHeight="1" x14ac:dyDescent="0.25">
      <c r="A370" s="69">
        <v>46217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46"/>
      <c r="O370" s="47"/>
    </row>
    <row r="371" spans="1:15" ht="15" customHeight="1" x14ac:dyDescent="0.25">
      <c r="A371" s="70">
        <v>46217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46"/>
      <c r="O371" s="47"/>
    </row>
    <row r="372" spans="1:15" ht="15" customHeight="1" x14ac:dyDescent="0.25">
      <c r="A372" s="69">
        <v>46217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46"/>
      <c r="O372" s="47"/>
    </row>
    <row r="373" spans="1:15" ht="15" customHeight="1" x14ac:dyDescent="0.25">
      <c r="A373" s="70">
        <v>46217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46"/>
      <c r="O373" s="47"/>
    </row>
    <row r="374" spans="1:15" ht="15" customHeight="1" x14ac:dyDescent="0.25">
      <c r="A374" s="69">
        <v>46217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46"/>
      <c r="O374" s="47"/>
    </row>
    <row r="375" spans="1:15" ht="15" customHeight="1" x14ac:dyDescent="0.25">
      <c r="A375" s="70">
        <v>46217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46"/>
      <c r="O375" s="47"/>
    </row>
    <row r="376" spans="1:15" ht="15" customHeight="1" x14ac:dyDescent="0.25">
      <c r="A376" s="69">
        <v>46217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46"/>
      <c r="O376" s="47"/>
    </row>
    <row r="377" spans="1:15" ht="15" customHeight="1" x14ac:dyDescent="0.25">
      <c r="A377" s="70">
        <v>46217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46"/>
      <c r="O377" s="47"/>
    </row>
    <row r="378" spans="1:15" ht="15.75" customHeight="1" x14ac:dyDescent="0.25">
      <c r="A378" s="79" t="s">
        <v>192</v>
      </c>
      <c r="B378" s="80"/>
      <c r="C378" s="80"/>
      <c r="D378" s="80"/>
      <c r="E378" s="81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191</v>
      </c>
      <c r="O378" s="39"/>
    </row>
    <row r="379" spans="1:15" ht="18" customHeight="1" x14ac:dyDescent="0.25">
      <c r="A379" s="82" t="s">
        <v>193</v>
      </c>
      <c r="B379" s="83"/>
      <c r="C379" s="83"/>
      <c r="D379" s="83"/>
      <c r="E379" s="84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194</v>
      </c>
      <c r="O379" s="48">
        <f>IFERROR(O365+O378,"")</f>
        <v>0</v>
      </c>
    </row>
    <row r="380" spans="1:15" ht="15" customHeight="1" x14ac:dyDescent="0.25">
      <c r="A380" s="69">
        <v>46218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19",F380*5,"")))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46"/>
      <c r="O380" s="47"/>
    </row>
    <row r="381" spans="1:15" ht="15" customHeight="1" x14ac:dyDescent="0.25">
      <c r="A381" s="70">
        <v>46218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46"/>
      <c r="O381" s="47"/>
    </row>
    <row r="382" spans="1:15" ht="15" customHeight="1" x14ac:dyDescent="0.25">
      <c r="A382" s="69">
        <v>46218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46"/>
      <c r="O382" s="47"/>
    </row>
    <row r="383" spans="1:15" ht="15" customHeight="1" x14ac:dyDescent="0.25">
      <c r="A383" s="70">
        <v>46218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46"/>
      <c r="O383" s="47"/>
    </row>
    <row r="384" spans="1:15" ht="15" customHeight="1" x14ac:dyDescent="0.25">
      <c r="A384" s="69">
        <v>46218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46"/>
      <c r="O384" s="47"/>
    </row>
    <row r="385" spans="1:15" ht="15" customHeight="1" x14ac:dyDescent="0.25">
      <c r="A385" s="70">
        <v>46218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 x14ac:dyDescent="0.25">
      <c r="A386" s="69">
        <v>46218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 x14ac:dyDescent="0.25">
      <c r="A387" s="70">
        <v>46218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 x14ac:dyDescent="0.25">
      <c r="A388" s="69">
        <v>46218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 x14ac:dyDescent="0.25">
      <c r="A389" s="70">
        <v>46218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 x14ac:dyDescent="0.25">
      <c r="A390" s="69">
        <v>46218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 x14ac:dyDescent="0.25">
      <c r="A391" s="70">
        <v>46218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 x14ac:dyDescent="0.25">
      <c r="A392" s="79" t="s">
        <v>190</v>
      </c>
      <c r="B392" s="80"/>
      <c r="C392" s="80"/>
      <c r="D392" s="80"/>
      <c r="E392" s="81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191</v>
      </c>
      <c r="O392" s="39"/>
    </row>
    <row r="393" spans="1:15" ht="15" customHeight="1" x14ac:dyDescent="0.25">
      <c r="A393" s="70">
        <v>46218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19",F393*5,"")))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46"/>
      <c r="O393" s="47"/>
    </row>
    <row r="394" spans="1:15" ht="15" customHeight="1" x14ac:dyDescent="0.25">
      <c r="A394" s="69">
        <v>46218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46"/>
      <c r="O394" s="47"/>
    </row>
    <row r="395" spans="1:15" ht="15" customHeight="1" x14ac:dyDescent="0.25">
      <c r="A395" s="70">
        <v>46218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46"/>
      <c r="O395" s="47"/>
    </row>
    <row r="396" spans="1:15" ht="15" customHeight="1" x14ac:dyDescent="0.25">
      <c r="A396" s="69">
        <v>46218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 x14ac:dyDescent="0.25">
      <c r="A397" s="70">
        <v>46218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 x14ac:dyDescent="0.25">
      <c r="A398" s="69">
        <v>46218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 x14ac:dyDescent="0.25">
      <c r="A399" s="70">
        <v>46218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 x14ac:dyDescent="0.25">
      <c r="A400" s="69">
        <v>46218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 x14ac:dyDescent="0.25">
      <c r="A401" s="70">
        <v>46218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 x14ac:dyDescent="0.25">
      <c r="A402" s="69">
        <v>46218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 x14ac:dyDescent="0.25">
      <c r="A403" s="70">
        <v>46218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 x14ac:dyDescent="0.25">
      <c r="A404" s="69">
        <v>46218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 x14ac:dyDescent="0.25">
      <c r="A405" s="79" t="s">
        <v>192</v>
      </c>
      <c r="B405" s="80"/>
      <c r="C405" s="80"/>
      <c r="D405" s="80"/>
      <c r="E405" s="81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191</v>
      </c>
      <c r="O405" s="39"/>
    </row>
    <row r="406" spans="1:15" ht="18" customHeight="1" x14ac:dyDescent="0.25">
      <c r="A406" s="82" t="s">
        <v>193</v>
      </c>
      <c r="B406" s="83"/>
      <c r="C406" s="83"/>
      <c r="D406" s="83"/>
      <c r="E406" s="84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194</v>
      </c>
      <c r="O406" s="48">
        <f>IFERROR(O392+O405,"")</f>
        <v>0</v>
      </c>
    </row>
    <row r="407" spans="1:15" ht="15" customHeight="1" x14ac:dyDescent="0.25">
      <c r="A407" s="70">
        <v>46219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19",F407*5,"")))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46"/>
      <c r="O407" s="47"/>
    </row>
    <row r="408" spans="1:15" ht="15" customHeight="1" x14ac:dyDescent="0.25">
      <c r="A408" s="69">
        <v>46219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46"/>
      <c r="O408" s="47"/>
    </row>
    <row r="409" spans="1:15" ht="15" customHeight="1" x14ac:dyDescent="0.25">
      <c r="A409" s="70">
        <v>46219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46"/>
      <c r="O409" s="47"/>
    </row>
    <row r="410" spans="1:15" ht="15" customHeight="1" x14ac:dyDescent="0.25">
      <c r="A410" s="69">
        <v>46219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 x14ac:dyDescent="0.25">
      <c r="A411" s="70">
        <v>46219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 x14ac:dyDescent="0.25">
      <c r="A412" s="69">
        <v>46219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 x14ac:dyDescent="0.25">
      <c r="A413" s="70">
        <v>46219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 x14ac:dyDescent="0.25">
      <c r="A414" s="69">
        <v>46219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 x14ac:dyDescent="0.25">
      <c r="A415" s="70">
        <v>46219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 x14ac:dyDescent="0.25">
      <c r="A416" s="69">
        <v>46219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 x14ac:dyDescent="0.25">
      <c r="A417" s="70">
        <v>46219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 x14ac:dyDescent="0.25">
      <c r="A418" s="69">
        <v>46219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 x14ac:dyDescent="0.25">
      <c r="A419" s="79" t="s">
        <v>190</v>
      </c>
      <c r="B419" s="80"/>
      <c r="C419" s="80"/>
      <c r="D419" s="80"/>
      <c r="E419" s="81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191</v>
      </c>
      <c r="O419" s="39"/>
    </row>
    <row r="420" spans="1:15" ht="15" customHeight="1" x14ac:dyDescent="0.25">
      <c r="A420" s="69">
        <v>46219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19",F420*5,"")))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 x14ac:dyDescent="0.25">
      <c r="A421" s="70">
        <v>46219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 x14ac:dyDescent="0.25">
      <c r="A422" s="69">
        <v>46219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 x14ac:dyDescent="0.25">
      <c r="A423" s="70">
        <v>46219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 x14ac:dyDescent="0.25">
      <c r="A424" s="69">
        <v>46219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 x14ac:dyDescent="0.25">
      <c r="A425" s="70">
        <v>46219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 x14ac:dyDescent="0.25">
      <c r="A426" s="69">
        <v>46219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 x14ac:dyDescent="0.25">
      <c r="A427" s="70">
        <v>46219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 x14ac:dyDescent="0.25">
      <c r="A428" s="69">
        <v>46219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 x14ac:dyDescent="0.25">
      <c r="A429" s="70">
        <v>46219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 x14ac:dyDescent="0.25">
      <c r="A430" s="69">
        <v>46219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 x14ac:dyDescent="0.25">
      <c r="A431" s="70">
        <v>46219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 x14ac:dyDescent="0.25">
      <c r="A432" s="79" t="s">
        <v>192</v>
      </c>
      <c r="B432" s="80"/>
      <c r="C432" s="80"/>
      <c r="D432" s="80"/>
      <c r="E432" s="81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191</v>
      </c>
      <c r="O432" s="39"/>
    </row>
    <row r="433" spans="1:15" ht="18" customHeight="1" x14ac:dyDescent="0.25">
      <c r="A433" s="82" t="s">
        <v>193</v>
      </c>
      <c r="B433" s="83"/>
      <c r="C433" s="83"/>
      <c r="D433" s="83"/>
      <c r="E433" s="84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194</v>
      </c>
      <c r="O433" s="48">
        <f>IFERROR(O419+O432,"")</f>
        <v>0</v>
      </c>
    </row>
    <row r="434" spans="1:15" ht="15" customHeight="1" x14ac:dyDescent="0.25">
      <c r="A434" s="69">
        <v>46220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19",F434*5,"")))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46"/>
      <c r="O434" s="47"/>
    </row>
    <row r="435" spans="1:15" ht="15" customHeight="1" x14ac:dyDescent="0.25">
      <c r="A435" s="70">
        <v>46220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46"/>
      <c r="O435" s="47"/>
    </row>
    <row r="436" spans="1:15" ht="15" customHeight="1" x14ac:dyDescent="0.25">
      <c r="A436" s="69">
        <v>46220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 x14ac:dyDescent="0.25">
      <c r="A437" s="70">
        <v>46220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 x14ac:dyDescent="0.25">
      <c r="A438" s="69">
        <v>46220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 x14ac:dyDescent="0.25">
      <c r="A439" s="70">
        <v>46220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 x14ac:dyDescent="0.25">
      <c r="A440" s="69">
        <v>46220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 x14ac:dyDescent="0.25">
      <c r="A441" s="70">
        <v>46220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 x14ac:dyDescent="0.25">
      <c r="A442" s="69">
        <v>46220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 x14ac:dyDescent="0.25">
      <c r="A443" s="70">
        <v>46220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 x14ac:dyDescent="0.25">
      <c r="A444" s="69">
        <v>46220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 x14ac:dyDescent="0.25">
      <c r="A445" s="70">
        <v>46220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 x14ac:dyDescent="0.25">
      <c r="A446" s="79" t="s">
        <v>190</v>
      </c>
      <c r="B446" s="80"/>
      <c r="C446" s="80"/>
      <c r="D446" s="80"/>
      <c r="E446" s="81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191</v>
      </c>
      <c r="O446" s="39"/>
    </row>
    <row r="447" spans="1:15" ht="15" customHeight="1" x14ac:dyDescent="0.25">
      <c r="A447" s="70">
        <v>46220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19",F447*5,"")))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46"/>
      <c r="O447" s="47"/>
    </row>
    <row r="448" spans="1:15" ht="15" customHeight="1" x14ac:dyDescent="0.25">
      <c r="A448" s="69">
        <v>46220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 x14ac:dyDescent="0.25">
      <c r="A449" s="70">
        <v>46220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 x14ac:dyDescent="0.25">
      <c r="A450" s="69">
        <v>46220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 x14ac:dyDescent="0.25">
      <c r="A451" s="70">
        <v>46220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 x14ac:dyDescent="0.25">
      <c r="A452" s="69">
        <v>46220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 x14ac:dyDescent="0.25">
      <c r="A453" s="70">
        <v>46220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 x14ac:dyDescent="0.25">
      <c r="A454" s="69">
        <v>46220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 x14ac:dyDescent="0.25">
      <c r="A455" s="70">
        <v>46220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 x14ac:dyDescent="0.25">
      <c r="A456" s="69">
        <v>46220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 x14ac:dyDescent="0.25">
      <c r="A457" s="70">
        <v>46220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 x14ac:dyDescent="0.25">
      <c r="A458" s="69">
        <v>46220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 x14ac:dyDescent="0.25">
      <c r="A459" s="79" t="s">
        <v>192</v>
      </c>
      <c r="B459" s="80"/>
      <c r="C459" s="80"/>
      <c r="D459" s="80"/>
      <c r="E459" s="81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191</v>
      </c>
      <c r="O459" s="39"/>
    </row>
    <row r="460" spans="1:15" ht="18" customHeight="1" x14ac:dyDescent="0.25">
      <c r="A460" s="82" t="s">
        <v>193</v>
      </c>
      <c r="B460" s="83"/>
      <c r="C460" s="83"/>
      <c r="D460" s="83"/>
      <c r="E460" s="84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194</v>
      </c>
      <c r="O460" s="48">
        <f>IFERROR(O446+O459,"")</f>
        <v>0</v>
      </c>
    </row>
    <row r="461" spans="1:15" ht="15" customHeight="1" x14ac:dyDescent="0.25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 x14ac:dyDescent="0.25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 x14ac:dyDescent="0.25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46"/>
      <c r="O463" s="47"/>
    </row>
    <row r="464" spans="1:15" ht="15" customHeight="1" x14ac:dyDescent="0.25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 x14ac:dyDescent="0.25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46"/>
      <c r="O465" s="47"/>
    </row>
    <row r="466" spans="1:15" ht="15" customHeight="1" x14ac:dyDescent="0.25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46"/>
      <c r="O466" s="47"/>
    </row>
    <row r="467" spans="1:15" ht="15" customHeight="1" x14ac:dyDescent="0.25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 x14ac:dyDescent="0.25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 x14ac:dyDescent="0.25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 x14ac:dyDescent="0.25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 x14ac:dyDescent="0.25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 x14ac:dyDescent="0.25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 x14ac:dyDescent="0.25">
      <c r="A473" s="79" t="s">
        <v>190</v>
      </c>
      <c r="B473" s="80"/>
      <c r="C473" s="80"/>
      <c r="D473" s="80"/>
      <c r="E473" s="81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191</v>
      </c>
      <c r="O473" s="39"/>
    </row>
    <row r="474" spans="1:15" ht="15" customHeight="1" x14ac:dyDescent="0.25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>
        <v>1</v>
      </c>
    </row>
    <row r="475" spans="1:15" ht="15" customHeight="1" x14ac:dyDescent="0.25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 x14ac:dyDescent="0.25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 x14ac:dyDescent="0.25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 x14ac:dyDescent="0.25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 x14ac:dyDescent="0.25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 x14ac:dyDescent="0.25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 x14ac:dyDescent="0.25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 x14ac:dyDescent="0.25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 x14ac:dyDescent="0.25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 x14ac:dyDescent="0.25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 x14ac:dyDescent="0.25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 x14ac:dyDescent="0.25">
      <c r="A486" s="79" t="s">
        <v>192</v>
      </c>
      <c r="B486" s="80"/>
      <c r="C486" s="80"/>
      <c r="D486" s="80"/>
      <c r="E486" s="81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191</v>
      </c>
      <c r="O486" s="39"/>
    </row>
    <row r="487" spans="1:15" ht="18" customHeight="1" x14ac:dyDescent="0.25">
      <c r="A487" s="82" t="s">
        <v>193</v>
      </c>
      <c r="B487" s="83"/>
      <c r="C487" s="83"/>
      <c r="D487" s="83"/>
      <c r="E487" s="84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194</v>
      </c>
      <c r="O487" s="48">
        <f>IFERROR(O473+O486,"")</f>
        <v>0</v>
      </c>
    </row>
    <row r="488" spans="1:15" ht="15" customHeight="1" x14ac:dyDescent="0.25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46"/>
      <c r="O488" s="47"/>
    </row>
    <row r="489" spans="1:15" ht="15" customHeight="1" x14ac:dyDescent="0.25">
      <c r="A489" s="70">
        <v>46222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46"/>
      <c r="O489" s="47"/>
    </row>
    <row r="490" spans="1:15" ht="15" customHeight="1" x14ac:dyDescent="0.25">
      <c r="A490" s="69">
        <v>46222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 x14ac:dyDescent="0.25">
      <c r="A491" s="70">
        <v>46222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 x14ac:dyDescent="0.25">
      <c r="A492" s="69">
        <v>46222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 x14ac:dyDescent="0.25">
      <c r="A493" s="70">
        <v>46222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 x14ac:dyDescent="0.25">
      <c r="A494" s="69">
        <v>46222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 x14ac:dyDescent="0.25">
      <c r="A495" s="70">
        <v>46222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 x14ac:dyDescent="0.25">
      <c r="A496" s="69">
        <v>46222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 x14ac:dyDescent="0.25">
      <c r="A497" s="70">
        <v>46222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 x14ac:dyDescent="0.25">
      <c r="A498" s="69">
        <v>46222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 x14ac:dyDescent="0.25">
      <c r="A499" s="70">
        <v>46222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 x14ac:dyDescent="0.25">
      <c r="A500" s="79" t="s">
        <v>190</v>
      </c>
      <c r="B500" s="80"/>
      <c r="C500" s="80"/>
      <c r="D500" s="80"/>
      <c r="E500" s="81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191</v>
      </c>
      <c r="O500" s="39"/>
    </row>
    <row r="501" spans="1:15" ht="15" customHeight="1" x14ac:dyDescent="0.25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 x14ac:dyDescent="0.25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 x14ac:dyDescent="0.25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 x14ac:dyDescent="0.25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 x14ac:dyDescent="0.25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 x14ac:dyDescent="0.25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 x14ac:dyDescent="0.25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 x14ac:dyDescent="0.25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 x14ac:dyDescent="0.25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 x14ac:dyDescent="0.25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 x14ac:dyDescent="0.25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 x14ac:dyDescent="0.25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 x14ac:dyDescent="0.25">
      <c r="A513" s="79" t="s">
        <v>192</v>
      </c>
      <c r="B513" s="80"/>
      <c r="C513" s="80"/>
      <c r="D513" s="80"/>
      <c r="E513" s="81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191</v>
      </c>
      <c r="O513" s="39"/>
    </row>
    <row r="514" spans="1:15" ht="18" customHeight="1" x14ac:dyDescent="0.25">
      <c r="A514" s="82" t="s">
        <v>193</v>
      </c>
      <c r="B514" s="83"/>
      <c r="C514" s="83"/>
      <c r="D514" s="83"/>
      <c r="E514" s="84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194</v>
      </c>
      <c r="O514" s="48">
        <f>IFERROR(O500+O513,"")</f>
        <v>0</v>
      </c>
    </row>
    <row r="515" spans="1:15" ht="15" customHeight="1" x14ac:dyDescent="0.25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46"/>
      <c r="O515" s="47"/>
    </row>
    <row r="516" spans="1:15" ht="15" customHeight="1" x14ac:dyDescent="0.25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46"/>
      <c r="O516" s="47"/>
    </row>
    <row r="517" spans="1:15" ht="15" customHeight="1" x14ac:dyDescent="0.25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 x14ac:dyDescent="0.25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 x14ac:dyDescent="0.25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 x14ac:dyDescent="0.25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 x14ac:dyDescent="0.25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 x14ac:dyDescent="0.25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 x14ac:dyDescent="0.25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 x14ac:dyDescent="0.25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 x14ac:dyDescent="0.25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 x14ac:dyDescent="0.25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 x14ac:dyDescent="0.25">
      <c r="A527" s="79" t="s">
        <v>190</v>
      </c>
      <c r="B527" s="80"/>
      <c r="C527" s="80"/>
      <c r="D527" s="80"/>
      <c r="E527" s="81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191</v>
      </c>
      <c r="O527" s="39"/>
    </row>
    <row r="528" spans="1:15" ht="15" customHeight="1" x14ac:dyDescent="0.25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46"/>
      <c r="O528" s="47"/>
    </row>
    <row r="529" spans="1:15" ht="15" customHeight="1" x14ac:dyDescent="0.25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46"/>
      <c r="O529" s="47"/>
    </row>
    <row r="530" spans="1:15" ht="15" customHeight="1" x14ac:dyDescent="0.25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46"/>
      <c r="O530" s="47"/>
    </row>
    <row r="531" spans="1:15" ht="15" customHeight="1" x14ac:dyDescent="0.25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46"/>
      <c r="O531" s="47"/>
    </row>
    <row r="532" spans="1:15" ht="15" customHeight="1" x14ac:dyDescent="0.25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46"/>
      <c r="O532" s="47"/>
    </row>
    <row r="533" spans="1:15" ht="15" customHeight="1" x14ac:dyDescent="0.25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46"/>
      <c r="O533" s="47"/>
    </row>
    <row r="534" spans="1:15" ht="15" customHeight="1" x14ac:dyDescent="0.25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46"/>
      <c r="O534" s="47"/>
    </row>
    <row r="535" spans="1:15" ht="15" customHeight="1" x14ac:dyDescent="0.25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46"/>
      <c r="O535" s="47"/>
    </row>
    <row r="536" spans="1:15" ht="15" customHeight="1" x14ac:dyDescent="0.25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46"/>
      <c r="O536" s="47"/>
    </row>
    <row r="537" spans="1:15" ht="15" customHeight="1" x14ac:dyDescent="0.25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46"/>
      <c r="O537" s="47"/>
    </row>
    <row r="538" spans="1:15" ht="15" customHeight="1" x14ac:dyDescent="0.25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46"/>
      <c r="O538" s="47"/>
    </row>
    <row r="539" spans="1:15" ht="15" customHeight="1" x14ac:dyDescent="0.25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46"/>
      <c r="O539" s="47"/>
    </row>
    <row r="540" spans="1:15" ht="15.75" customHeight="1" x14ac:dyDescent="0.25">
      <c r="A540" s="79" t="s">
        <v>192</v>
      </c>
      <c r="B540" s="80"/>
      <c r="C540" s="80"/>
      <c r="D540" s="80"/>
      <c r="E540" s="81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191</v>
      </c>
      <c r="O540" s="39"/>
    </row>
    <row r="541" spans="1:15" ht="18" customHeight="1" x14ac:dyDescent="0.25">
      <c r="A541" s="82" t="s">
        <v>193</v>
      </c>
      <c r="B541" s="83"/>
      <c r="C541" s="83"/>
      <c r="D541" s="83"/>
      <c r="E541" s="84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194</v>
      </c>
      <c r="O541" s="48">
        <f>IFERROR(O527+O540,"")</f>
        <v>0</v>
      </c>
    </row>
    <row r="542" spans="1:15" ht="15" customHeight="1" x14ac:dyDescent="0.25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46"/>
      <c r="O542" s="47"/>
    </row>
    <row r="543" spans="1:15" ht="15" customHeight="1" x14ac:dyDescent="0.25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 x14ac:dyDescent="0.25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 x14ac:dyDescent="0.25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 x14ac:dyDescent="0.25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 x14ac:dyDescent="0.25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 x14ac:dyDescent="0.25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 x14ac:dyDescent="0.25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 x14ac:dyDescent="0.25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 x14ac:dyDescent="0.25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 x14ac:dyDescent="0.25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 x14ac:dyDescent="0.25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 x14ac:dyDescent="0.25">
      <c r="A554" s="79" t="s">
        <v>190</v>
      </c>
      <c r="B554" s="80"/>
      <c r="C554" s="80"/>
      <c r="D554" s="80"/>
      <c r="E554" s="81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191</v>
      </c>
      <c r="O554" s="39"/>
    </row>
    <row r="555" spans="1:15" ht="15" customHeight="1" x14ac:dyDescent="0.25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46"/>
      <c r="O555" s="47"/>
    </row>
    <row r="556" spans="1:15" ht="15" customHeight="1" x14ac:dyDescent="0.25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 x14ac:dyDescent="0.25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 x14ac:dyDescent="0.25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 x14ac:dyDescent="0.25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 x14ac:dyDescent="0.25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 x14ac:dyDescent="0.25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 x14ac:dyDescent="0.25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 x14ac:dyDescent="0.25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 x14ac:dyDescent="0.25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 x14ac:dyDescent="0.25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 x14ac:dyDescent="0.25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 x14ac:dyDescent="0.25">
      <c r="A567" s="79" t="s">
        <v>192</v>
      </c>
      <c r="B567" s="80"/>
      <c r="C567" s="80"/>
      <c r="D567" s="80"/>
      <c r="E567" s="81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191</v>
      </c>
      <c r="O567" s="39"/>
    </row>
    <row r="568" spans="1:15" ht="18" customHeight="1" x14ac:dyDescent="0.25">
      <c r="A568" s="82" t="s">
        <v>193</v>
      </c>
      <c r="B568" s="83"/>
      <c r="C568" s="83"/>
      <c r="D568" s="83"/>
      <c r="E568" s="84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194</v>
      </c>
      <c r="O568" s="48">
        <f>IFERROR(O554+O567,"")</f>
        <v>0</v>
      </c>
    </row>
    <row r="569" spans="1:15" ht="15" customHeight="1" x14ac:dyDescent="0.25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46"/>
      <c r="O569" s="47"/>
    </row>
    <row r="570" spans="1:15" ht="15" customHeight="1" x14ac:dyDescent="0.25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46"/>
      <c r="O570" s="47"/>
    </row>
    <row r="571" spans="1:15" ht="15" customHeight="1" x14ac:dyDescent="0.25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 x14ac:dyDescent="0.25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 x14ac:dyDescent="0.25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 x14ac:dyDescent="0.25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 x14ac:dyDescent="0.25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 x14ac:dyDescent="0.25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 x14ac:dyDescent="0.25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 x14ac:dyDescent="0.25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 x14ac:dyDescent="0.25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 x14ac:dyDescent="0.25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 x14ac:dyDescent="0.25">
      <c r="A581" s="79" t="s">
        <v>190</v>
      </c>
      <c r="B581" s="80"/>
      <c r="C581" s="80"/>
      <c r="D581" s="80"/>
      <c r="E581" s="81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191</v>
      </c>
      <c r="O581" s="39"/>
    </row>
    <row r="582" spans="1:15" ht="15" customHeight="1" x14ac:dyDescent="0.25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46"/>
      <c r="O582" s="47"/>
    </row>
    <row r="583" spans="1:15" ht="15" customHeight="1" x14ac:dyDescent="0.25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46"/>
      <c r="O583" s="47"/>
    </row>
    <row r="584" spans="1:15" ht="15" customHeight="1" x14ac:dyDescent="0.25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 x14ac:dyDescent="0.25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 x14ac:dyDescent="0.25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 x14ac:dyDescent="0.25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 x14ac:dyDescent="0.25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 x14ac:dyDescent="0.25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 x14ac:dyDescent="0.25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 x14ac:dyDescent="0.25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 x14ac:dyDescent="0.25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 x14ac:dyDescent="0.25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 x14ac:dyDescent="0.25">
      <c r="A594" s="79" t="s">
        <v>192</v>
      </c>
      <c r="B594" s="80"/>
      <c r="C594" s="80"/>
      <c r="D594" s="80"/>
      <c r="E594" s="81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191</v>
      </c>
      <c r="O594" s="39"/>
    </row>
    <row r="595" spans="1:15" ht="18" customHeight="1" x14ac:dyDescent="0.25">
      <c r="A595" s="82" t="s">
        <v>193</v>
      </c>
      <c r="B595" s="83"/>
      <c r="C595" s="83"/>
      <c r="D595" s="83"/>
      <c r="E595" s="84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194</v>
      </c>
      <c r="O595" s="48">
        <f>IFERROR(O581+O594,"")</f>
        <v>0</v>
      </c>
    </row>
    <row r="596" spans="1:15" ht="15" customHeight="1" x14ac:dyDescent="0.25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46"/>
      <c r="O596" s="47"/>
    </row>
    <row r="597" spans="1:15" ht="15" customHeight="1" x14ac:dyDescent="0.25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 x14ac:dyDescent="0.25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 x14ac:dyDescent="0.25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 x14ac:dyDescent="0.25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 x14ac:dyDescent="0.25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 x14ac:dyDescent="0.25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 x14ac:dyDescent="0.25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 x14ac:dyDescent="0.25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 x14ac:dyDescent="0.25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 x14ac:dyDescent="0.25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 x14ac:dyDescent="0.25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 x14ac:dyDescent="0.25">
      <c r="A608" s="79" t="s">
        <v>190</v>
      </c>
      <c r="B608" s="80"/>
      <c r="C608" s="80"/>
      <c r="D608" s="80"/>
      <c r="E608" s="81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191</v>
      </c>
      <c r="O608" s="39"/>
    </row>
    <row r="609" spans="1:15" ht="15" customHeight="1" x14ac:dyDescent="0.25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46"/>
      <c r="O609" s="47"/>
    </row>
    <row r="610" spans="1:15" ht="15" customHeight="1" x14ac:dyDescent="0.25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 x14ac:dyDescent="0.25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 x14ac:dyDescent="0.25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 x14ac:dyDescent="0.25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 x14ac:dyDescent="0.25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 x14ac:dyDescent="0.25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 x14ac:dyDescent="0.25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 x14ac:dyDescent="0.25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 x14ac:dyDescent="0.25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 x14ac:dyDescent="0.25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 x14ac:dyDescent="0.25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 x14ac:dyDescent="0.25">
      <c r="A621" s="79" t="s">
        <v>192</v>
      </c>
      <c r="B621" s="80"/>
      <c r="C621" s="80"/>
      <c r="D621" s="80"/>
      <c r="E621" s="81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191</v>
      </c>
      <c r="O621" s="39"/>
    </row>
    <row r="622" spans="1:15" ht="18" customHeight="1" x14ac:dyDescent="0.25">
      <c r="A622" s="82" t="s">
        <v>193</v>
      </c>
      <c r="B622" s="83"/>
      <c r="C622" s="83"/>
      <c r="D622" s="83"/>
      <c r="E622" s="84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194</v>
      </c>
      <c r="O622" s="48">
        <f>O608+O621</f>
        <v>0</v>
      </c>
    </row>
    <row r="623" spans="1:15" ht="15" customHeight="1" x14ac:dyDescent="0.25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 x14ac:dyDescent="0.25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 x14ac:dyDescent="0.25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 x14ac:dyDescent="0.25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 x14ac:dyDescent="0.25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 x14ac:dyDescent="0.25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 x14ac:dyDescent="0.25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 x14ac:dyDescent="0.25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 x14ac:dyDescent="0.25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 x14ac:dyDescent="0.25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 x14ac:dyDescent="0.25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 x14ac:dyDescent="0.25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 x14ac:dyDescent="0.25">
      <c r="A635" s="79" t="s">
        <v>190</v>
      </c>
      <c r="B635" s="80"/>
      <c r="C635" s="80"/>
      <c r="D635" s="80"/>
      <c r="E635" s="81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191</v>
      </c>
      <c r="O635" s="45"/>
    </row>
    <row r="636" spans="1:15" ht="15" customHeight="1" x14ac:dyDescent="0.25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 x14ac:dyDescent="0.25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 x14ac:dyDescent="0.25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 x14ac:dyDescent="0.25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 x14ac:dyDescent="0.25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 x14ac:dyDescent="0.25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 x14ac:dyDescent="0.25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 x14ac:dyDescent="0.25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 x14ac:dyDescent="0.25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 x14ac:dyDescent="0.25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 x14ac:dyDescent="0.25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 x14ac:dyDescent="0.25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 x14ac:dyDescent="0.25">
      <c r="A648" s="79" t="s">
        <v>192</v>
      </c>
      <c r="B648" s="80"/>
      <c r="C648" s="80"/>
      <c r="D648" s="80"/>
      <c r="E648" s="81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191</v>
      </c>
      <c r="O648" s="39"/>
    </row>
    <row r="649" spans="1:15" ht="18" customHeight="1" x14ac:dyDescent="0.25">
      <c r="A649" s="82" t="s">
        <v>193</v>
      </c>
      <c r="B649" s="83"/>
      <c r="C649" s="83"/>
      <c r="D649" s="83"/>
      <c r="E649" s="84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194</v>
      </c>
      <c r="O649" s="48">
        <f>O635+O648</f>
        <v>0</v>
      </c>
    </row>
    <row r="650" spans="1:15" ht="15" customHeight="1" x14ac:dyDescent="0.25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 x14ac:dyDescent="0.25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 x14ac:dyDescent="0.25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 x14ac:dyDescent="0.25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 x14ac:dyDescent="0.25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 x14ac:dyDescent="0.25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 x14ac:dyDescent="0.25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 x14ac:dyDescent="0.25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 x14ac:dyDescent="0.25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 x14ac:dyDescent="0.25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 x14ac:dyDescent="0.25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 x14ac:dyDescent="0.25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 x14ac:dyDescent="0.25">
      <c r="A662" s="79" t="s">
        <v>190</v>
      </c>
      <c r="B662" s="80"/>
      <c r="C662" s="80"/>
      <c r="D662" s="80"/>
      <c r="E662" s="81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191</v>
      </c>
      <c r="O662" s="39"/>
    </row>
    <row r="663" spans="1:15" ht="15" customHeight="1" x14ac:dyDescent="0.25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 x14ac:dyDescent="0.25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 x14ac:dyDescent="0.25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 x14ac:dyDescent="0.25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 x14ac:dyDescent="0.25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 x14ac:dyDescent="0.25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 x14ac:dyDescent="0.25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 x14ac:dyDescent="0.25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 x14ac:dyDescent="0.25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 x14ac:dyDescent="0.25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 x14ac:dyDescent="0.25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 x14ac:dyDescent="0.25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 x14ac:dyDescent="0.25">
      <c r="A675" s="79" t="s">
        <v>192</v>
      </c>
      <c r="B675" s="80"/>
      <c r="C675" s="80"/>
      <c r="D675" s="80"/>
      <c r="E675" s="81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191</v>
      </c>
      <c r="O675" s="39"/>
    </row>
    <row r="676" spans="1:15" ht="18" customHeight="1" x14ac:dyDescent="0.25">
      <c r="A676" s="82" t="s">
        <v>193</v>
      </c>
      <c r="B676" s="83"/>
      <c r="C676" s="83"/>
      <c r="D676" s="83"/>
      <c r="E676" s="84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194</v>
      </c>
      <c r="O676" s="48">
        <f>IFERROR(O662+O675,"")</f>
        <v>0</v>
      </c>
    </row>
    <row r="677" spans="1:15" ht="15" customHeight="1" x14ac:dyDescent="0.25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 x14ac:dyDescent="0.25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5" t="str">
        <f t="shared" ca="1" si="151"/>
        <v/>
      </c>
      <c r="N678" s="46"/>
      <c r="O678" s="47"/>
    </row>
    <row r="679" spans="1:15" ht="15" customHeight="1" x14ac:dyDescent="0.25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 x14ac:dyDescent="0.25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5" t="str">
        <f t="shared" ca="1" si="151"/>
        <v/>
      </c>
      <c r="N680" s="46"/>
      <c r="O680" s="47"/>
    </row>
    <row r="681" spans="1:15" ht="15" customHeight="1" x14ac:dyDescent="0.25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 x14ac:dyDescent="0.25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5" t="str">
        <f t="shared" ca="1" si="151"/>
        <v/>
      </c>
      <c r="N682" s="46"/>
      <c r="O682" s="47"/>
    </row>
    <row r="683" spans="1:15" ht="15" customHeight="1" x14ac:dyDescent="0.25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 x14ac:dyDescent="0.25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 x14ac:dyDescent="0.25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 x14ac:dyDescent="0.25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 x14ac:dyDescent="0.25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 x14ac:dyDescent="0.25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 x14ac:dyDescent="0.25">
      <c r="A689" s="79" t="s">
        <v>190</v>
      </c>
      <c r="B689" s="80"/>
      <c r="C689" s="80"/>
      <c r="D689" s="80"/>
      <c r="E689" s="81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191</v>
      </c>
      <c r="O689" s="39"/>
    </row>
    <row r="690" spans="1:15" ht="15" customHeight="1" x14ac:dyDescent="0.25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 x14ac:dyDescent="0.25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 x14ac:dyDescent="0.25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 x14ac:dyDescent="0.25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 x14ac:dyDescent="0.25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 x14ac:dyDescent="0.25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 x14ac:dyDescent="0.25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 x14ac:dyDescent="0.25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 x14ac:dyDescent="0.25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 x14ac:dyDescent="0.25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 x14ac:dyDescent="0.25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 x14ac:dyDescent="0.25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 x14ac:dyDescent="0.25">
      <c r="A702" s="79" t="s">
        <v>192</v>
      </c>
      <c r="B702" s="80"/>
      <c r="C702" s="80"/>
      <c r="D702" s="80"/>
      <c r="E702" s="81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191</v>
      </c>
      <c r="O702" s="39"/>
    </row>
    <row r="703" spans="1:15" ht="18" customHeight="1" x14ac:dyDescent="0.25">
      <c r="A703" s="82" t="s">
        <v>193</v>
      </c>
      <c r="B703" s="83"/>
      <c r="C703" s="83"/>
      <c r="D703" s="83"/>
      <c r="E703" s="84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194</v>
      </c>
      <c r="O703" s="48">
        <f>IFERROR(O689+O702,"")</f>
        <v>0</v>
      </c>
    </row>
    <row r="704" spans="1:15" ht="15" customHeight="1" x14ac:dyDescent="0.25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 x14ac:dyDescent="0.25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 x14ac:dyDescent="0.25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 x14ac:dyDescent="0.25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 x14ac:dyDescent="0.25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 x14ac:dyDescent="0.25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 x14ac:dyDescent="0.25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 x14ac:dyDescent="0.25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 x14ac:dyDescent="0.25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 x14ac:dyDescent="0.25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 x14ac:dyDescent="0.25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 x14ac:dyDescent="0.25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 x14ac:dyDescent="0.25">
      <c r="A716" s="79" t="s">
        <v>190</v>
      </c>
      <c r="B716" s="80"/>
      <c r="C716" s="80"/>
      <c r="D716" s="80"/>
      <c r="E716" s="81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191</v>
      </c>
      <c r="O716" s="39"/>
    </row>
    <row r="717" spans="1:15" ht="15" customHeight="1" x14ac:dyDescent="0.25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 x14ac:dyDescent="0.25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 x14ac:dyDescent="0.25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 x14ac:dyDescent="0.25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 x14ac:dyDescent="0.25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 x14ac:dyDescent="0.25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 x14ac:dyDescent="0.25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 x14ac:dyDescent="0.25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 x14ac:dyDescent="0.25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 x14ac:dyDescent="0.25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 x14ac:dyDescent="0.25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 x14ac:dyDescent="0.25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 x14ac:dyDescent="0.25">
      <c r="A729" s="79" t="s">
        <v>192</v>
      </c>
      <c r="B729" s="80"/>
      <c r="C729" s="80"/>
      <c r="D729" s="80"/>
      <c r="E729" s="81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191</v>
      </c>
      <c r="O729" s="39"/>
    </row>
    <row r="730" spans="1:15" ht="18" customHeight="1" x14ac:dyDescent="0.25">
      <c r="A730" s="82" t="s">
        <v>193</v>
      </c>
      <c r="B730" s="83"/>
      <c r="C730" s="83"/>
      <c r="D730" s="83"/>
      <c r="E730" s="84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194</v>
      </c>
      <c r="O730" s="48">
        <f>IFERROR(O716+O729,"")</f>
        <v>0</v>
      </c>
    </row>
    <row r="731" spans="1:15" ht="15" customHeight="1" x14ac:dyDescent="0.25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 x14ac:dyDescent="0.25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 x14ac:dyDescent="0.25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 x14ac:dyDescent="0.25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 x14ac:dyDescent="0.25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 x14ac:dyDescent="0.25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 x14ac:dyDescent="0.25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 x14ac:dyDescent="0.25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 x14ac:dyDescent="0.25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 x14ac:dyDescent="0.25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 x14ac:dyDescent="0.25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 x14ac:dyDescent="0.25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 x14ac:dyDescent="0.25">
      <c r="A743" s="79" t="s">
        <v>190</v>
      </c>
      <c r="B743" s="80"/>
      <c r="C743" s="80"/>
      <c r="D743" s="80"/>
      <c r="E743" s="81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191</v>
      </c>
      <c r="O743" s="39"/>
    </row>
    <row r="744" spans="1:15" ht="15" customHeight="1" x14ac:dyDescent="0.25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 x14ac:dyDescent="0.25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 x14ac:dyDescent="0.25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 x14ac:dyDescent="0.25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 x14ac:dyDescent="0.25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 x14ac:dyDescent="0.25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 x14ac:dyDescent="0.25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 x14ac:dyDescent="0.25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 x14ac:dyDescent="0.25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 x14ac:dyDescent="0.25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 x14ac:dyDescent="0.25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 x14ac:dyDescent="0.25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 x14ac:dyDescent="0.25">
      <c r="A756" s="79" t="s">
        <v>192</v>
      </c>
      <c r="B756" s="80"/>
      <c r="C756" s="80"/>
      <c r="D756" s="80"/>
      <c r="E756" s="81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191</v>
      </c>
      <c r="O756" s="39"/>
    </row>
    <row r="757" spans="1:15" ht="18" customHeight="1" x14ac:dyDescent="0.25">
      <c r="A757" s="82" t="s">
        <v>193</v>
      </c>
      <c r="B757" s="83"/>
      <c r="C757" s="83"/>
      <c r="D757" s="83"/>
      <c r="E757" s="84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194</v>
      </c>
      <c r="O757" s="48">
        <f>IFERROR(O743+O756,"")</f>
        <v>0</v>
      </c>
    </row>
    <row r="758" spans="1:15" ht="15" customHeight="1" x14ac:dyDescent="0.25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 x14ac:dyDescent="0.25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 x14ac:dyDescent="0.25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 x14ac:dyDescent="0.25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 x14ac:dyDescent="0.25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 x14ac:dyDescent="0.25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 x14ac:dyDescent="0.25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 x14ac:dyDescent="0.25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 x14ac:dyDescent="0.25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 x14ac:dyDescent="0.25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 x14ac:dyDescent="0.25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 x14ac:dyDescent="0.25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 x14ac:dyDescent="0.25">
      <c r="A770" s="79" t="s">
        <v>190</v>
      </c>
      <c r="B770" s="80"/>
      <c r="C770" s="80"/>
      <c r="D770" s="80"/>
      <c r="E770" s="81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191</v>
      </c>
      <c r="O770" s="39"/>
    </row>
    <row r="771" spans="1:15" ht="15" customHeight="1" x14ac:dyDescent="0.25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 x14ac:dyDescent="0.25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 x14ac:dyDescent="0.25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 x14ac:dyDescent="0.25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 x14ac:dyDescent="0.25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 x14ac:dyDescent="0.25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 x14ac:dyDescent="0.25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 x14ac:dyDescent="0.25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 x14ac:dyDescent="0.25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 x14ac:dyDescent="0.25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 x14ac:dyDescent="0.25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 x14ac:dyDescent="0.25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 x14ac:dyDescent="0.25">
      <c r="A783" s="79" t="s">
        <v>192</v>
      </c>
      <c r="B783" s="80"/>
      <c r="C783" s="80"/>
      <c r="D783" s="80"/>
      <c r="E783" s="81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191</v>
      </c>
      <c r="O783" s="39"/>
    </row>
    <row r="784" spans="1:15" ht="18" customHeight="1" x14ac:dyDescent="0.25">
      <c r="A784" s="82" t="s">
        <v>193</v>
      </c>
      <c r="B784" s="83"/>
      <c r="C784" s="83"/>
      <c r="D784" s="83"/>
      <c r="E784" s="84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194</v>
      </c>
      <c r="O784" s="48">
        <f>IFERROR(O770+O783,"")</f>
        <v>0</v>
      </c>
    </row>
    <row r="785" spans="1:15" ht="15" customHeight="1" x14ac:dyDescent="0.25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 x14ac:dyDescent="0.25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 x14ac:dyDescent="0.25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 x14ac:dyDescent="0.25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 x14ac:dyDescent="0.25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 x14ac:dyDescent="0.25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 x14ac:dyDescent="0.25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 x14ac:dyDescent="0.25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 x14ac:dyDescent="0.25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 x14ac:dyDescent="0.25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 x14ac:dyDescent="0.25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 x14ac:dyDescent="0.25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 x14ac:dyDescent="0.25">
      <c r="A797" s="79" t="s">
        <v>190</v>
      </c>
      <c r="B797" s="80"/>
      <c r="C797" s="80"/>
      <c r="D797" s="80"/>
      <c r="E797" s="81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191</v>
      </c>
      <c r="O797" s="39"/>
    </row>
    <row r="798" spans="1:15" ht="15" customHeight="1" x14ac:dyDescent="0.25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 x14ac:dyDescent="0.25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 x14ac:dyDescent="0.25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 x14ac:dyDescent="0.25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 x14ac:dyDescent="0.25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 x14ac:dyDescent="0.25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 x14ac:dyDescent="0.25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 x14ac:dyDescent="0.25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 x14ac:dyDescent="0.25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 x14ac:dyDescent="0.25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 x14ac:dyDescent="0.25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 x14ac:dyDescent="0.25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 x14ac:dyDescent="0.25">
      <c r="A810" s="79" t="s">
        <v>192</v>
      </c>
      <c r="B810" s="80"/>
      <c r="C810" s="80"/>
      <c r="D810" s="80"/>
      <c r="E810" s="81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191</v>
      </c>
      <c r="O810" s="39"/>
    </row>
    <row r="811" spans="1:15" ht="18" customHeight="1" x14ac:dyDescent="0.25">
      <c r="A811" s="82" t="s">
        <v>193</v>
      </c>
      <c r="B811" s="83"/>
      <c r="C811" s="83"/>
      <c r="D811" s="83"/>
      <c r="E811" s="84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194</v>
      </c>
      <c r="O811" s="43">
        <f>IFERROR(O797+O810,"")</f>
        <v>0</v>
      </c>
    </row>
  </sheetData>
  <mergeCells count="90"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608:E608"/>
    <mergeCell ref="A621:E621"/>
    <mergeCell ref="A622:E622"/>
    <mergeCell ref="A635:E635"/>
    <mergeCell ref="A554:E554"/>
    <mergeCell ref="A567:E567"/>
    <mergeCell ref="A568:E568"/>
    <mergeCell ref="A581:E581"/>
    <mergeCell ref="A594:E594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14:E14"/>
    <mergeCell ref="A27:E27"/>
    <mergeCell ref="A28:E28"/>
    <mergeCell ref="A41:E41"/>
    <mergeCell ref="A783:E783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</mergeCells>
  <dataValidations count="2">
    <dataValidation type="list" showErrorMessage="1" errorTitle="Atenção" error="Selecione primeiro o Tipo de Parada (col G) e depois escolha a Descrição da lista." sqref="J2:J900" xr:uid="{00000000-0002-0000-03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2:E13 E29:E811 E15:E26" xr:uid="{52C68A24-78CA-4DE2-A34C-BA733F92037A}">
      <formula1>"PC 17,PC 19"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3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300-000003000000}">
          <x14:formula1>
            <xm:f>Cadastro!$C$4:$C$10</xm:f>
          </x14:formula1>
          <x14:formula2>
            <xm:f>0</xm:f>
          </x14:formula2>
          <xm:sqref>D15:D26 D2:D13 D29:D900</xm:sqref>
        </x14:dataValidation>
        <x14:dataValidation type="list" allowBlank="1" showErrorMessage="1" errorTitle="Valor inválido" error="Selecione da lista." xr:uid="{00000000-0002-0000-03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3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9BBB59"/>
  </sheetPr>
  <dimension ref="A1:O811"/>
  <sheetViews>
    <sheetView showGridLines="0" tabSelected="1" zoomScale="85" zoomScaleNormal="85" workbookViewId="0">
      <pane ySplit="1" topLeftCell="A2" activePane="bottomLeft" state="frozen"/>
      <selection pane="bottomLeft" activeCell="M29" sqref="M29"/>
    </sheetView>
  </sheetViews>
  <sheetFormatPr defaultColWidth="8.5703125" defaultRowHeight="15" x14ac:dyDescent="0.25"/>
  <cols>
    <col min="1" max="1" width="13" style="75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30.5703125" style="20" customWidth="1"/>
    <col min="9" max="9" width="30.42578125" style="20" customWidth="1"/>
    <col min="10" max="10" width="46.42578125" style="20" customWidth="1"/>
    <col min="11" max="11" width="12" style="20" customWidth="1"/>
    <col min="12" max="12" width="16.42578125" style="21" customWidth="1"/>
    <col min="13" max="13" width="14" style="20" customWidth="1"/>
    <col min="14" max="14" width="43.5703125" style="20" customWidth="1"/>
    <col min="15" max="15" width="14" customWidth="1"/>
  </cols>
  <sheetData>
    <row r="1" spans="1:15" ht="37.5" customHeight="1" x14ac:dyDescent="0.25">
      <c r="A1" s="68" t="s">
        <v>7</v>
      </c>
      <c r="B1" s="23" t="s">
        <v>177</v>
      </c>
      <c r="C1" s="23" t="s">
        <v>12</v>
      </c>
      <c r="D1" s="22" t="s">
        <v>13</v>
      </c>
      <c r="E1" s="22" t="s">
        <v>178</v>
      </c>
      <c r="F1" s="23" t="s">
        <v>179</v>
      </c>
      <c r="G1" s="23" t="s">
        <v>180</v>
      </c>
      <c r="H1" s="23" t="s">
        <v>14</v>
      </c>
      <c r="I1" s="23" t="s">
        <v>15</v>
      </c>
      <c r="J1" s="23" t="s">
        <v>181</v>
      </c>
      <c r="K1" s="23" t="s">
        <v>182</v>
      </c>
      <c r="L1" s="23" t="s">
        <v>183</v>
      </c>
      <c r="M1" s="24" t="s">
        <v>184</v>
      </c>
      <c r="N1" s="23" t="s">
        <v>185</v>
      </c>
      <c r="O1" s="23" t="s">
        <v>186</v>
      </c>
    </row>
    <row r="2" spans="1:15" ht="15" customHeight="1" x14ac:dyDescent="0.25">
      <c r="A2" s="69">
        <v>46204</v>
      </c>
      <c r="B2" s="25">
        <v>0.33333333333333298</v>
      </c>
      <c r="C2" s="26" t="s">
        <v>29</v>
      </c>
      <c r="D2" s="59" t="s">
        <v>30</v>
      </c>
      <c r="E2" s="59" t="s">
        <v>195</v>
      </c>
      <c r="F2" s="27">
        <v>0</v>
      </c>
      <c r="G2" s="28">
        <f t="shared" ref="G2:G13" si="0">IF(F2="","",IF(E2="PC 17",F2*4.2,IF(E2="PC 19",F2*5,"")))</f>
        <v>0</v>
      </c>
      <c r="H2" s="26" t="s">
        <v>20</v>
      </c>
      <c r="I2" s="26"/>
      <c r="J2" s="26" t="s">
        <v>169</v>
      </c>
      <c r="K2" s="29">
        <v>0.29166666666666669</v>
      </c>
      <c r="L2" s="29">
        <v>0.33333333333333331</v>
      </c>
      <c r="M2" s="30">
        <f t="shared" ref="M2:M13" ca="1" si="1">IFERROR(IF(K2="","",IF(L2="",MOD(NOW()-K2,1),IF(L2&gt;=K2,L2-K2,L2+1-K2))),"")</f>
        <v>4.166666666666663E-2</v>
      </c>
      <c r="N2" s="27"/>
      <c r="O2" s="31"/>
    </row>
    <row r="3" spans="1:15" ht="15" customHeight="1" x14ac:dyDescent="0.25">
      <c r="A3" s="70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195</v>
      </c>
      <c r="F3" s="27">
        <v>5</v>
      </c>
      <c r="G3" s="34">
        <f t="shared" si="0"/>
        <v>21</v>
      </c>
      <c r="H3" s="33" t="s">
        <v>20</v>
      </c>
      <c r="I3" s="33"/>
      <c r="J3" s="33" t="s">
        <v>74</v>
      </c>
      <c r="K3" s="29">
        <v>0.40277777777777779</v>
      </c>
      <c r="L3" s="29">
        <v>0.40625</v>
      </c>
      <c r="M3" s="35">
        <f t="shared" ca="1" si="1"/>
        <v>3.4722222222222099E-3</v>
      </c>
      <c r="N3" s="27"/>
      <c r="O3" s="31"/>
    </row>
    <row r="4" spans="1:15" ht="15" customHeight="1" x14ac:dyDescent="0.25">
      <c r="A4" s="69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195</v>
      </c>
      <c r="F4" s="27">
        <v>1</v>
      </c>
      <c r="G4" s="28">
        <f t="shared" si="0"/>
        <v>4.2</v>
      </c>
      <c r="H4" s="26" t="s">
        <v>19</v>
      </c>
      <c r="I4" s="26" t="s">
        <v>47</v>
      </c>
      <c r="J4" s="26" t="s">
        <v>78</v>
      </c>
      <c r="K4" s="29">
        <v>0.43125000000000002</v>
      </c>
      <c r="L4" s="29">
        <v>0.44930555555555557</v>
      </c>
      <c r="M4" s="30">
        <f t="shared" ca="1" si="1"/>
        <v>1.8055555555555547E-2</v>
      </c>
      <c r="N4" s="27" t="s">
        <v>196</v>
      </c>
      <c r="O4" s="31"/>
    </row>
    <row r="5" spans="1:15" ht="15" customHeight="1" x14ac:dyDescent="0.25">
      <c r="A5" s="70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195</v>
      </c>
      <c r="F5" s="27">
        <v>6</v>
      </c>
      <c r="G5" s="34">
        <f t="shared" si="0"/>
        <v>25.200000000000003</v>
      </c>
      <c r="H5" s="33" t="s">
        <v>20</v>
      </c>
      <c r="I5" s="33"/>
      <c r="J5" s="33" t="s">
        <v>74</v>
      </c>
      <c r="K5" s="29">
        <v>0.58333333333333337</v>
      </c>
      <c r="L5" s="29">
        <v>0.5854166666666667</v>
      </c>
      <c r="M5" s="35">
        <f t="shared" ca="1" si="1"/>
        <v>2.0833333333333259E-3</v>
      </c>
      <c r="N5" s="27"/>
      <c r="O5" s="31"/>
    </row>
    <row r="6" spans="1:15" ht="15" customHeight="1" x14ac:dyDescent="0.25">
      <c r="A6" s="69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195</v>
      </c>
      <c r="F6" s="27">
        <v>10</v>
      </c>
      <c r="G6" s="28">
        <f t="shared" si="0"/>
        <v>42</v>
      </c>
      <c r="H6" s="26" t="s">
        <v>19</v>
      </c>
      <c r="I6" s="26" t="s">
        <v>47</v>
      </c>
      <c r="J6" s="26" t="s">
        <v>27</v>
      </c>
      <c r="K6" s="29">
        <v>0.59791666666666665</v>
      </c>
      <c r="L6" s="29">
        <v>0.68611111111111112</v>
      </c>
      <c r="M6" s="30">
        <f t="shared" ca="1" si="1"/>
        <v>8.8194444444444464E-2</v>
      </c>
      <c r="N6" s="27" t="s">
        <v>197</v>
      </c>
      <c r="O6" s="31"/>
    </row>
    <row r="7" spans="1:15" ht="15" customHeight="1" x14ac:dyDescent="0.25">
      <c r="A7" s="70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195</v>
      </c>
      <c r="F7" s="27">
        <v>4</v>
      </c>
      <c r="G7" s="34">
        <f t="shared" si="0"/>
        <v>16.8</v>
      </c>
      <c r="H7" s="33" t="s">
        <v>18</v>
      </c>
      <c r="I7" s="33" t="s">
        <v>47</v>
      </c>
      <c r="J7" s="33" t="s">
        <v>156</v>
      </c>
      <c r="K7" s="29">
        <v>0.70138888888888884</v>
      </c>
      <c r="L7" s="29">
        <v>0.71527777777777779</v>
      </c>
      <c r="M7" s="35">
        <f t="shared" ca="1" si="1"/>
        <v>1.3888888888888951E-2</v>
      </c>
      <c r="N7" s="27"/>
      <c r="O7" s="31"/>
    </row>
    <row r="8" spans="1:15" ht="15" customHeight="1" x14ac:dyDescent="0.25">
      <c r="A8" s="69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195</v>
      </c>
      <c r="F8" s="27">
        <v>14</v>
      </c>
      <c r="G8" s="28">
        <f t="shared" si="0"/>
        <v>58.800000000000004</v>
      </c>
      <c r="H8" s="26"/>
      <c r="I8" s="26"/>
      <c r="J8" s="26"/>
      <c r="K8" s="29"/>
      <c r="L8" s="29"/>
      <c r="M8" s="30" t="str">
        <f t="shared" ca="1" si="1"/>
        <v/>
      </c>
      <c r="N8" s="27"/>
      <c r="O8" s="31"/>
    </row>
    <row r="9" spans="1:15" ht="15" customHeight="1" x14ac:dyDescent="0.25">
      <c r="A9" s="70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195</v>
      </c>
      <c r="F9" s="27">
        <v>5</v>
      </c>
      <c r="G9" s="34">
        <f t="shared" si="0"/>
        <v>21</v>
      </c>
      <c r="H9" s="33"/>
      <c r="I9" s="33"/>
      <c r="J9" s="33"/>
      <c r="K9" s="29"/>
      <c r="L9" s="29"/>
      <c r="M9" s="35" t="str">
        <f t="shared" ca="1" si="1"/>
        <v/>
      </c>
      <c r="N9" s="27"/>
      <c r="O9" s="31"/>
    </row>
    <row r="10" spans="1:15" ht="15" customHeight="1" x14ac:dyDescent="0.25">
      <c r="A10" s="69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195</v>
      </c>
      <c r="F10" s="27">
        <v>0</v>
      </c>
      <c r="G10" s="28">
        <f t="shared" si="0"/>
        <v>0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31"/>
    </row>
    <row r="11" spans="1:15" ht="15" customHeight="1" x14ac:dyDescent="0.25">
      <c r="A11" s="70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195</v>
      </c>
      <c r="F11" s="27">
        <v>2</v>
      </c>
      <c r="G11" s="34">
        <f t="shared" si="0"/>
        <v>8.4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31"/>
    </row>
    <row r="12" spans="1:15" ht="15" customHeight="1" x14ac:dyDescent="0.25">
      <c r="A12" s="69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195</v>
      </c>
      <c r="F12" s="27">
        <v>6</v>
      </c>
      <c r="G12" s="28">
        <f t="shared" si="0"/>
        <v>25.200000000000003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31"/>
    </row>
    <row r="13" spans="1:15" ht="15" customHeight="1" x14ac:dyDescent="0.25">
      <c r="A13" s="70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195</v>
      </c>
      <c r="F13" s="27">
        <v>6</v>
      </c>
      <c r="G13" s="34">
        <f t="shared" si="0"/>
        <v>25.200000000000003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31"/>
    </row>
    <row r="14" spans="1:15" ht="15.75" customHeight="1" x14ac:dyDescent="0.25">
      <c r="A14" s="79" t="s">
        <v>190</v>
      </c>
      <c r="B14" s="80"/>
      <c r="C14" s="80"/>
      <c r="D14" s="80"/>
      <c r="E14" s="81"/>
      <c r="F14" s="36">
        <f>SUM(F2:F13)</f>
        <v>59</v>
      </c>
      <c r="G14" s="36">
        <f>SUM(G2:G13)</f>
        <v>247.8</v>
      </c>
      <c r="H14" s="37"/>
      <c r="I14" s="37"/>
      <c r="J14" s="37"/>
      <c r="K14" s="37"/>
      <c r="L14" s="37"/>
      <c r="M14" s="38">
        <f ca="1">IFERROR(SUM(M2:M13),"")</f>
        <v>0.16736111111111113</v>
      </c>
      <c r="N14" s="36" t="s">
        <v>191</v>
      </c>
      <c r="O14" s="39">
        <v>292530</v>
      </c>
    </row>
    <row r="15" spans="1:15" ht="15" customHeight="1" x14ac:dyDescent="0.25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195</v>
      </c>
      <c r="F15" s="27">
        <v>10</v>
      </c>
      <c r="G15" s="34">
        <f t="shared" ref="G15:G26" si="3">IF(F15="","",IF(E15="PC 17",F15*4.2,IF(E15="PC 19",F15*5,"")))</f>
        <v>42</v>
      </c>
      <c r="H15" s="33" t="s">
        <v>19</v>
      </c>
      <c r="I15" s="33" t="s">
        <v>47</v>
      </c>
      <c r="J15" s="33" t="s">
        <v>27</v>
      </c>
      <c r="K15" s="29">
        <v>0.25624999999999998</v>
      </c>
      <c r="L15" s="29">
        <v>0.29166666666666669</v>
      </c>
      <c r="M15" s="35">
        <f ca="1">IFERROR(IF(K15="","",IF(L15="",MOD(NOW()-K15,1),IF(L15&gt;=K15,L15-K15,L15+1-K15))),"")</f>
        <v>6.2024884260608815E-2</v>
      </c>
      <c r="N15" s="27"/>
      <c r="O15" s="31"/>
    </row>
    <row r="16" spans="1:15" ht="15" customHeight="1" x14ac:dyDescent="0.25">
      <c r="A16" s="69">
        <v>46204</v>
      </c>
      <c r="B16" s="25">
        <f t="shared" ref="B16:B26" si="4">B15+TIME(0,60,0)</f>
        <v>0.87499999999999967</v>
      </c>
      <c r="C16" s="33" t="s">
        <v>45</v>
      </c>
      <c r="D16" s="62" t="s">
        <v>30</v>
      </c>
      <c r="E16" s="62" t="s">
        <v>195</v>
      </c>
      <c r="F16" s="27">
        <v>0</v>
      </c>
      <c r="G16" s="28">
        <f t="shared" si="3"/>
        <v>0</v>
      </c>
      <c r="H16" s="26"/>
      <c r="I16" s="26"/>
      <c r="J16" s="26"/>
      <c r="K16" s="29"/>
      <c r="L16" s="29"/>
      <c r="M16" s="35" t="str">
        <f t="shared" ref="M16:M26" ca="1" si="5">IFERROR(IF(K16="","",IF(L16="",MOD(NOW()-K16,1),IF(L16&gt;=K16,L16-K16,L16+1-K16))),"")</f>
        <v/>
      </c>
      <c r="N16" s="27"/>
      <c r="O16" s="31"/>
    </row>
    <row r="17" spans="1:15" ht="15" customHeight="1" x14ac:dyDescent="0.25">
      <c r="A17" s="70">
        <v>46204</v>
      </c>
      <c r="B17" s="32">
        <f t="shared" si="4"/>
        <v>0.9166666666666663</v>
      </c>
      <c r="C17" s="33" t="s">
        <v>45</v>
      </c>
      <c r="D17" s="62" t="s">
        <v>30</v>
      </c>
      <c r="E17" s="62" t="s">
        <v>195</v>
      </c>
      <c r="F17" s="27">
        <v>9</v>
      </c>
      <c r="G17" s="34">
        <f t="shared" si="3"/>
        <v>37.800000000000004</v>
      </c>
      <c r="H17" s="33"/>
      <c r="I17" s="33"/>
      <c r="J17" s="33"/>
      <c r="K17" s="29"/>
      <c r="L17" s="29"/>
      <c r="M17" s="35" t="str">
        <f t="shared" ca="1" si="5"/>
        <v/>
      </c>
      <c r="N17" s="27"/>
      <c r="O17" s="31"/>
    </row>
    <row r="18" spans="1:15" ht="15" customHeight="1" x14ac:dyDescent="0.25">
      <c r="A18" s="69">
        <v>46204</v>
      </c>
      <c r="B18" s="25">
        <f t="shared" si="4"/>
        <v>0.95833333333333293</v>
      </c>
      <c r="C18" s="33" t="s">
        <v>45</v>
      </c>
      <c r="D18" s="62" t="s">
        <v>30</v>
      </c>
      <c r="E18" s="62" t="s">
        <v>195</v>
      </c>
      <c r="F18" s="27">
        <v>6</v>
      </c>
      <c r="G18" s="28">
        <f t="shared" si="3"/>
        <v>25.200000000000003</v>
      </c>
      <c r="H18" s="26"/>
      <c r="I18" s="26"/>
      <c r="J18" s="26"/>
      <c r="K18" s="29"/>
      <c r="L18" s="29"/>
      <c r="M18" s="35" t="str">
        <f t="shared" ca="1" si="5"/>
        <v/>
      </c>
      <c r="N18" s="27"/>
      <c r="O18" s="31"/>
    </row>
    <row r="19" spans="1:15" ht="15" customHeight="1" x14ac:dyDescent="0.25">
      <c r="A19" s="70">
        <v>46204</v>
      </c>
      <c r="B19" s="32">
        <f t="shared" si="4"/>
        <v>0.99999999999999956</v>
      </c>
      <c r="C19" s="33" t="s">
        <v>45</v>
      </c>
      <c r="D19" s="62" t="s">
        <v>30</v>
      </c>
      <c r="E19" s="62" t="s">
        <v>195</v>
      </c>
      <c r="F19" s="27">
        <v>3</v>
      </c>
      <c r="G19" s="34">
        <f t="shared" si="3"/>
        <v>12.600000000000001</v>
      </c>
      <c r="H19" s="33"/>
      <c r="I19" s="33"/>
      <c r="J19" s="33"/>
      <c r="K19" s="29"/>
      <c r="L19" s="29"/>
      <c r="M19" s="35" t="str">
        <f t="shared" ca="1" si="5"/>
        <v/>
      </c>
      <c r="N19" s="27"/>
      <c r="O19" s="31"/>
    </row>
    <row r="20" spans="1:15" ht="15" customHeight="1" x14ac:dyDescent="0.25">
      <c r="A20" s="69">
        <v>46204</v>
      </c>
      <c r="B20" s="25">
        <f t="shared" si="4"/>
        <v>1.0416666666666663</v>
      </c>
      <c r="C20" s="33" t="s">
        <v>45</v>
      </c>
      <c r="D20" s="62" t="s">
        <v>30</v>
      </c>
      <c r="E20" s="62" t="s">
        <v>195</v>
      </c>
      <c r="F20" s="27">
        <v>8</v>
      </c>
      <c r="G20" s="28">
        <f t="shared" si="3"/>
        <v>33.6</v>
      </c>
      <c r="H20" s="26"/>
      <c r="I20" s="26"/>
      <c r="J20" s="26"/>
      <c r="K20" s="29"/>
      <c r="L20" s="29"/>
      <c r="M20" s="35" t="str">
        <f t="shared" ca="1" si="5"/>
        <v/>
      </c>
      <c r="N20" s="27"/>
      <c r="O20" s="31"/>
    </row>
    <row r="21" spans="1:15" ht="15" customHeight="1" x14ac:dyDescent="0.25">
      <c r="A21" s="70">
        <v>46204</v>
      </c>
      <c r="B21" s="32">
        <f t="shared" si="4"/>
        <v>1.083333333333333</v>
      </c>
      <c r="C21" s="33" t="s">
        <v>45</v>
      </c>
      <c r="D21" s="62" t="s">
        <v>30</v>
      </c>
      <c r="E21" s="62" t="s">
        <v>195</v>
      </c>
      <c r="F21" s="27">
        <v>7</v>
      </c>
      <c r="G21" s="34">
        <f t="shared" si="3"/>
        <v>29.400000000000002</v>
      </c>
      <c r="H21" s="33"/>
      <c r="I21" s="33"/>
      <c r="J21" s="33"/>
      <c r="K21" s="29"/>
      <c r="L21" s="29"/>
      <c r="M21" s="35" t="str">
        <f t="shared" ca="1" si="5"/>
        <v/>
      </c>
      <c r="N21" s="27"/>
      <c r="O21" s="31"/>
    </row>
    <row r="22" spans="1:15" ht="15" customHeight="1" x14ac:dyDescent="0.25">
      <c r="A22" s="69">
        <v>46204</v>
      </c>
      <c r="B22" s="25">
        <f t="shared" si="4"/>
        <v>1.1249999999999998</v>
      </c>
      <c r="C22" s="33" t="s">
        <v>45</v>
      </c>
      <c r="D22" s="62" t="s">
        <v>30</v>
      </c>
      <c r="E22" s="62" t="s">
        <v>195</v>
      </c>
      <c r="F22" s="27">
        <v>11</v>
      </c>
      <c r="G22" s="28">
        <f t="shared" si="3"/>
        <v>46.2</v>
      </c>
      <c r="H22" s="26"/>
      <c r="I22" s="26"/>
      <c r="J22" s="26"/>
      <c r="K22" s="29"/>
      <c r="L22" s="29"/>
      <c r="M22" s="35" t="str">
        <f t="shared" ca="1" si="5"/>
        <v/>
      </c>
      <c r="N22" s="27"/>
      <c r="O22" s="31"/>
    </row>
    <row r="23" spans="1:15" ht="15" customHeight="1" x14ac:dyDescent="0.25">
      <c r="A23" s="70">
        <v>46204</v>
      </c>
      <c r="B23" s="32">
        <f t="shared" si="4"/>
        <v>1.1666666666666665</v>
      </c>
      <c r="C23" s="33" t="s">
        <v>45</v>
      </c>
      <c r="D23" s="62" t="s">
        <v>30</v>
      </c>
      <c r="E23" s="62" t="s">
        <v>195</v>
      </c>
      <c r="F23" s="27">
        <v>5</v>
      </c>
      <c r="G23" s="34">
        <f t="shared" si="3"/>
        <v>21</v>
      </c>
      <c r="H23" s="33"/>
      <c r="I23" s="33"/>
      <c r="J23" s="33"/>
      <c r="K23" s="29"/>
      <c r="L23" s="29"/>
      <c r="M23" s="35" t="str">
        <f t="shared" ca="1" si="5"/>
        <v/>
      </c>
      <c r="N23" s="27"/>
      <c r="O23" s="31"/>
    </row>
    <row r="24" spans="1:15" ht="15" customHeight="1" x14ac:dyDescent="0.25">
      <c r="A24" s="69">
        <v>46204</v>
      </c>
      <c r="B24" s="25">
        <f t="shared" si="4"/>
        <v>1.2083333333333333</v>
      </c>
      <c r="C24" s="33" t="s">
        <v>45</v>
      </c>
      <c r="D24" s="62" t="s">
        <v>30</v>
      </c>
      <c r="E24" s="62" t="s">
        <v>195</v>
      </c>
      <c r="F24" s="27">
        <v>6</v>
      </c>
      <c r="G24" s="28">
        <f t="shared" si="3"/>
        <v>25.200000000000003</v>
      </c>
      <c r="H24" s="26"/>
      <c r="I24" s="26"/>
      <c r="J24" s="26"/>
      <c r="K24" s="29"/>
      <c r="L24" s="29"/>
      <c r="M24" s="35" t="str">
        <f t="shared" ca="1" si="5"/>
        <v/>
      </c>
      <c r="N24" s="27"/>
      <c r="O24" s="31"/>
    </row>
    <row r="25" spans="1:15" ht="15" customHeight="1" x14ac:dyDescent="0.25">
      <c r="A25" s="70">
        <v>46204</v>
      </c>
      <c r="B25" s="32">
        <f t="shared" si="4"/>
        <v>1.25</v>
      </c>
      <c r="C25" s="33" t="s">
        <v>45</v>
      </c>
      <c r="D25" s="62" t="s">
        <v>30</v>
      </c>
      <c r="E25" s="62" t="s">
        <v>195</v>
      </c>
      <c r="F25" s="27">
        <v>6</v>
      </c>
      <c r="G25" s="34">
        <f t="shared" si="3"/>
        <v>25.200000000000003</v>
      </c>
      <c r="H25" s="33"/>
      <c r="I25" s="33"/>
      <c r="J25" s="33"/>
      <c r="K25" s="29"/>
      <c r="L25" s="29"/>
      <c r="M25" s="35" t="str">
        <f t="shared" ca="1" si="5"/>
        <v/>
      </c>
      <c r="N25" s="27"/>
      <c r="O25" s="31"/>
    </row>
    <row r="26" spans="1:15" ht="15" customHeight="1" x14ac:dyDescent="0.25">
      <c r="A26" s="69">
        <v>46204</v>
      </c>
      <c r="B26" s="25">
        <f t="shared" si="4"/>
        <v>1.2916666666666667</v>
      </c>
      <c r="C26" s="33" t="s">
        <v>45</v>
      </c>
      <c r="D26" s="62" t="s">
        <v>30</v>
      </c>
      <c r="E26" s="62" t="s">
        <v>195</v>
      </c>
      <c r="F26" s="27">
        <v>0</v>
      </c>
      <c r="G26" s="28">
        <f t="shared" si="3"/>
        <v>0</v>
      </c>
      <c r="H26" s="26"/>
      <c r="I26" s="26"/>
      <c r="J26" s="26"/>
      <c r="K26" s="29"/>
      <c r="L26" s="29"/>
      <c r="M26" s="35" t="str">
        <f t="shared" ca="1" si="5"/>
        <v/>
      </c>
      <c r="N26" s="27"/>
      <c r="O26" s="31"/>
    </row>
    <row r="27" spans="1:15" ht="15.75" customHeight="1" x14ac:dyDescent="0.25">
      <c r="A27" s="79" t="s">
        <v>192</v>
      </c>
      <c r="B27" s="80"/>
      <c r="C27" s="80"/>
      <c r="D27" s="80"/>
      <c r="E27" s="81"/>
      <c r="F27" s="36">
        <f>SUM(F15:F26)</f>
        <v>71</v>
      </c>
      <c r="G27" s="36">
        <f>SUM(G15:G26)</f>
        <v>298.2</v>
      </c>
      <c r="H27" s="37"/>
      <c r="I27" s="37"/>
      <c r="J27" s="37"/>
      <c r="K27" s="37"/>
      <c r="L27" s="37"/>
      <c r="M27" s="38">
        <f ca="1">IFERROR(SUM(M15:M26),"")</f>
        <v>6.2024884260608815E-2</v>
      </c>
      <c r="N27" s="36" t="s">
        <v>191</v>
      </c>
      <c r="O27" s="39">
        <v>308500</v>
      </c>
    </row>
    <row r="28" spans="1:15" ht="18" customHeight="1" x14ac:dyDescent="0.25">
      <c r="A28" s="82" t="s">
        <v>193</v>
      </c>
      <c r="B28" s="83"/>
      <c r="C28" s="83"/>
      <c r="D28" s="83"/>
      <c r="E28" s="84"/>
      <c r="F28" s="40">
        <f>F14+F27</f>
        <v>130</v>
      </c>
      <c r="G28" s="40">
        <f>G14+G27</f>
        <v>546</v>
      </c>
      <c r="H28" s="41"/>
      <c r="I28" s="41"/>
      <c r="J28" s="41"/>
      <c r="K28" s="41"/>
      <c r="L28" s="41"/>
      <c r="M28" s="42">
        <f ca="1">IFERROR(M14+M27,"")</f>
        <v>0.22938599537171994</v>
      </c>
      <c r="N28" s="40" t="s">
        <v>194</v>
      </c>
      <c r="O28" s="43">
        <f>IFERROR(O14+O27,"")</f>
        <v>601030</v>
      </c>
    </row>
    <row r="29" spans="1:15" ht="15" customHeight="1" x14ac:dyDescent="0.25">
      <c r="A29" s="69">
        <v>46205</v>
      </c>
      <c r="B29" s="25">
        <v>0.33333333333333298</v>
      </c>
      <c r="C29" s="26" t="s">
        <v>21</v>
      </c>
      <c r="D29" s="59" t="s">
        <v>30</v>
      </c>
      <c r="E29" s="59"/>
      <c r="F29" s="27"/>
      <c r="G29" s="28" t="str">
        <f t="shared" ref="G29:G40" si="6">IF(F29="","",IF(E29="PC 17",F29*4.2,IF(E29="PC 19",F29*5,"")))</f>
        <v/>
      </c>
      <c r="H29" s="33" t="s">
        <v>20</v>
      </c>
      <c r="I29" s="33" t="s">
        <v>47</v>
      </c>
      <c r="J29" s="33" t="s">
        <v>157</v>
      </c>
      <c r="K29" s="29">
        <v>0.29166666666666669</v>
      </c>
      <c r="L29" s="29"/>
      <c r="M29" s="35" t="str">
        <f t="shared" ref="M29:M40" ca="1" si="7">IFERROR(IF(K29="","",IF(L29="",MOD(NOW()-K29,1),IF(L29&gt;=K29,L29-K29,L29+1-K29))),"")</f>
        <v/>
      </c>
      <c r="N29" s="27" t="s">
        <v>198</v>
      </c>
      <c r="O29" s="31"/>
    </row>
    <row r="30" spans="1:15" ht="15" customHeight="1" x14ac:dyDescent="0.25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/>
      <c r="F30" s="27"/>
      <c r="G30" s="34" t="str">
        <f t="shared" si="6"/>
        <v/>
      </c>
      <c r="H30" s="26"/>
      <c r="I30" s="26"/>
      <c r="J30" s="26"/>
      <c r="K30" s="29"/>
      <c r="L30" s="29"/>
      <c r="M30" s="30" t="str">
        <f t="shared" ca="1" si="7"/>
        <v/>
      </c>
      <c r="N30" s="27"/>
      <c r="O30" s="31"/>
    </row>
    <row r="31" spans="1:15" ht="15" customHeight="1" x14ac:dyDescent="0.25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/>
      <c r="F31" s="27"/>
      <c r="G31" s="28" t="str">
        <f t="shared" si="6"/>
        <v/>
      </c>
      <c r="H31" s="33"/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 x14ac:dyDescent="0.25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/>
      <c r="F32" s="27"/>
      <c r="G32" s="34" t="str">
        <f t="shared" si="6"/>
        <v/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 x14ac:dyDescent="0.25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/>
      <c r="F33" s="27"/>
      <c r="G33" s="28" t="str">
        <f t="shared" si="6"/>
        <v/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 x14ac:dyDescent="0.25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/>
      <c r="F34" s="27"/>
      <c r="G34" s="34" t="str">
        <f t="shared" si="6"/>
        <v/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 x14ac:dyDescent="0.25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/>
      <c r="F35" s="27"/>
      <c r="G35" s="28" t="str">
        <f t="shared" si="6"/>
        <v/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 x14ac:dyDescent="0.25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/>
      <c r="F36" s="27"/>
      <c r="G36" s="34" t="str">
        <f t="shared" si="6"/>
        <v/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 x14ac:dyDescent="0.25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/>
      <c r="F37" s="27"/>
      <c r="G37" s="28" t="str">
        <f t="shared" si="6"/>
        <v/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 x14ac:dyDescent="0.25">
      <c r="A38" s="70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/>
      <c r="F38" s="27"/>
      <c r="G38" s="34" t="str">
        <f t="shared" si="6"/>
        <v/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 x14ac:dyDescent="0.25">
      <c r="A39" s="69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/>
      <c r="F39" s="27"/>
      <c r="G39" s="28" t="str">
        <f t="shared" si="6"/>
        <v/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 x14ac:dyDescent="0.25">
      <c r="A40" s="70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/>
      <c r="F40" s="27"/>
      <c r="G40" s="34" t="str">
        <f t="shared" si="6"/>
        <v/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 x14ac:dyDescent="0.25">
      <c r="A41" s="79" t="s">
        <v>190</v>
      </c>
      <c r="B41" s="80"/>
      <c r="C41" s="80"/>
      <c r="D41" s="80"/>
      <c r="E41" s="81">
        <f>SUM(E29:E40)</f>
        <v>0</v>
      </c>
      <c r="F41" s="36">
        <f>SUM(F29:F40)</f>
        <v>0</v>
      </c>
      <c r="G41" s="36">
        <f>SUM(G29:G40)</f>
        <v>0</v>
      </c>
      <c r="H41" s="37"/>
      <c r="I41" s="37"/>
      <c r="J41" s="37"/>
      <c r="K41" s="37"/>
      <c r="L41" s="37"/>
      <c r="M41" s="38">
        <f ca="1">IFERROR(SUM(M29:M40),"")</f>
        <v>0</v>
      </c>
      <c r="N41" s="36" t="s">
        <v>191</v>
      </c>
      <c r="O41" s="39"/>
    </row>
    <row r="42" spans="1:15" ht="15" customHeight="1" x14ac:dyDescent="0.25">
      <c r="A42" s="70">
        <v>46205</v>
      </c>
      <c r="B42" s="32">
        <v>0.83333333333333304</v>
      </c>
      <c r="C42" s="33"/>
      <c r="D42" s="62"/>
      <c r="E42" s="62"/>
      <c r="F42" s="27"/>
      <c r="G42" s="34" t="str">
        <f t="shared" ref="G42:G53" si="9">IF(F42="","",IF(E42="PC 17",F42*4.2,IF(E42="PC 19",F42*5,"")))</f>
        <v/>
      </c>
      <c r="H42" s="26"/>
      <c r="I42" s="26"/>
      <c r="J42" s="26"/>
      <c r="K42" s="29"/>
      <c r="L42" s="29"/>
      <c r="M42" s="30" t="str">
        <f t="shared" ref="M42:M53" ca="1" si="10">IFERROR(IF(K42="","",IF(L42="",MOD(NOW()-K42,1),IF(L42&gt;=K42,L42-K42,L42+1-K42))),"")</f>
        <v/>
      </c>
      <c r="N42" s="27"/>
      <c r="O42" s="31"/>
    </row>
    <row r="43" spans="1:15" ht="15" customHeight="1" x14ac:dyDescent="0.25">
      <c r="A43" s="69">
        <v>46205</v>
      </c>
      <c r="B43" s="25">
        <f t="shared" ref="B43:B53" si="11">B42+TIME(0,60,0)</f>
        <v>0.87499999999999967</v>
      </c>
      <c r="C43" s="33"/>
      <c r="D43" s="62"/>
      <c r="E43" s="62"/>
      <c r="F43" s="27"/>
      <c r="G43" s="28" t="str">
        <f t="shared" si="9"/>
        <v/>
      </c>
      <c r="H43" s="33"/>
      <c r="I43" s="33"/>
      <c r="J43" s="33"/>
      <c r="K43" s="29"/>
      <c r="L43" s="29"/>
      <c r="M43" s="35" t="str">
        <f t="shared" ca="1" si="10"/>
        <v/>
      </c>
      <c r="N43" s="27"/>
      <c r="O43" s="31"/>
    </row>
    <row r="44" spans="1:15" ht="15" customHeight="1" x14ac:dyDescent="0.25">
      <c r="A44" s="70">
        <v>46205</v>
      </c>
      <c r="B44" s="32">
        <f t="shared" si="11"/>
        <v>0.9166666666666663</v>
      </c>
      <c r="C44" s="33"/>
      <c r="D44" s="62"/>
      <c r="E44" s="62"/>
      <c r="F44" s="27"/>
      <c r="G44" s="34" t="str">
        <f t="shared" si="9"/>
        <v/>
      </c>
      <c r="H44" s="26"/>
      <c r="I44" s="26"/>
      <c r="J44" s="26"/>
      <c r="K44" s="29"/>
      <c r="L44" s="29"/>
      <c r="M44" s="30" t="str">
        <f t="shared" ca="1" si="10"/>
        <v/>
      </c>
      <c r="N44" s="27"/>
      <c r="O44" s="31"/>
    </row>
    <row r="45" spans="1:15" ht="15" customHeight="1" x14ac:dyDescent="0.25">
      <c r="A45" s="69">
        <v>46205</v>
      </c>
      <c r="B45" s="25">
        <f t="shared" si="11"/>
        <v>0.95833333333333293</v>
      </c>
      <c r="C45" s="33"/>
      <c r="D45" s="62"/>
      <c r="E45" s="62"/>
      <c r="F45" s="27"/>
      <c r="G45" s="28" t="str">
        <f t="shared" si="9"/>
        <v/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31"/>
    </row>
    <row r="46" spans="1:15" ht="15" customHeight="1" x14ac:dyDescent="0.25">
      <c r="A46" s="70">
        <v>46205</v>
      </c>
      <c r="B46" s="32">
        <f t="shared" si="11"/>
        <v>0.99999999999999956</v>
      </c>
      <c r="C46" s="33"/>
      <c r="D46" s="62"/>
      <c r="E46" s="62"/>
      <c r="F46" s="27"/>
      <c r="G46" s="34" t="str">
        <f t="shared" si="9"/>
        <v/>
      </c>
      <c r="H46" s="26"/>
      <c r="I46" s="26"/>
      <c r="J46" s="26"/>
      <c r="K46" s="29"/>
      <c r="L46" s="29"/>
      <c r="M46" s="30" t="str">
        <f t="shared" ca="1" si="10"/>
        <v/>
      </c>
      <c r="N46" s="27"/>
      <c r="O46" s="31"/>
    </row>
    <row r="47" spans="1:15" ht="15" customHeight="1" x14ac:dyDescent="0.25">
      <c r="A47" s="69">
        <v>46205</v>
      </c>
      <c r="B47" s="25">
        <f t="shared" si="11"/>
        <v>1.0416666666666663</v>
      </c>
      <c r="C47" s="33"/>
      <c r="D47" s="62"/>
      <c r="E47" s="62"/>
      <c r="F47" s="27"/>
      <c r="G47" s="28" t="str">
        <f t="shared" si="9"/>
        <v/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31"/>
    </row>
    <row r="48" spans="1:15" ht="15" customHeight="1" x14ac:dyDescent="0.25">
      <c r="A48" s="70">
        <v>46205</v>
      </c>
      <c r="B48" s="32">
        <f t="shared" si="11"/>
        <v>1.083333333333333</v>
      </c>
      <c r="C48" s="33"/>
      <c r="D48" s="62"/>
      <c r="E48" s="62"/>
      <c r="F48" s="27"/>
      <c r="G48" s="34" t="str">
        <f t="shared" si="9"/>
        <v/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 x14ac:dyDescent="0.25">
      <c r="A49" s="69">
        <v>46205</v>
      </c>
      <c r="B49" s="25">
        <f t="shared" si="11"/>
        <v>1.1249999999999998</v>
      </c>
      <c r="C49" s="33"/>
      <c r="D49" s="62"/>
      <c r="E49" s="62"/>
      <c r="F49" s="27"/>
      <c r="G49" s="28" t="str">
        <f t="shared" si="9"/>
        <v/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 x14ac:dyDescent="0.25">
      <c r="A50" s="70">
        <v>46205</v>
      </c>
      <c r="B50" s="32">
        <f t="shared" si="11"/>
        <v>1.1666666666666665</v>
      </c>
      <c r="C50" s="33"/>
      <c r="D50" s="62"/>
      <c r="E50" s="62"/>
      <c r="F50" s="27"/>
      <c r="G50" s="34" t="str">
        <f t="shared" si="9"/>
        <v/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 x14ac:dyDescent="0.25">
      <c r="A51" s="69">
        <v>46205</v>
      </c>
      <c r="B51" s="25">
        <f t="shared" si="11"/>
        <v>1.2083333333333333</v>
      </c>
      <c r="C51" s="33"/>
      <c r="D51" s="62"/>
      <c r="E51" s="62"/>
      <c r="F51" s="27"/>
      <c r="G51" s="28" t="str">
        <f t="shared" si="9"/>
        <v/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 x14ac:dyDescent="0.25">
      <c r="A52" s="70">
        <v>46205</v>
      </c>
      <c r="B52" s="32">
        <f t="shared" si="11"/>
        <v>1.25</v>
      </c>
      <c r="C52" s="33"/>
      <c r="D52" s="62"/>
      <c r="E52" s="62"/>
      <c r="F52" s="27"/>
      <c r="G52" s="34" t="str">
        <f t="shared" si="9"/>
        <v/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 x14ac:dyDescent="0.25">
      <c r="A53" s="69">
        <v>46205</v>
      </c>
      <c r="B53" s="25">
        <f t="shared" si="11"/>
        <v>1.2916666666666667</v>
      </c>
      <c r="C53" s="33"/>
      <c r="D53" s="62"/>
      <c r="E53" s="62"/>
      <c r="F53" s="27"/>
      <c r="G53" s="28" t="str">
        <f t="shared" si="9"/>
        <v/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 x14ac:dyDescent="0.25">
      <c r="A54" s="79" t="s">
        <v>192</v>
      </c>
      <c r="B54" s="80"/>
      <c r="C54" s="80"/>
      <c r="D54" s="80"/>
      <c r="E54" s="81">
        <f>SUM(E42:E53)</f>
        <v>0</v>
      </c>
      <c r="F54" s="36">
        <f>SUM(F42:F53)</f>
        <v>0</v>
      </c>
      <c r="G54" s="36">
        <f>SUM(G42:G53)</f>
        <v>0</v>
      </c>
      <c r="H54" s="37"/>
      <c r="I54" s="37"/>
      <c r="J54" s="37"/>
      <c r="K54" s="37"/>
      <c r="L54" s="37"/>
      <c r="M54" s="38">
        <f ca="1">IFERROR(SUM(M42:M53),"")</f>
        <v>0</v>
      </c>
      <c r="N54" s="36" t="s">
        <v>191</v>
      </c>
      <c r="O54" s="39"/>
    </row>
    <row r="55" spans="1:15" ht="18" customHeight="1" x14ac:dyDescent="0.25">
      <c r="A55" s="82" t="s">
        <v>193</v>
      </c>
      <c r="B55" s="83"/>
      <c r="C55" s="83"/>
      <c r="D55" s="83"/>
      <c r="E55" s="84">
        <f>E41+E54</f>
        <v>0</v>
      </c>
      <c r="F55" s="40">
        <f>F41+F54</f>
        <v>0</v>
      </c>
      <c r="G55" s="40">
        <f>G41+G54</f>
        <v>0</v>
      </c>
      <c r="H55" s="41"/>
      <c r="I55" s="41"/>
      <c r="J55" s="41"/>
      <c r="K55" s="41"/>
      <c r="L55" s="41"/>
      <c r="M55" s="42">
        <f ca="1">IFERROR(M41+M54,"")</f>
        <v>0</v>
      </c>
      <c r="N55" s="40" t="s">
        <v>194</v>
      </c>
      <c r="O55" s="43">
        <f>IFERROR(O41+O54,"")</f>
        <v>0</v>
      </c>
    </row>
    <row r="56" spans="1:15" ht="15" customHeight="1" x14ac:dyDescent="0.25">
      <c r="A56" s="69">
        <v>46206</v>
      </c>
      <c r="B56" s="25">
        <v>0.33333333333333298</v>
      </c>
      <c r="C56" s="26"/>
      <c r="D56" s="59"/>
      <c r="E56" s="59"/>
      <c r="F56" s="27"/>
      <c r="G56" s="28" t="str">
        <f t="shared" ref="G56:G67" si="12">IF(F56="","",IF(E56="PC 17",F56*4.2,IF(E56="PC 19",F56*5,"")))</f>
        <v/>
      </c>
      <c r="H56" s="26"/>
      <c r="I56" s="26"/>
      <c r="J56" s="26"/>
      <c r="K56" s="29"/>
      <c r="L56" s="29"/>
      <c r="M56" s="30" t="str">
        <f t="shared" ref="M56:M67" ca="1" si="13">IFERROR(IF(K56="","",IF(L56="",MOD(NOW()-K56,1),IF(L56&gt;=K56,L56-K56,L56+1-K56))),"")</f>
        <v/>
      </c>
      <c r="N56" s="27"/>
      <c r="O56" s="31"/>
    </row>
    <row r="57" spans="1:15" ht="15" customHeight="1" x14ac:dyDescent="0.25">
      <c r="A57" s="70">
        <v>46206</v>
      </c>
      <c r="B57" s="32">
        <f t="shared" ref="B57:B67" si="14">B56+TIME(0,60,0)</f>
        <v>0.37499999999999967</v>
      </c>
      <c r="C57" s="26"/>
      <c r="D57" s="59"/>
      <c r="E57" s="59"/>
      <c r="F57" s="27"/>
      <c r="G57" s="34" t="str">
        <f t="shared" si="12"/>
        <v/>
      </c>
      <c r="H57" s="33"/>
      <c r="I57" s="33"/>
      <c r="J57" s="33"/>
      <c r="K57" s="29"/>
      <c r="L57" s="29"/>
      <c r="M57" s="35" t="str">
        <f t="shared" ca="1" si="13"/>
        <v/>
      </c>
      <c r="N57" s="27"/>
      <c r="O57" s="31"/>
    </row>
    <row r="58" spans="1:15" ht="15" customHeight="1" x14ac:dyDescent="0.25">
      <c r="A58" s="69">
        <v>46206</v>
      </c>
      <c r="B58" s="25">
        <f t="shared" si="14"/>
        <v>0.41666666666666635</v>
      </c>
      <c r="C58" s="26"/>
      <c r="D58" s="59"/>
      <c r="E58" s="59"/>
      <c r="F58" s="27"/>
      <c r="G58" s="28" t="str">
        <f t="shared" si="12"/>
        <v/>
      </c>
      <c r="H58" s="26"/>
      <c r="I58" s="26"/>
      <c r="J58" s="26"/>
      <c r="K58" s="29"/>
      <c r="L58" s="29"/>
      <c r="M58" s="30" t="str">
        <f t="shared" ca="1" si="13"/>
        <v/>
      </c>
      <c r="N58" s="27"/>
      <c r="O58" s="31"/>
    </row>
    <row r="59" spans="1:15" ht="15" customHeight="1" x14ac:dyDescent="0.25">
      <c r="A59" s="70">
        <v>46206</v>
      </c>
      <c r="B59" s="32">
        <f t="shared" si="14"/>
        <v>0.45833333333333304</v>
      </c>
      <c r="C59" s="26"/>
      <c r="D59" s="59"/>
      <c r="E59" s="59"/>
      <c r="F59" s="27"/>
      <c r="G59" s="34" t="str">
        <f t="shared" si="12"/>
        <v/>
      </c>
      <c r="H59" s="33"/>
      <c r="I59" s="33"/>
      <c r="J59" s="33"/>
      <c r="K59" s="29"/>
      <c r="L59" s="29"/>
      <c r="M59" s="35" t="str">
        <f t="shared" ca="1" si="13"/>
        <v/>
      </c>
      <c r="N59" s="27"/>
      <c r="O59" s="31"/>
    </row>
    <row r="60" spans="1:15" ht="15" customHeight="1" x14ac:dyDescent="0.25">
      <c r="A60" s="69">
        <v>46206</v>
      </c>
      <c r="B60" s="25">
        <f t="shared" si="14"/>
        <v>0.49999999999999972</v>
      </c>
      <c r="C60" s="26"/>
      <c r="D60" s="59"/>
      <c r="E60" s="59"/>
      <c r="F60" s="27"/>
      <c r="G60" s="28" t="str">
        <f t="shared" si="12"/>
        <v/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 x14ac:dyDescent="0.25">
      <c r="A61" s="70">
        <v>46206</v>
      </c>
      <c r="B61" s="32">
        <f t="shared" si="14"/>
        <v>0.54166666666666641</v>
      </c>
      <c r="C61" s="26"/>
      <c r="D61" s="59"/>
      <c r="E61" s="59"/>
      <c r="F61" s="27"/>
      <c r="G61" s="34" t="str">
        <f t="shared" si="12"/>
        <v/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 x14ac:dyDescent="0.25">
      <c r="A62" s="69">
        <v>46206</v>
      </c>
      <c r="B62" s="25">
        <f t="shared" si="14"/>
        <v>0.58333333333333304</v>
      </c>
      <c r="C62" s="26"/>
      <c r="D62" s="59"/>
      <c r="E62" s="59"/>
      <c r="F62" s="27"/>
      <c r="G62" s="28" t="str">
        <f t="shared" si="12"/>
        <v/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 x14ac:dyDescent="0.25">
      <c r="A63" s="70">
        <v>46206</v>
      </c>
      <c r="B63" s="32">
        <f t="shared" si="14"/>
        <v>0.62499999999999967</v>
      </c>
      <c r="C63" s="26"/>
      <c r="D63" s="59"/>
      <c r="E63" s="59"/>
      <c r="F63" s="27"/>
      <c r="G63" s="34" t="str">
        <f t="shared" si="12"/>
        <v/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 x14ac:dyDescent="0.25">
      <c r="A64" s="69">
        <v>46206</v>
      </c>
      <c r="B64" s="25">
        <f t="shared" si="14"/>
        <v>0.6666666666666663</v>
      </c>
      <c r="C64" s="26"/>
      <c r="D64" s="59"/>
      <c r="E64" s="59"/>
      <c r="F64" s="27"/>
      <c r="G64" s="28" t="str">
        <f t="shared" si="12"/>
        <v/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 x14ac:dyDescent="0.25">
      <c r="A65" s="70">
        <v>46206</v>
      </c>
      <c r="B65" s="32">
        <f t="shared" si="14"/>
        <v>0.70833333333333293</v>
      </c>
      <c r="C65" s="26"/>
      <c r="D65" s="59"/>
      <c r="E65" s="59"/>
      <c r="F65" s="27"/>
      <c r="G65" s="34" t="str">
        <f t="shared" si="12"/>
        <v/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 x14ac:dyDescent="0.25">
      <c r="A66" s="69">
        <v>46206</v>
      </c>
      <c r="B66" s="25">
        <f t="shared" si="14"/>
        <v>0.74999999999999956</v>
      </c>
      <c r="C66" s="26"/>
      <c r="D66" s="59"/>
      <c r="E66" s="59"/>
      <c r="F66" s="27"/>
      <c r="G66" s="28" t="str">
        <f t="shared" si="12"/>
        <v/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 x14ac:dyDescent="0.25">
      <c r="A67" s="70">
        <v>46206</v>
      </c>
      <c r="B67" s="32">
        <f t="shared" si="14"/>
        <v>0.79166666666666619</v>
      </c>
      <c r="C67" s="26"/>
      <c r="D67" s="59"/>
      <c r="E67" s="59"/>
      <c r="F67" s="27"/>
      <c r="G67" s="34" t="str">
        <f t="shared" si="12"/>
        <v/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 x14ac:dyDescent="0.25">
      <c r="A68" s="79" t="s">
        <v>190</v>
      </c>
      <c r="B68" s="80"/>
      <c r="C68" s="80"/>
      <c r="D68" s="80"/>
      <c r="E68" s="81">
        <f>SUM(E56:E67)</f>
        <v>0</v>
      </c>
      <c r="F68" s="36">
        <f>SUM(F56:F67)</f>
        <v>0</v>
      </c>
      <c r="G68" s="36">
        <f>SUM(G56:G67)</f>
        <v>0</v>
      </c>
      <c r="H68" s="37"/>
      <c r="I68" s="37"/>
      <c r="J68" s="37"/>
      <c r="K68" s="37"/>
      <c r="L68" s="37"/>
      <c r="M68" s="38">
        <f ca="1">IFERROR(SUM(M56:M67),"")</f>
        <v>0</v>
      </c>
      <c r="N68" s="36" t="s">
        <v>191</v>
      </c>
      <c r="O68" s="39"/>
    </row>
    <row r="69" spans="1:15" ht="15" customHeight="1" x14ac:dyDescent="0.25">
      <c r="A69" s="70">
        <v>46206</v>
      </c>
      <c r="B69" s="32">
        <v>0.83333333333333304</v>
      </c>
      <c r="C69" s="33"/>
      <c r="D69" s="62"/>
      <c r="E69" s="62"/>
      <c r="F69" s="27"/>
      <c r="G69" s="34" t="str">
        <f t="shared" ref="G69:G80" si="15">IF(F69="","",IF(E69="PC 17",F69*4.2,IF(E69="PC 19",F69*5,"")))</f>
        <v/>
      </c>
      <c r="H69" s="33"/>
      <c r="I69" s="33"/>
      <c r="J69" s="33"/>
      <c r="K69" s="29"/>
      <c r="L69" s="29"/>
      <c r="M69" s="35" t="str">
        <f t="shared" ref="M69:M80" ca="1" si="16">IFERROR(IF(K69="","",IF(L69="",MOD(NOW()-K69,1),IF(L69&gt;=K69,L69-K69,L69+1-K69))),"")</f>
        <v/>
      </c>
      <c r="N69" s="27"/>
      <c r="O69" s="31"/>
    </row>
    <row r="70" spans="1:15" ht="15" customHeight="1" x14ac:dyDescent="0.25">
      <c r="A70" s="69">
        <v>46206</v>
      </c>
      <c r="B70" s="25">
        <f t="shared" ref="B70:B80" si="17">B69+TIME(0,60,0)</f>
        <v>0.87499999999999967</v>
      </c>
      <c r="C70" s="33"/>
      <c r="D70" s="62"/>
      <c r="E70" s="62"/>
      <c r="F70" s="27"/>
      <c r="G70" s="28" t="str">
        <f t="shared" si="15"/>
        <v/>
      </c>
      <c r="H70" s="26"/>
      <c r="I70" s="26"/>
      <c r="J70" s="26"/>
      <c r="K70" s="29"/>
      <c r="L70" s="29"/>
      <c r="M70" s="30" t="str">
        <f t="shared" ca="1" si="16"/>
        <v/>
      </c>
      <c r="N70" s="27"/>
      <c r="O70" s="31"/>
    </row>
    <row r="71" spans="1:15" ht="15" customHeight="1" x14ac:dyDescent="0.25">
      <c r="A71" s="70">
        <v>46206</v>
      </c>
      <c r="B71" s="32">
        <f t="shared" si="17"/>
        <v>0.9166666666666663</v>
      </c>
      <c r="C71" s="33"/>
      <c r="D71" s="62"/>
      <c r="E71" s="62"/>
      <c r="F71" s="27"/>
      <c r="G71" s="34" t="str">
        <f t="shared" si="15"/>
        <v/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 x14ac:dyDescent="0.25">
      <c r="A72" s="69">
        <v>46206</v>
      </c>
      <c r="B72" s="25">
        <f t="shared" si="17"/>
        <v>0.95833333333333293</v>
      </c>
      <c r="C72" s="33"/>
      <c r="D72" s="62"/>
      <c r="E72" s="62"/>
      <c r="F72" s="27"/>
      <c r="G72" s="28" t="str">
        <f t="shared" si="15"/>
        <v/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 x14ac:dyDescent="0.25">
      <c r="A73" s="70">
        <v>46206</v>
      </c>
      <c r="B73" s="32">
        <f t="shared" si="17"/>
        <v>0.99999999999999956</v>
      </c>
      <c r="C73" s="33"/>
      <c r="D73" s="62"/>
      <c r="E73" s="62"/>
      <c r="F73" s="27"/>
      <c r="G73" s="34" t="str">
        <f t="shared" si="15"/>
        <v/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 x14ac:dyDescent="0.25">
      <c r="A74" s="69">
        <v>46206</v>
      </c>
      <c r="B74" s="25">
        <f t="shared" si="17"/>
        <v>1.0416666666666663</v>
      </c>
      <c r="C74" s="33"/>
      <c r="D74" s="62"/>
      <c r="E74" s="62"/>
      <c r="F74" s="27"/>
      <c r="G74" s="28" t="str">
        <f t="shared" si="15"/>
        <v/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 x14ac:dyDescent="0.25">
      <c r="A75" s="70">
        <v>46206</v>
      </c>
      <c r="B75" s="32">
        <f t="shared" si="17"/>
        <v>1.083333333333333</v>
      </c>
      <c r="C75" s="33"/>
      <c r="D75" s="62"/>
      <c r="E75" s="62"/>
      <c r="F75" s="27"/>
      <c r="G75" s="34" t="str">
        <f t="shared" si="15"/>
        <v/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 x14ac:dyDescent="0.25">
      <c r="A76" s="69">
        <v>46206</v>
      </c>
      <c r="B76" s="25">
        <f t="shared" si="17"/>
        <v>1.1249999999999998</v>
      </c>
      <c r="C76" s="33"/>
      <c r="D76" s="62"/>
      <c r="E76" s="62"/>
      <c r="F76" s="27"/>
      <c r="G76" s="28" t="str">
        <f t="shared" si="15"/>
        <v/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 x14ac:dyDescent="0.25">
      <c r="A77" s="70">
        <v>46206</v>
      </c>
      <c r="B77" s="32">
        <f t="shared" si="17"/>
        <v>1.1666666666666665</v>
      </c>
      <c r="C77" s="33"/>
      <c r="D77" s="62"/>
      <c r="E77" s="62"/>
      <c r="F77" s="27"/>
      <c r="G77" s="34" t="str">
        <f t="shared" si="15"/>
        <v/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 x14ac:dyDescent="0.25">
      <c r="A78" s="69">
        <v>46206</v>
      </c>
      <c r="B78" s="25">
        <f t="shared" si="17"/>
        <v>1.2083333333333333</v>
      </c>
      <c r="C78" s="33"/>
      <c r="D78" s="62"/>
      <c r="E78" s="62"/>
      <c r="F78" s="27"/>
      <c r="G78" s="28" t="str">
        <f t="shared" si="15"/>
        <v/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 x14ac:dyDescent="0.25">
      <c r="A79" s="70">
        <v>46206</v>
      </c>
      <c r="B79" s="32">
        <f t="shared" si="17"/>
        <v>1.25</v>
      </c>
      <c r="C79" s="33"/>
      <c r="D79" s="62"/>
      <c r="E79" s="62"/>
      <c r="F79" s="27"/>
      <c r="G79" s="34" t="str">
        <f t="shared" si="15"/>
        <v/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 x14ac:dyDescent="0.25">
      <c r="A80" s="69">
        <v>46206</v>
      </c>
      <c r="B80" s="25">
        <f t="shared" si="17"/>
        <v>1.2916666666666667</v>
      </c>
      <c r="C80" s="33"/>
      <c r="D80" s="62"/>
      <c r="E80" s="62"/>
      <c r="F80" s="27"/>
      <c r="G80" s="28" t="str">
        <f t="shared" si="15"/>
        <v/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 x14ac:dyDescent="0.25">
      <c r="A81" s="79" t="s">
        <v>192</v>
      </c>
      <c r="B81" s="80"/>
      <c r="C81" s="80"/>
      <c r="D81" s="80"/>
      <c r="E81" s="81">
        <f>SUM(E69:E80)</f>
        <v>0</v>
      </c>
      <c r="F81" s="36">
        <f>SUM(F69:F80)</f>
        <v>0</v>
      </c>
      <c r="G81" s="36">
        <f>SUM(G69:G80)</f>
        <v>0</v>
      </c>
      <c r="H81" s="37"/>
      <c r="I81" s="37"/>
      <c r="J81" s="37"/>
      <c r="K81" s="37"/>
      <c r="L81" s="37"/>
      <c r="M81" s="38">
        <f ca="1">IFERROR(SUM(M69:M80),"")</f>
        <v>0</v>
      </c>
      <c r="N81" s="36" t="s">
        <v>191</v>
      </c>
      <c r="O81" s="39"/>
    </row>
    <row r="82" spans="1:15" ht="18" customHeight="1" x14ac:dyDescent="0.25">
      <c r="A82" s="82" t="s">
        <v>193</v>
      </c>
      <c r="B82" s="83"/>
      <c r="C82" s="83"/>
      <c r="D82" s="83"/>
      <c r="E82" s="84">
        <f>E68+E81</f>
        <v>0</v>
      </c>
      <c r="F82" s="40">
        <f>F68+F81</f>
        <v>0</v>
      </c>
      <c r="G82" s="40">
        <f>G68+G81</f>
        <v>0</v>
      </c>
      <c r="H82" s="41"/>
      <c r="I82" s="41"/>
      <c r="J82" s="41"/>
      <c r="K82" s="41"/>
      <c r="L82" s="41"/>
      <c r="M82" s="42">
        <f ca="1">IFERROR(M68+M81,"")</f>
        <v>0</v>
      </c>
      <c r="N82" s="40" t="s">
        <v>194</v>
      </c>
      <c r="O82" s="43">
        <f>IFERROR(O68+O81,"")</f>
        <v>0</v>
      </c>
    </row>
    <row r="83" spans="1:15" ht="15" customHeight="1" x14ac:dyDescent="0.25">
      <c r="A83" s="69">
        <v>46207</v>
      </c>
      <c r="B83" s="25">
        <v>0.33333333333333298</v>
      </c>
      <c r="C83" s="26"/>
      <c r="D83" s="59"/>
      <c r="E83" s="59"/>
      <c r="F83" s="27"/>
      <c r="G83" s="28" t="str">
        <f t="shared" ref="G83:G94" si="18">IF(F83="","",IF(E83="PC 17",F83*4.2,IF(E83="PC 19",F83*5,"")))</f>
        <v/>
      </c>
      <c r="H83" s="33"/>
      <c r="I83" s="33"/>
      <c r="J83" s="33"/>
      <c r="K83" s="29"/>
      <c r="L83" s="29"/>
      <c r="M83" s="35" t="str">
        <f t="shared" ref="M83:M94" ca="1" si="19">IFERROR(IF(K83="","",IF(L83="",MOD(NOW()-K83,1),IF(L83&gt;=K83,L83-K83,L83+1-K83))),"")</f>
        <v/>
      </c>
      <c r="N83" s="27"/>
      <c r="O83" s="31"/>
    </row>
    <row r="84" spans="1:15" ht="15" customHeight="1" x14ac:dyDescent="0.25">
      <c r="A84" s="70">
        <v>46207</v>
      </c>
      <c r="B84" s="32">
        <f t="shared" ref="B84:B94" si="20">B83+TIME(0,60,0)</f>
        <v>0.37499999999999967</v>
      </c>
      <c r="C84" s="26"/>
      <c r="D84" s="59"/>
      <c r="E84" s="59"/>
      <c r="F84" s="27"/>
      <c r="G84" s="34" t="str">
        <f t="shared" si="18"/>
        <v/>
      </c>
      <c r="H84" s="26"/>
      <c r="I84" s="26"/>
      <c r="J84" s="26"/>
      <c r="K84" s="29"/>
      <c r="L84" s="29"/>
      <c r="M84" s="30" t="str">
        <f t="shared" ca="1" si="19"/>
        <v/>
      </c>
      <c r="N84" s="27"/>
      <c r="O84" s="31"/>
    </row>
    <row r="85" spans="1:15" ht="15" customHeight="1" x14ac:dyDescent="0.25">
      <c r="A85" s="69">
        <v>46207</v>
      </c>
      <c r="B85" s="25">
        <f t="shared" si="20"/>
        <v>0.41666666666666635</v>
      </c>
      <c r="C85" s="26"/>
      <c r="D85" s="59"/>
      <c r="E85" s="59"/>
      <c r="F85" s="27"/>
      <c r="G85" s="28" t="str">
        <f t="shared" si="18"/>
        <v/>
      </c>
      <c r="H85" s="33"/>
      <c r="I85" s="33"/>
      <c r="J85" s="33"/>
      <c r="K85" s="29"/>
      <c r="L85" s="29"/>
      <c r="M85" s="35" t="str">
        <f t="shared" ca="1" si="19"/>
        <v/>
      </c>
      <c r="N85" s="27"/>
      <c r="O85" s="31"/>
    </row>
    <row r="86" spans="1:15" ht="15" customHeight="1" x14ac:dyDescent="0.25">
      <c r="A86" s="70">
        <v>46207</v>
      </c>
      <c r="B86" s="32">
        <f t="shared" si="20"/>
        <v>0.45833333333333304</v>
      </c>
      <c r="C86" s="26"/>
      <c r="D86" s="59"/>
      <c r="E86" s="59"/>
      <c r="F86" s="27"/>
      <c r="G86" s="34" t="str">
        <f t="shared" si="18"/>
        <v/>
      </c>
      <c r="H86" s="26"/>
      <c r="I86" s="26"/>
      <c r="J86" s="26"/>
      <c r="K86" s="29"/>
      <c r="L86" s="29"/>
      <c r="M86" s="30" t="str">
        <f t="shared" ca="1" si="19"/>
        <v/>
      </c>
      <c r="N86" s="27"/>
      <c r="O86" s="31"/>
    </row>
    <row r="87" spans="1:15" ht="15" customHeight="1" x14ac:dyDescent="0.25">
      <c r="A87" s="69">
        <v>46207</v>
      </c>
      <c r="B87" s="25">
        <f t="shared" si="20"/>
        <v>0.49999999999999972</v>
      </c>
      <c r="C87" s="26"/>
      <c r="D87" s="59"/>
      <c r="E87" s="59"/>
      <c r="F87" s="27"/>
      <c r="G87" s="28" t="str">
        <f t="shared" si="18"/>
        <v/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 x14ac:dyDescent="0.25">
      <c r="A88" s="70">
        <v>46207</v>
      </c>
      <c r="B88" s="32">
        <f t="shared" si="20"/>
        <v>0.54166666666666641</v>
      </c>
      <c r="C88" s="26"/>
      <c r="D88" s="59"/>
      <c r="E88" s="59"/>
      <c r="F88" s="27"/>
      <c r="G88" s="34" t="str">
        <f t="shared" si="18"/>
        <v/>
      </c>
      <c r="H88" s="26"/>
      <c r="I88" s="26"/>
      <c r="J88" s="26"/>
      <c r="K88" s="29"/>
      <c r="L88" s="29"/>
      <c r="M88" s="30" t="str">
        <f t="shared" ca="1" si="19"/>
        <v/>
      </c>
      <c r="N88" s="27"/>
      <c r="O88" s="31"/>
    </row>
    <row r="89" spans="1:15" ht="15" customHeight="1" x14ac:dyDescent="0.25">
      <c r="A89" s="69">
        <v>46207</v>
      </c>
      <c r="B89" s="25">
        <f t="shared" si="20"/>
        <v>0.58333333333333304</v>
      </c>
      <c r="C89" s="26"/>
      <c r="D89" s="59"/>
      <c r="E89" s="59"/>
      <c r="F89" s="27"/>
      <c r="G89" s="28" t="str">
        <f t="shared" si="18"/>
        <v/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 x14ac:dyDescent="0.25">
      <c r="A90" s="70">
        <v>46207</v>
      </c>
      <c r="B90" s="32">
        <f t="shared" si="20"/>
        <v>0.62499999999999967</v>
      </c>
      <c r="C90" s="26"/>
      <c r="D90" s="59"/>
      <c r="E90" s="59"/>
      <c r="F90" s="27"/>
      <c r="G90" s="34" t="str">
        <f t="shared" si="18"/>
        <v/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 x14ac:dyDescent="0.25">
      <c r="A91" s="69">
        <v>46207</v>
      </c>
      <c r="B91" s="25">
        <f t="shared" si="20"/>
        <v>0.6666666666666663</v>
      </c>
      <c r="C91" s="26"/>
      <c r="D91" s="59"/>
      <c r="E91" s="59"/>
      <c r="F91" s="27"/>
      <c r="G91" s="28" t="str">
        <f t="shared" si="18"/>
        <v/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 x14ac:dyDescent="0.25">
      <c r="A92" s="70">
        <v>46207</v>
      </c>
      <c r="B92" s="32">
        <f t="shared" si="20"/>
        <v>0.70833333333333293</v>
      </c>
      <c r="C92" s="26"/>
      <c r="D92" s="59"/>
      <c r="E92" s="59"/>
      <c r="F92" s="27"/>
      <c r="G92" s="34" t="str">
        <f t="shared" si="18"/>
        <v/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 x14ac:dyDescent="0.25">
      <c r="A93" s="69">
        <v>46207</v>
      </c>
      <c r="B93" s="25">
        <f t="shared" si="20"/>
        <v>0.74999999999999956</v>
      </c>
      <c r="C93" s="26"/>
      <c r="D93" s="59"/>
      <c r="E93" s="59"/>
      <c r="F93" s="27"/>
      <c r="G93" s="28" t="str">
        <f t="shared" si="18"/>
        <v/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 x14ac:dyDescent="0.25">
      <c r="A94" s="70">
        <v>46207</v>
      </c>
      <c r="B94" s="32">
        <f t="shared" si="20"/>
        <v>0.79166666666666619</v>
      </c>
      <c r="C94" s="26"/>
      <c r="D94" s="59"/>
      <c r="E94" s="59"/>
      <c r="F94" s="27"/>
      <c r="G94" s="34" t="str">
        <f t="shared" si="18"/>
        <v/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 x14ac:dyDescent="0.25">
      <c r="A95" s="79" t="s">
        <v>190</v>
      </c>
      <c r="B95" s="80"/>
      <c r="C95" s="80"/>
      <c r="D95" s="80"/>
      <c r="E95" s="81">
        <f>SUM(E83:E94)</f>
        <v>0</v>
      </c>
      <c r="F95" s="36">
        <f>SUM(F83:F94)</f>
        <v>0</v>
      </c>
      <c r="G95" s="36">
        <f>SUM(G83:G94)</f>
        <v>0</v>
      </c>
      <c r="H95" s="37"/>
      <c r="I95" s="37"/>
      <c r="J95" s="37"/>
      <c r="K95" s="37"/>
      <c r="L95" s="37"/>
      <c r="M95" s="38">
        <f ca="1">IFERROR(SUM(M83:M94),"")</f>
        <v>0</v>
      </c>
      <c r="N95" s="36" t="s">
        <v>191</v>
      </c>
      <c r="O95" s="39"/>
    </row>
    <row r="96" spans="1:15" ht="15" customHeight="1" x14ac:dyDescent="0.25">
      <c r="A96" s="70">
        <v>46207</v>
      </c>
      <c r="B96" s="32">
        <v>0.83333333333333304</v>
      </c>
      <c r="C96" s="33"/>
      <c r="D96" s="62"/>
      <c r="E96" s="62"/>
      <c r="F96" s="27"/>
      <c r="G96" s="34" t="str">
        <f t="shared" ref="G96:G107" si="21">IF(F96="","",IF(E96="PC 17",F96*4.2,IF(E96="PC 19",F96*5,"")))</f>
        <v/>
      </c>
      <c r="H96" s="26"/>
      <c r="I96" s="26"/>
      <c r="J96" s="26"/>
      <c r="K96" s="29"/>
      <c r="L96" s="29"/>
      <c r="M96" s="30" t="str">
        <f t="shared" ref="M96:M107" ca="1" si="22">IFERROR(IF(K96="","",IF(L96="",MOD(NOW()-K96,1),IF(L96&gt;=K96,L96-K96,L96+1-K96))),"")</f>
        <v/>
      </c>
      <c r="N96" s="27"/>
      <c r="O96" s="31"/>
    </row>
    <row r="97" spans="1:15" ht="15" customHeight="1" x14ac:dyDescent="0.25">
      <c r="A97" s="69">
        <v>46207</v>
      </c>
      <c r="B97" s="25">
        <f t="shared" ref="B97:B107" si="23">B96+TIME(0,60,0)</f>
        <v>0.87499999999999967</v>
      </c>
      <c r="C97" s="33"/>
      <c r="D97" s="62"/>
      <c r="E97" s="62"/>
      <c r="F97" s="27"/>
      <c r="G97" s="28" t="str">
        <f t="shared" si="21"/>
        <v/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 x14ac:dyDescent="0.25">
      <c r="A98" s="70">
        <v>46207</v>
      </c>
      <c r="B98" s="32">
        <f t="shared" si="23"/>
        <v>0.9166666666666663</v>
      </c>
      <c r="C98" s="33"/>
      <c r="D98" s="62"/>
      <c r="E98" s="62"/>
      <c r="F98" s="27"/>
      <c r="G98" s="34" t="str">
        <f t="shared" si="21"/>
        <v/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 x14ac:dyDescent="0.25">
      <c r="A99" s="69">
        <v>46207</v>
      </c>
      <c r="B99" s="25">
        <f t="shared" si="23"/>
        <v>0.95833333333333293</v>
      </c>
      <c r="C99" s="33"/>
      <c r="D99" s="62"/>
      <c r="E99" s="62"/>
      <c r="F99" s="27"/>
      <c r="G99" s="28" t="str">
        <f t="shared" si="21"/>
        <v/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 x14ac:dyDescent="0.25">
      <c r="A100" s="70">
        <v>46207</v>
      </c>
      <c r="B100" s="32">
        <f t="shared" si="23"/>
        <v>0.99999999999999956</v>
      </c>
      <c r="C100" s="33"/>
      <c r="D100" s="62"/>
      <c r="E100" s="62"/>
      <c r="F100" s="27"/>
      <c r="G100" s="34" t="str">
        <f t="shared" si="21"/>
        <v/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 x14ac:dyDescent="0.25">
      <c r="A101" s="69">
        <v>46207</v>
      </c>
      <c r="B101" s="25">
        <f t="shared" si="23"/>
        <v>1.0416666666666663</v>
      </c>
      <c r="C101" s="33"/>
      <c r="D101" s="62"/>
      <c r="E101" s="62"/>
      <c r="F101" s="27"/>
      <c r="G101" s="28" t="str">
        <f t="shared" si="21"/>
        <v/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 x14ac:dyDescent="0.25">
      <c r="A102" s="70">
        <v>46207</v>
      </c>
      <c r="B102" s="32">
        <f t="shared" si="23"/>
        <v>1.083333333333333</v>
      </c>
      <c r="C102" s="33"/>
      <c r="D102" s="62"/>
      <c r="E102" s="62"/>
      <c r="F102" s="27"/>
      <c r="G102" s="34" t="str">
        <f t="shared" si="21"/>
        <v/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 x14ac:dyDescent="0.25">
      <c r="A103" s="69">
        <v>46207</v>
      </c>
      <c r="B103" s="25">
        <f t="shared" si="23"/>
        <v>1.1249999999999998</v>
      </c>
      <c r="C103" s="33"/>
      <c r="D103" s="62"/>
      <c r="E103" s="62"/>
      <c r="F103" s="27"/>
      <c r="G103" s="28" t="str">
        <f t="shared" si="21"/>
        <v/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 x14ac:dyDescent="0.25">
      <c r="A104" s="70">
        <v>46207</v>
      </c>
      <c r="B104" s="32">
        <f t="shared" si="23"/>
        <v>1.1666666666666665</v>
      </c>
      <c r="C104" s="33"/>
      <c r="D104" s="62"/>
      <c r="E104" s="62"/>
      <c r="F104" s="27"/>
      <c r="G104" s="34" t="str">
        <f t="shared" si="21"/>
        <v/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 x14ac:dyDescent="0.25">
      <c r="A105" s="69">
        <v>46207</v>
      </c>
      <c r="B105" s="25">
        <f t="shared" si="23"/>
        <v>1.2083333333333333</v>
      </c>
      <c r="C105" s="33"/>
      <c r="D105" s="62"/>
      <c r="E105" s="62"/>
      <c r="F105" s="27"/>
      <c r="G105" s="28" t="str">
        <f t="shared" si="21"/>
        <v/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 x14ac:dyDescent="0.25">
      <c r="A106" s="70">
        <v>46207</v>
      </c>
      <c r="B106" s="32">
        <f t="shared" si="23"/>
        <v>1.25</v>
      </c>
      <c r="C106" s="33"/>
      <c r="D106" s="62"/>
      <c r="E106" s="62"/>
      <c r="F106" s="27"/>
      <c r="G106" s="34" t="str">
        <f t="shared" si="21"/>
        <v/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 x14ac:dyDescent="0.25">
      <c r="A107" s="69">
        <v>46207</v>
      </c>
      <c r="B107" s="25">
        <f t="shared" si="23"/>
        <v>1.2916666666666667</v>
      </c>
      <c r="C107" s="33"/>
      <c r="D107" s="62"/>
      <c r="E107" s="62"/>
      <c r="F107" s="27"/>
      <c r="G107" s="28" t="str">
        <f t="shared" si="21"/>
        <v/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 x14ac:dyDescent="0.25">
      <c r="A108" s="79" t="s">
        <v>192</v>
      </c>
      <c r="B108" s="80"/>
      <c r="C108" s="80"/>
      <c r="D108" s="80"/>
      <c r="E108" s="81">
        <f>SUM(E96:E107)</f>
        <v>0</v>
      </c>
      <c r="F108" s="36">
        <f>SUM(F96:F107)</f>
        <v>0</v>
      </c>
      <c r="G108" s="36">
        <f>SUM(G96:G107)</f>
        <v>0</v>
      </c>
      <c r="H108" s="37"/>
      <c r="I108" s="37"/>
      <c r="J108" s="37"/>
      <c r="K108" s="37"/>
      <c r="L108" s="37"/>
      <c r="M108" s="38">
        <f ca="1">IFERROR(SUM(M96:M107),"")</f>
        <v>0</v>
      </c>
      <c r="N108" s="36" t="s">
        <v>191</v>
      </c>
      <c r="O108" s="39"/>
    </row>
    <row r="109" spans="1:15" ht="18" customHeight="1" x14ac:dyDescent="0.25">
      <c r="A109" s="82" t="s">
        <v>193</v>
      </c>
      <c r="B109" s="83"/>
      <c r="C109" s="83"/>
      <c r="D109" s="83"/>
      <c r="E109" s="84">
        <f>E95+E108</f>
        <v>0</v>
      </c>
      <c r="F109" s="40">
        <f>F95+F108</f>
        <v>0</v>
      </c>
      <c r="G109" s="40">
        <f>G95+G108</f>
        <v>0</v>
      </c>
      <c r="H109" s="41"/>
      <c r="I109" s="41"/>
      <c r="J109" s="41"/>
      <c r="K109" s="41"/>
      <c r="L109" s="41"/>
      <c r="M109" s="42">
        <f ca="1">IFERROR(M95+M108,"")</f>
        <v>0</v>
      </c>
      <c r="N109" s="40" t="s">
        <v>194</v>
      </c>
      <c r="O109" s="43">
        <f>IFERROR(O95+O108,"")</f>
        <v>0</v>
      </c>
    </row>
    <row r="110" spans="1:15" ht="15" customHeight="1" x14ac:dyDescent="0.25">
      <c r="A110" s="69">
        <v>46208</v>
      </c>
      <c r="B110" s="25">
        <v>0.33333333333333298</v>
      </c>
      <c r="C110" s="26"/>
      <c r="D110" s="59"/>
      <c r="E110" s="59"/>
      <c r="F110" s="27"/>
      <c r="G110" s="28" t="str">
        <f t="shared" ref="G110:G121" si="24">IF(F110="","",IF(E110="PC 17",F110*4.2,IF(E110="PC 19",F110*5,"")))</f>
        <v/>
      </c>
      <c r="H110" s="26"/>
      <c r="I110" s="26"/>
      <c r="J110" s="26"/>
      <c r="K110" s="29"/>
      <c r="L110" s="29"/>
      <c r="M110" s="30" t="str">
        <f t="shared" ref="M110:M121" ca="1" si="25">IFERROR(IF(K110="","",IF(L110="",MOD(NOW()-K110,1),IF(L110&gt;=K110,L110-K110,L110+1-K110))),"")</f>
        <v/>
      </c>
      <c r="N110" s="27"/>
      <c r="O110" s="31"/>
    </row>
    <row r="111" spans="1:15" ht="15" customHeight="1" x14ac:dyDescent="0.25">
      <c r="A111" s="70">
        <v>46208</v>
      </c>
      <c r="B111" s="32">
        <f t="shared" ref="B111:B121" si="26">B110+TIME(0,60,0)</f>
        <v>0.37499999999999967</v>
      </c>
      <c r="C111" s="26"/>
      <c r="D111" s="59"/>
      <c r="E111" s="59"/>
      <c r="F111" s="27"/>
      <c r="G111" s="34" t="str">
        <f t="shared" si="24"/>
        <v/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 x14ac:dyDescent="0.25">
      <c r="A112" s="69">
        <v>46208</v>
      </c>
      <c r="B112" s="25">
        <f t="shared" si="26"/>
        <v>0.41666666666666635</v>
      </c>
      <c r="C112" s="26"/>
      <c r="D112" s="59"/>
      <c r="E112" s="59"/>
      <c r="F112" s="27"/>
      <c r="G112" s="28" t="str">
        <f t="shared" si="24"/>
        <v/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 x14ac:dyDescent="0.25">
      <c r="A113" s="70">
        <v>46208</v>
      </c>
      <c r="B113" s="32">
        <f t="shared" si="26"/>
        <v>0.45833333333333304</v>
      </c>
      <c r="C113" s="26"/>
      <c r="D113" s="59"/>
      <c r="E113" s="59"/>
      <c r="F113" s="27"/>
      <c r="G113" s="34" t="str">
        <f t="shared" si="24"/>
        <v/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 x14ac:dyDescent="0.25">
      <c r="A114" s="69">
        <v>46208</v>
      </c>
      <c r="B114" s="25">
        <f t="shared" si="26"/>
        <v>0.49999999999999972</v>
      </c>
      <c r="C114" s="26"/>
      <c r="D114" s="59"/>
      <c r="E114" s="59"/>
      <c r="F114" s="27"/>
      <c r="G114" s="28" t="str">
        <f t="shared" si="24"/>
        <v/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 x14ac:dyDescent="0.25">
      <c r="A115" s="70">
        <v>46208</v>
      </c>
      <c r="B115" s="32">
        <f t="shared" si="26"/>
        <v>0.54166666666666641</v>
      </c>
      <c r="C115" s="26"/>
      <c r="D115" s="59"/>
      <c r="E115" s="59"/>
      <c r="F115" s="27"/>
      <c r="G115" s="34" t="str">
        <f t="shared" si="24"/>
        <v/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 x14ac:dyDescent="0.25">
      <c r="A116" s="69">
        <v>46208</v>
      </c>
      <c r="B116" s="25">
        <f t="shared" si="26"/>
        <v>0.58333333333333304</v>
      </c>
      <c r="C116" s="26"/>
      <c r="D116" s="59"/>
      <c r="E116" s="59"/>
      <c r="F116" s="27"/>
      <c r="G116" s="28" t="str">
        <f t="shared" si="24"/>
        <v/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 x14ac:dyDescent="0.25">
      <c r="A117" s="70">
        <v>46208</v>
      </c>
      <c r="B117" s="32">
        <f t="shared" si="26"/>
        <v>0.62499999999999967</v>
      </c>
      <c r="C117" s="26"/>
      <c r="D117" s="59"/>
      <c r="E117" s="59"/>
      <c r="F117" s="27"/>
      <c r="G117" s="34" t="str">
        <f t="shared" si="24"/>
        <v/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 x14ac:dyDescent="0.25">
      <c r="A118" s="69">
        <v>46208</v>
      </c>
      <c r="B118" s="25">
        <f t="shared" si="26"/>
        <v>0.6666666666666663</v>
      </c>
      <c r="C118" s="26"/>
      <c r="D118" s="59"/>
      <c r="E118" s="59"/>
      <c r="F118" s="27"/>
      <c r="G118" s="28" t="str">
        <f t="shared" si="24"/>
        <v/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 x14ac:dyDescent="0.25">
      <c r="A119" s="70">
        <v>46208</v>
      </c>
      <c r="B119" s="32">
        <f t="shared" si="26"/>
        <v>0.70833333333333293</v>
      </c>
      <c r="C119" s="26"/>
      <c r="D119" s="59"/>
      <c r="E119" s="59"/>
      <c r="F119" s="27"/>
      <c r="G119" s="34" t="str">
        <f t="shared" si="24"/>
        <v/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 x14ac:dyDescent="0.25">
      <c r="A120" s="69">
        <v>46208</v>
      </c>
      <c r="B120" s="25">
        <f t="shared" si="26"/>
        <v>0.74999999999999956</v>
      </c>
      <c r="C120" s="26"/>
      <c r="D120" s="59"/>
      <c r="E120" s="59"/>
      <c r="F120" s="27"/>
      <c r="G120" s="28" t="str">
        <f t="shared" si="24"/>
        <v/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 x14ac:dyDescent="0.25">
      <c r="A121" s="70">
        <v>46208</v>
      </c>
      <c r="B121" s="32">
        <f t="shared" si="26"/>
        <v>0.79166666666666619</v>
      </c>
      <c r="C121" s="26"/>
      <c r="D121" s="59"/>
      <c r="E121" s="59"/>
      <c r="F121" s="27"/>
      <c r="G121" s="34" t="str">
        <f t="shared" si="24"/>
        <v/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 x14ac:dyDescent="0.25">
      <c r="A122" s="79" t="s">
        <v>190</v>
      </c>
      <c r="B122" s="80"/>
      <c r="C122" s="80"/>
      <c r="D122" s="80"/>
      <c r="E122" s="81">
        <f>SUM(E110:E121)</f>
        <v>0</v>
      </c>
      <c r="F122" s="36">
        <f>SUM(F110:F121)</f>
        <v>0</v>
      </c>
      <c r="G122" s="36">
        <f>SUM(G110:G121)</f>
        <v>0</v>
      </c>
      <c r="H122" s="37"/>
      <c r="I122" s="37"/>
      <c r="J122" s="37"/>
      <c r="K122" s="37"/>
      <c r="L122" s="37"/>
      <c r="M122" s="38">
        <f ca="1">IFERROR(SUM(M110:M121),"")</f>
        <v>0</v>
      </c>
      <c r="N122" s="36" t="s">
        <v>191</v>
      </c>
      <c r="O122" s="39"/>
    </row>
    <row r="123" spans="1:15" ht="15" customHeight="1" x14ac:dyDescent="0.25">
      <c r="A123" s="70">
        <v>46208</v>
      </c>
      <c r="B123" s="32">
        <v>0.83333333333333304</v>
      </c>
      <c r="C123" s="33"/>
      <c r="D123" s="62"/>
      <c r="E123" s="62"/>
      <c r="F123" s="27"/>
      <c r="G123" s="34" t="str">
        <f t="shared" ref="G123:G134" si="27">IF(F123="","",IF(E123="PC 17",F123*4.2,IF(E123="PC 19",F123*5,"")))</f>
        <v/>
      </c>
      <c r="H123" s="33"/>
      <c r="I123" s="33"/>
      <c r="J123" s="33"/>
      <c r="K123" s="29"/>
      <c r="L123" s="29"/>
      <c r="M123" s="35" t="str">
        <f t="shared" ref="M123:M134" ca="1" si="28">IFERROR(IF(K123="","",IF(L123="",MOD(NOW()-K123,1),IF(L123&gt;=K123,L123-K123,L123+1-K123))),"")</f>
        <v/>
      </c>
      <c r="N123" s="27"/>
      <c r="O123" s="31"/>
    </row>
    <row r="124" spans="1:15" ht="15" customHeight="1" x14ac:dyDescent="0.25">
      <c r="A124" s="69">
        <v>46208</v>
      </c>
      <c r="B124" s="25">
        <f t="shared" ref="B124:B134" si="29">B123+TIME(0,60,0)</f>
        <v>0.87499999999999967</v>
      </c>
      <c r="C124" s="33"/>
      <c r="D124" s="62"/>
      <c r="E124" s="62"/>
      <c r="F124" s="27"/>
      <c r="G124" s="28" t="str">
        <f t="shared" si="27"/>
        <v/>
      </c>
      <c r="H124" s="26"/>
      <c r="I124" s="26"/>
      <c r="J124" s="26"/>
      <c r="K124" s="29"/>
      <c r="L124" s="29"/>
      <c r="M124" s="30" t="str">
        <f t="shared" ca="1" si="28"/>
        <v/>
      </c>
      <c r="N124" s="27"/>
      <c r="O124" s="31"/>
    </row>
    <row r="125" spans="1:15" ht="15" customHeight="1" x14ac:dyDescent="0.25">
      <c r="A125" s="70">
        <v>46208</v>
      </c>
      <c r="B125" s="32">
        <f t="shared" si="29"/>
        <v>0.9166666666666663</v>
      </c>
      <c r="C125" s="33"/>
      <c r="D125" s="62"/>
      <c r="E125" s="62"/>
      <c r="F125" s="27"/>
      <c r="G125" s="34" t="str">
        <f t="shared" si="27"/>
        <v/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 x14ac:dyDescent="0.25">
      <c r="A126" s="69">
        <v>46208</v>
      </c>
      <c r="B126" s="25">
        <f t="shared" si="29"/>
        <v>0.95833333333333293</v>
      </c>
      <c r="C126" s="33"/>
      <c r="D126" s="62"/>
      <c r="E126" s="62"/>
      <c r="F126" s="27"/>
      <c r="G126" s="28" t="str">
        <f t="shared" si="27"/>
        <v/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 x14ac:dyDescent="0.25">
      <c r="A127" s="70">
        <v>46208</v>
      </c>
      <c r="B127" s="32">
        <f t="shared" si="29"/>
        <v>0.99999999999999956</v>
      </c>
      <c r="C127" s="33"/>
      <c r="D127" s="62"/>
      <c r="E127" s="62"/>
      <c r="F127" s="27"/>
      <c r="G127" s="34" t="str">
        <f t="shared" si="27"/>
        <v/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 x14ac:dyDescent="0.25">
      <c r="A128" s="69">
        <v>46208</v>
      </c>
      <c r="B128" s="25">
        <f t="shared" si="29"/>
        <v>1.0416666666666663</v>
      </c>
      <c r="C128" s="33"/>
      <c r="D128" s="62"/>
      <c r="E128" s="62"/>
      <c r="F128" s="27"/>
      <c r="G128" s="28" t="str">
        <f t="shared" si="27"/>
        <v/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 x14ac:dyDescent="0.25">
      <c r="A129" s="70">
        <v>46208</v>
      </c>
      <c r="B129" s="32">
        <f t="shared" si="29"/>
        <v>1.083333333333333</v>
      </c>
      <c r="C129" s="33"/>
      <c r="D129" s="62"/>
      <c r="E129" s="62"/>
      <c r="F129" s="27"/>
      <c r="G129" s="34" t="str">
        <f t="shared" si="27"/>
        <v/>
      </c>
      <c r="H129" s="33"/>
      <c r="I129" s="33"/>
      <c r="J129" s="33"/>
      <c r="K129" s="29"/>
      <c r="L129" s="29"/>
      <c r="M129" s="35" t="str">
        <f t="shared" ca="1" si="28"/>
        <v/>
      </c>
      <c r="N129" s="27"/>
      <c r="O129" s="31"/>
    </row>
    <row r="130" spans="1:15" ht="15" customHeight="1" x14ac:dyDescent="0.25">
      <c r="A130" s="69">
        <v>46208</v>
      </c>
      <c r="B130" s="25">
        <f t="shared" si="29"/>
        <v>1.1249999999999998</v>
      </c>
      <c r="C130" s="33"/>
      <c r="D130" s="62"/>
      <c r="E130" s="62"/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 x14ac:dyDescent="0.25">
      <c r="A131" s="70">
        <v>46208</v>
      </c>
      <c r="B131" s="32">
        <f t="shared" si="29"/>
        <v>1.1666666666666665</v>
      </c>
      <c r="C131" s="33"/>
      <c r="D131" s="62"/>
      <c r="E131" s="62"/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 x14ac:dyDescent="0.25">
      <c r="A132" s="69">
        <v>46208</v>
      </c>
      <c r="B132" s="25">
        <f t="shared" si="29"/>
        <v>1.2083333333333333</v>
      </c>
      <c r="C132" s="33"/>
      <c r="D132" s="62"/>
      <c r="E132" s="62"/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 x14ac:dyDescent="0.25">
      <c r="A133" s="70">
        <v>46208</v>
      </c>
      <c r="B133" s="32">
        <f t="shared" si="29"/>
        <v>1.25</v>
      </c>
      <c r="C133" s="33"/>
      <c r="D133" s="62"/>
      <c r="E133" s="62"/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 x14ac:dyDescent="0.25">
      <c r="A134" s="69">
        <v>46208</v>
      </c>
      <c r="B134" s="25">
        <f t="shared" si="29"/>
        <v>1.2916666666666667</v>
      </c>
      <c r="C134" s="33"/>
      <c r="D134" s="62"/>
      <c r="E134" s="62"/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 x14ac:dyDescent="0.25">
      <c r="A135" s="79" t="s">
        <v>192</v>
      </c>
      <c r="B135" s="80"/>
      <c r="C135" s="80"/>
      <c r="D135" s="80"/>
      <c r="E135" s="81">
        <f>SUM(E123:E134)</f>
        <v>0</v>
      </c>
      <c r="F135" s="36">
        <f>SUM(F123:F134)</f>
        <v>0</v>
      </c>
      <c r="G135" s="36">
        <f>SUM(G123:G134)</f>
        <v>0</v>
      </c>
      <c r="H135" s="37"/>
      <c r="I135" s="37"/>
      <c r="J135" s="37"/>
      <c r="K135" s="37"/>
      <c r="L135" s="37"/>
      <c r="M135" s="38">
        <f ca="1">IFERROR(SUM(M123:M134),"")</f>
        <v>0</v>
      </c>
      <c r="N135" s="36" t="s">
        <v>191</v>
      </c>
      <c r="O135" s="39"/>
    </row>
    <row r="136" spans="1:15" ht="18" customHeight="1" x14ac:dyDescent="0.25">
      <c r="A136" s="82" t="s">
        <v>193</v>
      </c>
      <c r="B136" s="83"/>
      <c r="C136" s="83"/>
      <c r="D136" s="83"/>
      <c r="E136" s="84">
        <f>E122+E135</f>
        <v>0</v>
      </c>
      <c r="F136" s="40">
        <f>F122+F135</f>
        <v>0</v>
      </c>
      <c r="G136" s="40">
        <f>G122+G135</f>
        <v>0</v>
      </c>
      <c r="H136" s="41"/>
      <c r="I136" s="41"/>
      <c r="J136" s="41"/>
      <c r="K136" s="41"/>
      <c r="L136" s="41"/>
      <c r="M136" s="42">
        <f ca="1">IFERROR(M122+M135,"")</f>
        <v>0</v>
      </c>
      <c r="N136" s="40" t="s">
        <v>194</v>
      </c>
      <c r="O136" s="43">
        <f>IFERROR(O122+O135,"")</f>
        <v>0</v>
      </c>
    </row>
    <row r="137" spans="1:15" ht="15" customHeight="1" x14ac:dyDescent="0.25">
      <c r="A137" s="70">
        <v>46209</v>
      </c>
      <c r="B137" s="32">
        <v>0.33333333333333298</v>
      </c>
      <c r="C137" s="33"/>
      <c r="D137" s="62"/>
      <c r="E137" s="62"/>
      <c r="F137" s="27"/>
      <c r="G137" s="34" t="str">
        <f t="shared" ref="G137:G148" si="30">IF(F137="","",IF(E137="PC 17",F137*4.2,IF(E137="PC 19",F137*5,"")))</f>
        <v/>
      </c>
      <c r="H137" s="33"/>
      <c r="I137" s="33"/>
      <c r="J137" s="33"/>
      <c r="K137" s="29"/>
      <c r="L137" s="29"/>
      <c r="M137" s="35" t="str">
        <f t="shared" ref="M137:M148" ca="1" si="31">IFERROR(IF(K137="","",IF(L137="",MOD(NOW()-K137,1),IF(L137&gt;=K137,L137-K137,L137+1-K137))),"")</f>
        <v/>
      </c>
      <c r="N137" s="27"/>
      <c r="O137" s="31"/>
    </row>
    <row r="138" spans="1:15" ht="15" customHeight="1" x14ac:dyDescent="0.25">
      <c r="A138" s="69">
        <v>46209</v>
      </c>
      <c r="B138" s="25">
        <f t="shared" ref="B138:B148" si="32">B137+TIME(0,60,0)</f>
        <v>0.37499999999999967</v>
      </c>
      <c r="C138" s="33"/>
      <c r="D138" s="62"/>
      <c r="E138" s="62"/>
      <c r="F138" s="27"/>
      <c r="G138" s="28" t="str">
        <f t="shared" si="30"/>
        <v/>
      </c>
      <c r="H138" s="26"/>
      <c r="I138" s="26"/>
      <c r="J138" s="26"/>
      <c r="K138" s="29"/>
      <c r="L138" s="29"/>
      <c r="M138" s="30" t="str">
        <f t="shared" ca="1" si="31"/>
        <v/>
      </c>
      <c r="N138" s="27"/>
      <c r="O138" s="31"/>
    </row>
    <row r="139" spans="1:15" ht="15" customHeight="1" x14ac:dyDescent="0.25">
      <c r="A139" s="70">
        <v>46209</v>
      </c>
      <c r="B139" s="32">
        <f t="shared" si="32"/>
        <v>0.41666666666666635</v>
      </c>
      <c r="C139" s="33"/>
      <c r="D139" s="62"/>
      <c r="E139" s="62"/>
      <c r="F139" s="27"/>
      <c r="G139" s="34" t="str">
        <f t="shared" si="30"/>
        <v/>
      </c>
      <c r="H139" s="33"/>
      <c r="I139" s="33"/>
      <c r="J139" s="33"/>
      <c r="K139" s="29"/>
      <c r="L139" s="29"/>
      <c r="M139" s="35" t="str">
        <f t="shared" ca="1" si="31"/>
        <v/>
      </c>
      <c r="N139" s="27"/>
      <c r="O139" s="31"/>
    </row>
    <row r="140" spans="1:15" ht="15" customHeight="1" x14ac:dyDescent="0.25">
      <c r="A140" s="69">
        <v>46209</v>
      </c>
      <c r="B140" s="25">
        <f t="shared" si="32"/>
        <v>0.45833333333333304</v>
      </c>
      <c r="C140" s="33"/>
      <c r="D140" s="62"/>
      <c r="E140" s="62"/>
      <c r="F140" s="27"/>
      <c r="G140" s="28" t="str">
        <f t="shared" si="30"/>
        <v/>
      </c>
      <c r="H140" s="26"/>
      <c r="I140" s="26"/>
      <c r="J140" s="26"/>
      <c r="K140" s="29"/>
      <c r="L140" s="29"/>
      <c r="M140" s="30" t="str">
        <f t="shared" ca="1" si="31"/>
        <v/>
      </c>
      <c r="N140" s="27"/>
      <c r="O140" s="31"/>
    </row>
    <row r="141" spans="1:15" ht="15" customHeight="1" x14ac:dyDescent="0.25">
      <c r="A141" s="70">
        <v>46209</v>
      </c>
      <c r="B141" s="32">
        <f t="shared" si="32"/>
        <v>0.49999999999999972</v>
      </c>
      <c r="C141" s="33"/>
      <c r="D141" s="62"/>
      <c r="E141" s="62"/>
      <c r="F141" s="27"/>
      <c r="G141" s="34" t="str">
        <f t="shared" si="30"/>
        <v/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5" ht="15" customHeight="1" x14ac:dyDescent="0.25">
      <c r="A142" s="69">
        <v>46209</v>
      </c>
      <c r="B142" s="25">
        <f t="shared" si="32"/>
        <v>0.54166666666666641</v>
      </c>
      <c r="C142" s="33"/>
      <c r="D142" s="62"/>
      <c r="E142" s="62"/>
      <c r="F142" s="27"/>
      <c r="G142" s="28" t="str">
        <f t="shared" si="30"/>
        <v/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 x14ac:dyDescent="0.25">
      <c r="A143" s="70">
        <v>46209</v>
      </c>
      <c r="B143" s="32">
        <f t="shared" si="32"/>
        <v>0.58333333333333304</v>
      </c>
      <c r="C143" s="33"/>
      <c r="D143" s="62"/>
      <c r="E143" s="62"/>
      <c r="F143" s="27"/>
      <c r="G143" s="34" t="str">
        <f t="shared" si="30"/>
        <v/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 x14ac:dyDescent="0.25">
      <c r="A144" s="69">
        <v>46209</v>
      </c>
      <c r="B144" s="25">
        <f t="shared" si="32"/>
        <v>0.62499999999999967</v>
      </c>
      <c r="C144" s="33"/>
      <c r="D144" s="62"/>
      <c r="E144" s="62"/>
      <c r="F144" s="27"/>
      <c r="G144" s="28" t="str">
        <f t="shared" si="30"/>
        <v/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 x14ac:dyDescent="0.25">
      <c r="A145" s="70">
        <v>46209</v>
      </c>
      <c r="B145" s="32">
        <f t="shared" si="32"/>
        <v>0.6666666666666663</v>
      </c>
      <c r="C145" s="33"/>
      <c r="D145" s="62"/>
      <c r="E145" s="62"/>
      <c r="F145" s="27"/>
      <c r="G145" s="34" t="str">
        <f t="shared" si="30"/>
        <v/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 x14ac:dyDescent="0.25">
      <c r="A146" s="69">
        <v>46209</v>
      </c>
      <c r="B146" s="25">
        <f t="shared" si="32"/>
        <v>0.70833333333333293</v>
      </c>
      <c r="C146" s="33"/>
      <c r="D146" s="62"/>
      <c r="E146" s="62"/>
      <c r="F146" s="27"/>
      <c r="G146" s="28" t="str">
        <f t="shared" si="30"/>
        <v/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 x14ac:dyDescent="0.25">
      <c r="A147" s="70">
        <v>46209</v>
      </c>
      <c r="B147" s="32">
        <f t="shared" si="32"/>
        <v>0.74999999999999956</v>
      </c>
      <c r="C147" s="33"/>
      <c r="D147" s="62"/>
      <c r="E147" s="62"/>
      <c r="F147" s="27"/>
      <c r="G147" s="34" t="str">
        <f t="shared" si="30"/>
        <v/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 x14ac:dyDescent="0.25">
      <c r="A148" s="69">
        <v>46209</v>
      </c>
      <c r="B148" s="25">
        <f t="shared" si="32"/>
        <v>0.79166666666666619</v>
      </c>
      <c r="C148" s="33"/>
      <c r="D148" s="62"/>
      <c r="E148" s="62"/>
      <c r="F148" s="27"/>
      <c r="G148" s="28" t="str">
        <f t="shared" si="30"/>
        <v/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 x14ac:dyDescent="0.25">
      <c r="A149" s="79" t="s">
        <v>190</v>
      </c>
      <c r="B149" s="80"/>
      <c r="C149" s="80"/>
      <c r="D149" s="80"/>
      <c r="E149" s="81">
        <f>SUM(E137:E148)</f>
        <v>0</v>
      </c>
      <c r="F149" s="36">
        <f>SUM(F137:F148)</f>
        <v>0</v>
      </c>
      <c r="G149" s="36">
        <f>SUM(G137:G148)</f>
        <v>0</v>
      </c>
      <c r="H149" s="37"/>
      <c r="I149" s="37"/>
      <c r="J149" s="37"/>
      <c r="K149" s="37"/>
      <c r="L149" s="37"/>
      <c r="M149" s="38">
        <f ca="1">IFERROR(SUM(M137:M148),"")</f>
        <v>0</v>
      </c>
      <c r="N149" s="36" t="s">
        <v>191</v>
      </c>
      <c r="O149" s="39"/>
    </row>
    <row r="150" spans="1:15" ht="15" customHeight="1" x14ac:dyDescent="0.25">
      <c r="A150" s="69">
        <v>46209</v>
      </c>
      <c r="B150" s="25">
        <v>0.83333333333333304</v>
      </c>
      <c r="C150" s="26"/>
      <c r="D150" s="59"/>
      <c r="E150" s="59"/>
      <c r="F150" s="27"/>
      <c r="G150" s="28" t="str">
        <f t="shared" ref="G150:G161" si="33">IF(F150="","",IF(E150="PC 17",F150*4.2,IF(E150="PC 19",F150*5,"")))</f>
        <v/>
      </c>
      <c r="H150" s="26"/>
      <c r="I150" s="26"/>
      <c r="J150" s="26"/>
      <c r="K150" s="29"/>
      <c r="L150" s="29"/>
      <c r="M150" s="30" t="str">
        <f t="shared" ref="M150:M161" ca="1" si="34">IFERROR(IF(K150="","",IF(L150="",MOD(NOW()-K150,1),IF(L150&gt;=K150,L150-K150,L150+1-K150))),"")</f>
        <v/>
      </c>
      <c r="N150" s="27"/>
      <c r="O150" s="31"/>
    </row>
    <row r="151" spans="1:15" ht="15" customHeight="1" x14ac:dyDescent="0.25">
      <c r="A151" s="70">
        <v>46209</v>
      </c>
      <c r="B151" s="32">
        <f t="shared" ref="B151:B161" si="35">B150+TIME(0,60,0)</f>
        <v>0.87499999999999967</v>
      </c>
      <c r="C151" s="26"/>
      <c r="D151" s="59"/>
      <c r="E151" s="59"/>
      <c r="F151" s="27"/>
      <c r="G151" s="34" t="str">
        <f t="shared" si="33"/>
        <v/>
      </c>
      <c r="H151" s="33"/>
      <c r="I151" s="33"/>
      <c r="J151" s="33"/>
      <c r="K151" s="29"/>
      <c r="L151" s="29"/>
      <c r="M151" s="35" t="str">
        <f t="shared" ca="1" si="34"/>
        <v/>
      </c>
      <c r="N151" s="27"/>
      <c r="O151" s="31"/>
    </row>
    <row r="152" spans="1:15" ht="15" customHeight="1" x14ac:dyDescent="0.25">
      <c r="A152" s="69">
        <v>46209</v>
      </c>
      <c r="B152" s="25">
        <f t="shared" si="35"/>
        <v>0.9166666666666663</v>
      </c>
      <c r="C152" s="26"/>
      <c r="D152" s="59"/>
      <c r="E152" s="59"/>
      <c r="F152" s="27"/>
      <c r="G152" s="28" t="str">
        <f t="shared" si="33"/>
        <v/>
      </c>
      <c r="H152" s="26"/>
      <c r="I152" s="26"/>
      <c r="J152" s="26"/>
      <c r="K152" s="29"/>
      <c r="L152" s="29"/>
      <c r="M152" s="30" t="str">
        <f t="shared" ca="1" si="34"/>
        <v/>
      </c>
      <c r="N152" s="27"/>
      <c r="O152" s="31"/>
    </row>
    <row r="153" spans="1:15" ht="15" customHeight="1" x14ac:dyDescent="0.25">
      <c r="A153" s="70">
        <v>46209</v>
      </c>
      <c r="B153" s="32">
        <f t="shared" si="35"/>
        <v>0.95833333333333293</v>
      </c>
      <c r="C153" s="26"/>
      <c r="D153" s="59"/>
      <c r="E153" s="59"/>
      <c r="F153" s="27"/>
      <c r="G153" s="34" t="str">
        <f t="shared" si="33"/>
        <v/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 x14ac:dyDescent="0.25">
      <c r="A154" s="69">
        <v>46209</v>
      </c>
      <c r="B154" s="25">
        <f t="shared" si="35"/>
        <v>0.99999999999999956</v>
      </c>
      <c r="C154" s="26"/>
      <c r="D154" s="59"/>
      <c r="E154" s="59"/>
      <c r="F154" s="27"/>
      <c r="G154" s="28" t="str">
        <f t="shared" si="33"/>
        <v/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 x14ac:dyDescent="0.25">
      <c r="A155" s="70">
        <v>46209</v>
      </c>
      <c r="B155" s="32">
        <f t="shared" si="35"/>
        <v>1.0416666666666663</v>
      </c>
      <c r="C155" s="26"/>
      <c r="D155" s="59"/>
      <c r="E155" s="59"/>
      <c r="F155" s="27"/>
      <c r="G155" s="34" t="str">
        <f t="shared" si="33"/>
        <v/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 x14ac:dyDescent="0.25">
      <c r="A156" s="69">
        <v>46209</v>
      </c>
      <c r="B156" s="25">
        <f t="shared" si="35"/>
        <v>1.083333333333333</v>
      </c>
      <c r="C156" s="26"/>
      <c r="D156" s="59"/>
      <c r="E156" s="59"/>
      <c r="F156" s="27"/>
      <c r="G156" s="28" t="str">
        <f t="shared" si="33"/>
        <v/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 x14ac:dyDescent="0.25">
      <c r="A157" s="70">
        <v>46209</v>
      </c>
      <c r="B157" s="32">
        <f t="shared" si="35"/>
        <v>1.1249999999999998</v>
      </c>
      <c r="C157" s="26"/>
      <c r="D157" s="59"/>
      <c r="E157" s="59"/>
      <c r="F157" s="27"/>
      <c r="G157" s="34" t="str">
        <f t="shared" si="33"/>
        <v/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 x14ac:dyDescent="0.25">
      <c r="A158" s="69">
        <v>46209</v>
      </c>
      <c r="B158" s="25">
        <f t="shared" si="35"/>
        <v>1.1666666666666665</v>
      </c>
      <c r="C158" s="26"/>
      <c r="D158" s="59"/>
      <c r="E158" s="59"/>
      <c r="F158" s="27"/>
      <c r="G158" s="28" t="str">
        <f t="shared" si="33"/>
        <v/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 x14ac:dyDescent="0.25">
      <c r="A159" s="70">
        <v>46209</v>
      </c>
      <c r="B159" s="32">
        <f t="shared" si="35"/>
        <v>1.2083333333333333</v>
      </c>
      <c r="C159" s="26"/>
      <c r="D159" s="59"/>
      <c r="E159" s="59"/>
      <c r="F159" s="27"/>
      <c r="G159" s="34" t="str">
        <f t="shared" si="33"/>
        <v/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 x14ac:dyDescent="0.25">
      <c r="A160" s="69">
        <v>46209</v>
      </c>
      <c r="B160" s="25">
        <f t="shared" si="35"/>
        <v>1.25</v>
      </c>
      <c r="C160" s="26"/>
      <c r="D160" s="59"/>
      <c r="E160" s="59"/>
      <c r="F160" s="27"/>
      <c r="G160" s="28" t="str">
        <f t="shared" si="33"/>
        <v/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 x14ac:dyDescent="0.25">
      <c r="A161" s="70">
        <v>46209</v>
      </c>
      <c r="B161" s="32">
        <f t="shared" si="35"/>
        <v>1.2916666666666667</v>
      </c>
      <c r="C161" s="26"/>
      <c r="D161" s="59"/>
      <c r="E161" s="59"/>
      <c r="F161" s="27"/>
      <c r="G161" s="34" t="str">
        <f t="shared" si="33"/>
        <v/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 x14ac:dyDescent="0.25">
      <c r="A162" s="79" t="s">
        <v>192</v>
      </c>
      <c r="B162" s="80"/>
      <c r="C162" s="80"/>
      <c r="D162" s="80"/>
      <c r="E162" s="81">
        <f>SUM(E150:E161)</f>
        <v>0</v>
      </c>
      <c r="F162" s="36">
        <f>SUM(F150:F161)</f>
        <v>0</v>
      </c>
      <c r="G162" s="36">
        <f>SUM(G150:G161)</f>
        <v>0</v>
      </c>
      <c r="H162" s="37"/>
      <c r="I162" s="37"/>
      <c r="J162" s="37"/>
      <c r="K162" s="37"/>
      <c r="L162" s="37"/>
      <c r="M162" s="38">
        <f ca="1">IFERROR(SUM(M150:M161),"")</f>
        <v>0</v>
      </c>
      <c r="N162" s="36" t="s">
        <v>191</v>
      </c>
      <c r="O162" s="39"/>
    </row>
    <row r="163" spans="1:15" ht="18" customHeight="1" x14ac:dyDescent="0.25">
      <c r="A163" s="82" t="s">
        <v>193</v>
      </c>
      <c r="B163" s="83"/>
      <c r="C163" s="83"/>
      <c r="D163" s="83"/>
      <c r="E163" s="84">
        <f>E149+E162</f>
        <v>0</v>
      </c>
      <c r="F163" s="40">
        <f>F149+F162</f>
        <v>0</v>
      </c>
      <c r="G163" s="40">
        <f>G149+G162</f>
        <v>0</v>
      </c>
      <c r="H163" s="41"/>
      <c r="I163" s="41"/>
      <c r="J163" s="41"/>
      <c r="K163" s="41"/>
      <c r="L163" s="41"/>
      <c r="M163" s="42">
        <f ca="1">IFERROR(M149+M162,"")</f>
        <v>0</v>
      </c>
      <c r="N163" s="40" t="s">
        <v>194</v>
      </c>
      <c r="O163" s="43">
        <f>IFERROR(O149+O162,"")</f>
        <v>0</v>
      </c>
    </row>
    <row r="164" spans="1:15" ht="15" customHeight="1" x14ac:dyDescent="0.25">
      <c r="A164" s="69">
        <v>46210</v>
      </c>
      <c r="B164" s="25">
        <v>0.33333333333333298</v>
      </c>
      <c r="C164" s="26"/>
      <c r="D164" s="59"/>
      <c r="E164" s="59"/>
      <c r="F164" s="27"/>
      <c r="G164" s="28" t="str">
        <f t="shared" ref="G164:G175" si="36">IF(F164="","",IF(E164="PC 17",F164*4.2,IF(E164="PC 19",F164*5,"")))</f>
        <v/>
      </c>
      <c r="H164" s="26"/>
      <c r="I164" s="26"/>
      <c r="J164" s="26"/>
      <c r="K164" s="29"/>
      <c r="L164" s="29"/>
      <c r="M164" s="30" t="str">
        <f t="shared" ref="M164:M175" ca="1" si="37">IFERROR(IF(K164="","",IF(L164="",MOD(NOW()-K164,1),IF(L164&gt;=K164,L164-K164,L164+1-K164))),"")</f>
        <v/>
      </c>
      <c r="N164" s="27"/>
      <c r="O164" s="31"/>
    </row>
    <row r="165" spans="1:15" ht="15" customHeight="1" x14ac:dyDescent="0.25">
      <c r="A165" s="70">
        <v>46210</v>
      </c>
      <c r="B165" s="32">
        <f t="shared" ref="B165:B175" si="38">B164+TIME(0,60,0)</f>
        <v>0.37499999999999967</v>
      </c>
      <c r="C165" s="33"/>
      <c r="D165" s="62"/>
      <c r="E165" s="62"/>
      <c r="F165" s="27"/>
      <c r="G165" s="34" t="str">
        <f t="shared" si="36"/>
        <v/>
      </c>
      <c r="H165" s="33"/>
      <c r="I165" s="33"/>
      <c r="J165" s="33"/>
      <c r="K165" s="29"/>
      <c r="L165" s="29"/>
      <c r="M165" s="35" t="str">
        <f t="shared" ca="1" si="37"/>
        <v/>
      </c>
      <c r="N165" s="27"/>
      <c r="O165" s="31"/>
    </row>
    <row r="166" spans="1:15" ht="15" customHeight="1" x14ac:dyDescent="0.25">
      <c r="A166" s="69">
        <v>46210</v>
      </c>
      <c r="B166" s="25">
        <f t="shared" si="38"/>
        <v>0.41666666666666635</v>
      </c>
      <c r="C166" s="26"/>
      <c r="D166" s="59"/>
      <c r="E166" s="59"/>
      <c r="F166" s="27"/>
      <c r="G166" s="28" t="str">
        <f t="shared" si="36"/>
        <v/>
      </c>
      <c r="H166" s="26"/>
      <c r="I166" s="26"/>
      <c r="J166" s="26"/>
      <c r="K166" s="29"/>
      <c r="L166" s="29"/>
      <c r="M166" s="30" t="str">
        <f t="shared" ca="1" si="37"/>
        <v/>
      </c>
      <c r="N166" s="27"/>
      <c r="O166" s="31"/>
    </row>
    <row r="167" spans="1:15" ht="15" customHeight="1" x14ac:dyDescent="0.25">
      <c r="A167" s="70">
        <v>46210</v>
      </c>
      <c r="B167" s="32">
        <f t="shared" si="38"/>
        <v>0.45833333333333304</v>
      </c>
      <c r="C167" s="33"/>
      <c r="D167" s="62"/>
      <c r="E167" s="62"/>
      <c r="F167" s="27"/>
      <c r="G167" s="34" t="str">
        <f t="shared" si="36"/>
        <v/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 x14ac:dyDescent="0.25">
      <c r="A168" s="69">
        <v>46210</v>
      </c>
      <c r="B168" s="25">
        <f t="shared" si="38"/>
        <v>0.49999999999999972</v>
      </c>
      <c r="C168" s="26"/>
      <c r="D168" s="59"/>
      <c r="E168" s="59"/>
      <c r="F168" s="27"/>
      <c r="G168" s="28" t="str">
        <f t="shared" si="36"/>
        <v/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 x14ac:dyDescent="0.25">
      <c r="A169" s="70">
        <v>46210</v>
      </c>
      <c r="B169" s="32">
        <f t="shared" si="38"/>
        <v>0.54166666666666641</v>
      </c>
      <c r="C169" s="33"/>
      <c r="D169" s="62"/>
      <c r="E169" s="62"/>
      <c r="F169" s="27"/>
      <c r="G169" s="34" t="str">
        <f t="shared" si="36"/>
        <v/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 x14ac:dyDescent="0.25">
      <c r="A170" s="69">
        <v>46210</v>
      </c>
      <c r="B170" s="25">
        <f t="shared" si="38"/>
        <v>0.58333333333333304</v>
      </c>
      <c r="C170" s="26"/>
      <c r="D170" s="59"/>
      <c r="E170" s="59"/>
      <c r="F170" s="27"/>
      <c r="G170" s="28" t="str">
        <f t="shared" si="36"/>
        <v/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 x14ac:dyDescent="0.25">
      <c r="A171" s="70">
        <v>46210</v>
      </c>
      <c r="B171" s="32">
        <f t="shared" si="38"/>
        <v>0.62499999999999967</v>
      </c>
      <c r="C171" s="33"/>
      <c r="D171" s="62"/>
      <c r="E171" s="62"/>
      <c r="F171" s="27"/>
      <c r="G171" s="34" t="str">
        <f t="shared" si="36"/>
        <v/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 x14ac:dyDescent="0.25">
      <c r="A172" s="69">
        <v>46210</v>
      </c>
      <c r="B172" s="25">
        <f t="shared" si="38"/>
        <v>0.6666666666666663</v>
      </c>
      <c r="C172" s="26"/>
      <c r="D172" s="59"/>
      <c r="E172" s="59"/>
      <c r="F172" s="27"/>
      <c r="G172" s="28" t="str">
        <f t="shared" si="36"/>
        <v/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 x14ac:dyDescent="0.25">
      <c r="A173" s="70">
        <v>46210</v>
      </c>
      <c r="B173" s="32">
        <f t="shared" si="38"/>
        <v>0.70833333333333293</v>
      </c>
      <c r="C173" s="33"/>
      <c r="D173" s="62"/>
      <c r="E173" s="62"/>
      <c r="F173" s="27"/>
      <c r="G173" s="34" t="str">
        <f t="shared" si="36"/>
        <v/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 x14ac:dyDescent="0.25">
      <c r="A174" s="69">
        <v>46210</v>
      </c>
      <c r="B174" s="25">
        <f t="shared" si="38"/>
        <v>0.74999999999999956</v>
      </c>
      <c r="C174" s="26"/>
      <c r="D174" s="59"/>
      <c r="E174" s="59"/>
      <c r="F174" s="27"/>
      <c r="G174" s="28" t="str">
        <f t="shared" si="36"/>
        <v/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 x14ac:dyDescent="0.25">
      <c r="A175" s="70">
        <v>46210</v>
      </c>
      <c r="B175" s="32">
        <f t="shared" si="38"/>
        <v>0.79166666666666619</v>
      </c>
      <c r="C175" s="33"/>
      <c r="D175" s="62"/>
      <c r="E175" s="62"/>
      <c r="F175" s="27"/>
      <c r="G175" s="34" t="str">
        <f t="shared" si="36"/>
        <v/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 x14ac:dyDescent="0.25">
      <c r="A176" s="79" t="s">
        <v>190</v>
      </c>
      <c r="B176" s="80"/>
      <c r="C176" s="80"/>
      <c r="D176" s="80"/>
      <c r="E176" s="81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37"/>
      <c r="L176" s="37"/>
      <c r="M176" s="38">
        <f ca="1">IFERROR(SUM(M164:M175),"")</f>
        <v>0</v>
      </c>
      <c r="N176" s="36" t="s">
        <v>191</v>
      </c>
      <c r="O176" s="39"/>
    </row>
    <row r="177" spans="1:15" ht="15" customHeight="1" x14ac:dyDescent="0.25">
      <c r="A177" s="70">
        <v>46210</v>
      </c>
      <c r="B177" s="32">
        <v>0.83333333333333304</v>
      </c>
      <c r="C177" s="33"/>
      <c r="D177" s="62"/>
      <c r="E177" s="62"/>
      <c r="F177" s="27"/>
      <c r="G177" s="34" t="str">
        <f t="shared" ref="G177:G188" si="39">IF(F177="","",IF(E177="PC 17",F177*4.2,IF(E177="PC 19",F177*5,"")))</f>
        <v/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27"/>
      <c r="O177" s="31"/>
    </row>
    <row r="178" spans="1:15" ht="15" customHeight="1" x14ac:dyDescent="0.25">
      <c r="A178" s="69">
        <v>46210</v>
      </c>
      <c r="B178" s="25">
        <f t="shared" ref="B178:B188" si="41">B177+TIME(0,60,0)</f>
        <v>0.87499999999999967</v>
      </c>
      <c r="C178" s="26"/>
      <c r="D178" s="59"/>
      <c r="E178" s="59"/>
      <c r="F178" s="27"/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 x14ac:dyDescent="0.25">
      <c r="A179" s="70">
        <v>46210</v>
      </c>
      <c r="B179" s="32">
        <f t="shared" si="41"/>
        <v>0.9166666666666663</v>
      </c>
      <c r="C179" s="33"/>
      <c r="D179" s="62"/>
      <c r="E179" s="62"/>
      <c r="F179" s="27"/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 x14ac:dyDescent="0.25">
      <c r="A180" s="69">
        <v>46210</v>
      </c>
      <c r="B180" s="25">
        <f t="shared" si="41"/>
        <v>0.95833333333333293</v>
      </c>
      <c r="C180" s="26"/>
      <c r="D180" s="59"/>
      <c r="E180" s="59"/>
      <c r="F180" s="27"/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 x14ac:dyDescent="0.25">
      <c r="A181" s="70">
        <v>46210</v>
      </c>
      <c r="B181" s="32">
        <f t="shared" si="41"/>
        <v>0.99999999999999956</v>
      </c>
      <c r="C181" s="33"/>
      <c r="D181" s="62"/>
      <c r="E181" s="62"/>
      <c r="F181" s="27"/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 x14ac:dyDescent="0.25">
      <c r="A182" s="69">
        <v>46210</v>
      </c>
      <c r="B182" s="25">
        <f t="shared" si="41"/>
        <v>1.0416666666666663</v>
      </c>
      <c r="C182" s="26"/>
      <c r="D182" s="59"/>
      <c r="E182" s="59"/>
      <c r="F182" s="27"/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 x14ac:dyDescent="0.25">
      <c r="A183" s="70">
        <v>46210</v>
      </c>
      <c r="B183" s="32">
        <f t="shared" si="41"/>
        <v>1.083333333333333</v>
      </c>
      <c r="C183" s="33"/>
      <c r="D183" s="62"/>
      <c r="E183" s="62"/>
      <c r="F183" s="27"/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 x14ac:dyDescent="0.25">
      <c r="A184" s="69">
        <v>46210</v>
      </c>
      <c r="B184" s="25">
        <f t="shared" si="41"/>
        <v>1.1249999999999998</v>
      </c>
      <c r="C184" s="26"/>
      <c r="D184" s="59"/>
      <c r="E184" s="59"/>
      <c r="F184" s="27"/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 x14ac:dyDescent="0.25">
      <c r="A185" s="70">
        <v>46210</v>
      </c>
      <c r="B185" s="32">
        <f t="shared" si="41"/>
        <v>1.1666666666666665</v>
      </c>
      <c r="C185" s="33"/>
      <c r="D185" s="62"/>
      <c r="E185" s="62"/>
      <c r="F185" s="27"/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 x14ac:dyDescent="0.25">
      <c r="A186" s="69">
        <v>46210</v>
      </c>
      <c r="B186" s="25">
        <f t="shared" si="41"/>
        <v>1.2083333333333333</v>
      </c>
      <c r="C186" s="26"/>
      <c r="D186" s="59"/>
      <c r="E186" s="59"/>
      <c r="F186" s="27"/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 x14ac:dyDescent="0.25">
      <c r="A187" s="70">
        <v>46210</v>
      </c>
      <c r="B187" s="32">
        <f t="shared" si="41"/>
        <v>1.25</v>
      </c>
      <c r="C187" s="33"/>
      <c r="D187" s="62"/>
      <c r="E187" s="62"/>
      <c r="F187" s="27"/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 x14ac:dyDescent="0.25">
      <c r="A188" s="69">
        <v>46210</v>
      </c>
      <c r="B188" s="25">
        <f t="shared" si="41"/>
        <v>1.2916666666666667</v>
      </c>
      <c r="C188" s="26"/>
      <c r="D188" s="59"/>
      <c r="E188" s="59"/>
      <c r="F188" s="27"/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 x14ac:dyDescent="0.25">
      <c r="A189" s="79" t="s">
        <v>192</v>
      </c>
      <c r="B189" s="80"/>
      <c r="C189" s="80"/>
      <c r="D189" s="80"/>
      <c r="E189" s="81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37"/>
      <c r="L189" s="37"/>
      <c r="M189" s="38">
        <f ca="1">IFERROR(SUM(M177:M188),"")</f>
        <v>0</v>
      </c>
      <c r="N189" s="36" t="s">
        <v>191</v>
      </c>
      <c r="O189" s="39"/>
    </row>
    <row r="190" spans="1:15" ht="18" customHeight="1" x14ac:dyDescent="0.25">
      <c r="A190" s="82" t="s">
        <v>193</v>
      </c>
      <c r="B190" s="83"/>
      <c r="C190" s="83"/>
      <c r="D190" s="83"/>
      <c r="E190" s="84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41"/>
      <c r="L190" s="41"/>
      <c r="M190" s="42">
        <f ca="1">IFERROR(M176+M189,"")</f>
        <v>0</v>
      </c>
      <c r="N190" s="40" t="s">
        <v>194</v>
      </c>
      <c r="O190" s="43">
        <f>IFERROR(O176+O189,"")</f>
        <v>0</v>
      </c>
    </row>
    <row r="191" spans="1:15" ht="15" customHeight="1" x14ac:dyDescent="0.25">
      <c r="A191" s="70">
        <v>46211</v>
      </c>
      <c r="B191" s="32">
        <v>0.33333333333333298</v>
      </c>
      <c r="C191" s="33"/>
      <c r="D191" s="62"/>
      <c r="E191" s="62"/>
      <c r="F191" s="27"/>
      <c r="G191" s="34" t="str">
        <f t="shared" ref="G191:G202" si="42">IF(F191="","",IF(E191="PC 17",F191*4.2,IF(E191="PC 19",F191*5,"")))</f>
        <v/>
      </c>
      <c r="H191" s="33"/>
      <c r="I191" s="33"/>
      <c r="J191" s="33"/>
      <c r="K191" s="29"/>
      <c r="L191" s="29"/>
      <c r="M191" s="35" t="str">
        <f t="shared" ref="M191:M202" ca="1" si="43">IFERROR(IF(K191="","",IF(L191="",MOD(NOW()-K191,1),IF(L191&gt;=K191,L191-K191,L191+1-K191))),"")</f>
        <v/>
      </c>
      <c r="N191" s="27"/>
      <c r="O191" s="31"/>
    </row>
    <row r="192" spans="1:15" ht="15" customHeight="1" x14ac:dyDescent="0.25">
      <c r="A192" s="69">
        <v>46211</v>
      </c>
      <c r="B192" s="25">
        <f t="shared" ref="B192:B202" si="44">B191+TIME(0,60,0)</f>
        <v>0.37499999999999967</v>
      </c>
      <c r="C192" s="33"/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27"/>
      <c r="O192" s="31"/>
    </row>
    <row r="193" spans="1:15" ht="15" customHeight="1" x14ac:dyDescent="0.25">
      <c r="A193" s="70">
        <v>46211</v>
      </c>
      <c r="B193" s="32">
        <f t="shared" si="44"/>
        <v>0.41666666666666635</v>
      </c>
      <c r="C193" s="33"/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27"/>
      <c r="O193" s="31"/>
    </row>
    <row r="194" spans="1:15" ht="15" customHeight="1" x14ac:dyDescent="0.25">
      <c r="A194" s="69">
        <v>46211</v>
      </c>
      <c r="B194" s="25">
        <f t="shared" si="44"/>
        <v>0.45833333333333304</v>
      </c>
      <c r="C194" s="33"/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 x14ac:dyDescent="0.25">
      <c r="A195" s="70">
        <v>46211</v>
      </c>
      <c r="B195" s="32">
        <f t="shared" si="44"/>
        <v>0.49999999999999972</v>
      </c>
      <c r="C195" s="33"/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 x14ac:dyDescent="0.25">
      <c r="A196" s="69">
        <v>46211</v>
      </c>
      <c r="B196" s="25">
        <f t="shared" si="44"/>
        <v>0.54166666666666641</v>
      </c>
      <c r="C196" s="33"/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 x14ac:dyDescent="0.25">
      <c r="A197" s="70">
        <v>46211</v>
      </c>
      <c r="B197" s="32">
        <f t="shared" si="44"/>
        <v>0.58333333333333304</v>
      </c>
      <c r="C197" s="33"/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 x14ac:dyDescent="0.25">
      <c r="A198" s="69">
        <v>46211</v>
      </c>
      <c r="B198" s="25">
        <f t="shared" si="44"/>
        <v>0.62499999999999967</v>
      </c>
      <c r="C198" s="33"/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 x14ac:dyDescent="0.25">
      <c r="A199" s="70">
        <v>46211</v>
      </c>
      <c r="B199" s="32">
        <f t="shared" si="44"/>
        <v>0.6666666666666663</v>
      </c>
      <c r="C199" s="33"/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 x14ac:dyDescent="0.25">
      <c r="A200" s="69">
        <v>46211</v>
      </c>
      <c r="B200" s="25">
        <f t="shared" si="44"/>
        <v>0.70833333333333293</v>
      </c>
      <c r="C200" s="33"/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 x14ac:dyDescent="0.25">
      <c r="A201" s="70">
        <v>46211</v>
      </c>
      <c r="B201" s="32">
        <f t="shared" si="44"/>
        <v>0.74999999999999956</v>
      </c>
      <c r="C201" s="33"/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 x14ac:dyDescent="0.25">
      <c r="A202" s="69">
        <v>46211</v>
      </c>
      <c r="B202" s="25">
        <f t="shared" si="44"/>
        <v>0.79166666666666619</v>
      </c>
      <c r="C202" s="33"/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 x14ac:dyDescent="0.25">
      <c r="A203" s="79" t="s">
        <v>190</v>
      </c>
      <c r="B203" s="80"/>
      <c r="C203" s="80"/>
      <c r="D203" s="80"/>
      <c r="E203" s="81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37"/>
      <c r="L203" s="37"/>
      <c r="M203" s="38">
        <f ca="1">IFERROR(SUM(M191:M202),"")</f>
        <v>0</v>
      </c>
      <c r="N203" s="36" t="s">
        <v>191</v>
      </c>
      <c r="O203" s="39"/>
    </row>
    <row r="204" spans="1:15" ht="15" customHeight="1" x14ac:dyDescent="0.25">
      <c r="A204" s="69">
        <v>46211</v>
      </c>
      <c r="B204" s="25">
        <v>0.83333333333333304</v>
      </c>
      <c r="C204" s="26"/>
      <c r="D204" s="59"/>
      <c r="E204" s="59"/>
      <c r="F204" s="27"/>
      <c r="G204" s="28" t="str">
        <f t="shared" ref="G204:G215" si="45">IF(F204="","",IF(E204="PC 17",F204*4.2,IF(E204="PC 19",F204*5,"")))</f>
        <v/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27"/>
      <c r="O204" s="47"/>
    </row>
    <row r="205" spans="1:15" ht="15" customHeight="1" x14ac:dyDescent="0.25">
      <c r="A205" s="70">
        <v>46211</v>
      </c>
      <c r="B205" s="32">
        <f t="shared" ref="B205:B215" si="47">B204+TIME(0,60,0)</f>
        <v>0.87499999999999967</v>
      </c>
      <c r="C205" s="26"/>
      <c r="D205" s="59"/>
      <c r="E205" s="59"/>
      <c r="F205" s="27"/>
      <c r="G205" s="34" t="str">
        <f t="shared" si="45"/>
        <v/>
      </c>
      <c r="H205" s="33"/>
      <c r="I205" s="33"/>
      <c r="J205" s="33"/>
      <c r="K205" s="29"/>
      <c r="L205" s="29"/>
      <c r="M205" s="35" t="str">
        <f t="shared" ca="1" si="46"/>
        <v/>
      </c>
      <c r="N205" s="27"/>
      <c r="O205" s="47"/>
    </row>
    <row r="206" spans="1:15" ht="15" customHeight="1" x14ac:dyDescent="0.25">
      <c r="A206" s="69">
        <v>46211</v>
      </c>
      <c r="B206" s="25">
        <f t="shared" si="47"/>
        <v>0.9166666666666663</v>
      </c>
      <c r="C206" s="26"/>
      <c r="D206" s="59"/>
      <c r="E206" s="59"/>
      <c r="F206" s="27"/>
      <c r="G206" s="28" t="str">
        <f t="shared" si="45"/>
        <v/>
      </c>
      <c r="H206" s="26"/>
      <c r="I206" s="26"/>
      <c r="J206" s="26"/>
      <c r="K206" s="29"/>
      <c r="L206" s="29"/>
      <c r="M206" s="30" t="str">
        <f t="shared" ca="1" si="46"/>
        <v/>
      </c>
      <c r="N206" s="27"/>
      <c r="O206" s="47"/>
    </row>
    <row r="207" spans="1:15" ht="15" customHeight="1" x14ac:dyDescent="0.25">
      <c r="A207" s="70">
        <v>46211</v>
      </c>
      <c r="B207" s="32">
        <f t="shared" si="47"/>
        <v>0.95833333333333293</v>
      </c>
      <c r="C207" s="26"/>
      <c r="D207" s="59"/>
      <c r="E207" s="59"/>
      <c r="F207" s="27"/>
      <c r="G207" s="34" t="str">
        <f t="shared" si="45"/>
        <v/>
      </c>
      <c r="H207" s="33"/>
      <c r="I207" s="33"/>
      <c r="J207" s="33"/>
      <c r="K207" s="29"/>
      <c r="L207" s="29"/>
      <c r="M207" s="35" t="str">
        <f t="shared" ca="1" si="46"/>
        <v/>
      </c>
      <c r="N207" s="27"/>
      <c r="O207" s="47"/>
    </row>
    <row r="208" spans="1:15" ht="15" customHeight="1" x14ac:dyDescent="0.25">
      <c r="A208" s="69">
        <v>46211</v>
      </c>
      <c r="B208" s="25">
        <f t="shared" si="47"/>
        <v>0.99999999999999956</v>
      </c>
      <c r="C208" s="26"/>
      <c r="D208" s="59"/>
      <c r="E208" s="59"/>
      <c r="F208" s="27"/>
      <c r="G208" s="28" t="str">
        <f t="shared" si="45"/>
        <v/>
      </c>
      <c r="H208" s="26"/>
      <c r="I208" s="26"/>
      <c r="J208" s="26"/>
      <c r="K208" s="29"/>
      <c r="L208" s="29"/>
      <c r="M208" s="30" t="str">
        <f t="shared" ca="1" si="46"/>
        <v/>
      </c>
      <c r="N208" s="27"/>
      <c r="O208" s="47"/>
    </row>
    <row r="209" spans="1:15" ht="15" customHeight="1" x14ac:dyDescent="0.25">
      <c r="A209" s="70">
        <v>46211</v>
      </c>
      <c r="B209" s="32">
        <f t="shared" si="47"/>
        <v>1.0416666666666663</v>
      </c>
      <c r="C209" s="26"/>
      <c r="D209" s="59"/>
      <c r="E209" s="59"/>
      <c r="F209" s="27"/>
      <c r="G209" s="34" t="str">
        <f t="shared" si="45"/>
        <v/>
      </c>
      <c r="H209" s="33"/>
      <c r="I209" s="33"/>
      <c r="J209" s="33"/>
      <c r="K209" s="29"/>
      <c r="L209" s="29"/>
      <c r="M209" s="35" t="str">
        <f t="shared" ca="1" si="46"/>
        <v/>
      </c>
      <c r="N209" s="27"/>
      <c r="O209" s="47"/>
    </row>
    <row r="210" spans="1:15" ht="15" customHeight="1" x14ac:dyDescent="0.25">
      <c r="A210" s="69">
        <v>46211</v>
      </c>
      <c r="B210" s="25">
        <f t="shared" si="47"/>
        <v>1.083333333333333</v>
      </c>
      <c r="C210" s="26"/>
      <c r="D210" s="59"/>
      <c r="E210" s="59"/>
      <c r="F210" s="27"/>
      <c r="G210" s="28" t="str">
        <f t="shared" si="45"/>
        <v/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47"/>
    </row>
    <row r="211" spans="1:15" ht="15" customHeight="1" x14ac:dyDescent="0.25">
      <c r="A211" s="70">
        <v>46211</v>
      </c>
      <c r="B211" s="32">
        <f t="shared" si="47"/>
        <v>1.1249999999999998</v>
      </c>
      <c r="C211" s="26"/>
      <c r="D211" s="59"/>
      <c r="E211" s="59"/>
      <c r="F211" s="27"/>
      <c r="G211" s="34" t="str">
        <f t="shared" si="45"/>
        <v/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47"/>
    </row>
    <row r="212" spans="1:15" ht="15" customHeight="1" x14ac:dyDescent="0.25">
      <c r="A212" s="69">
        <v>46211</v>
      </c>
      <c r="B212" s="25">
        <f t="shared" si="47"/>
        <v>1.1666666666666665</v>
      </c>
      <c r="C212" s="26"/>
      <c r="D212" s="59"/>
      <c r="E212" s="59"/>
      <c r="F212" s="27"/>
      <c r="G212" s="28" t="str">
        <f t="shared" si="45"/>
        <v/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47"/>
    </row>
    <row r="213" spans="1:15" ht="15" customHeight="1" x14ac:dyDescent="0.25">
      <c r="A213" s="70">
        <v>46211</v>
      </c>
      <c r="B213" s="32">
        <f t="shared" si="47"/>
        <v>1.2083333333333333</v>
      </c>
      <c r="C213" s="26"/>
      <c r="D213" s="59"/>
      <c r="E213" s="59"/>
      <c r="F213" s="27"/>
      <c r="G213" s="34" t="str">
        <f t="shared" si="45"/>
        <v/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47"/>
    </row>
    <row r="214" spans="1:15" ht="15" customHeight="1" x14ac:dyDescent="0.25">
      <c r="A214" s="69">
        <v>46211</v>
      </c>
      <c r="B214" s="25">
        <f t="shared" si="47"/>
        <v>1.25</v>
      </c>
      <c r="C214" s="26"/>
      <c r="D214" s="59"/>
      <c r="E214" s="59"/>
      <c r="F214" s="27"/>
      <c r="G214" s="28" t="str">
        <f t="shared" si="45"/>
        <v/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47"/>
    </row>
    <row r="215" spans="1:15" ht="15" customHeight="1" x14ac:dyDescent="0.25">
      <c r="A215" s="70">
        <v>46211</v>
      </c>
      <c r="B215" s="32">
        <f t="shared" si="47"/>
        <v>1.2916666666666667</v>
      </c>
      <c r="C215" s="26"/>
      <c r="D215" s="59"/>
      <c r="E215" s="59"/>
      <c r="F215" s="27"/>
      <c r="G215" s="34" t="str">
        <f t="shared" si="45"/>
        <v/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47"/>
    </row>
    <row r="216" spans="1:15" ht="15.75" customHeight="1" x14ac:dyDescent="0.25">
      <c r="A216" s="79" t="s">
        <v>192</v>
      </c>
      <c r="B216" s="80"/>
      <c r="C216" s="80"/>
      <c r="D216" s="80"/>
      <c r="E216" s="81">
        <f>SUM(E204:E215)</f>
        <v>0</v>
      </c>
      <c r="F216" s="36">
        <f>SUM(F204:F215)</f>
        <v>0</v>
      </c>
      <c r="G216" s="36">
        <f>SUM(G204:G215)</f>
        <v>0</v>
      </c>
      <c r="H216" s="37"/>
      <c r="I216" s="37"/>
      <c r="J216" s="37"/>
      <c r="K216" s="37"/>
      <c r="L216" s="37"/>
      <c r="M216" s="38">
        <f ca="1">IFERROR(SUM(M204:M215),"")</f>
        <v>0</v>
      </c>
      <c r="N216" s="36" t="s">
        <v>191</v>
      </c>
      <c r="O216" s="39"/>
    </row>
    <row r="217" spans="1:15" ht="18" customHeight="1" x14ac:dyDescent="0.25">
      <c r="A217" s="82" t="s">
        <v>193</v>
      </c>
      <c r="B217" s="83"/>
      <c r="C217" s="83"/>
      <c r="D217" s="83"/>
      <c r="E217" s="84">
        <f>E203+E216</f>
        <v>0</v>
      </c>
      <c r="F217" s="40">
        <f>F203+F216</f>
        <v>0</v>
      </c>
      <c r="G217" s="40">
        <f>G203+G216</f>
        <v>0</v>
      </c>
      <c r="H217" s="41"/>
      <c r="I217" s="41"/>
      <c r="J217" s="41"/>
      <c r="K217" s="41"/>
      <c r="L217" s="41"/>
      <c r="M217" s="42">
        <f ca="1">IFERROR(M203+M216,"")</f>
        <v>0</v>
      </c>
      <c r="N217" s="40" t="s">
        <v>194</v>
      </c>
      <c r="O217" s="48">
        <f>IFERROR(O203+O216,"")</f>
        <v>0</v>
      </c>
    </row>
    <row r="218" spans="1:15" ht="15" customHeight="1" x14ac:dyDescent="0.25">
      <c r="A218" s="69">
        <v>46212</v>
      </c>
      <c r="B218" s="25">
        <v>0.33333333333333298</v>
      </c>
      <c r="C218" s="26"/>
      <c r="D218" s="59"/>
      <c r="E218" s="59"/>
      <c r="F218" s="27"/>
      <c r="G218" s="28" t="str">
        <f t="shared" ref="G218:G229" si="48">IF(F218="","",IF(E218="PC 17",F218*4.2,IF(E218="PC 19",F218*5,"")))</f>
        <v/>
      </c>
      <c r="H218" s="26"/>
      <c r="I218" s="26"/>
      <c r="J218" s="26"/>
      <c r="K218" s="29"/>
      <c r="L218" s="29"/>
      <c r="M218" s="30" t="str">
        <f t="shared" ref="M218:M229" ca="1" si="49">IFERROR(IF(K218="","",IF(L218="",MOD(NOW()-K218,1),IF(L218&gt;=K218,L218-K218,L218+1-K218))),"")</f>
        <v/>
      </c>
      <c r="N218" s="27"/>
      <c r="O218" s="47"/>
    </row>
    <row r="219" spans="1:15" ht="15" customHeight="1" x14ac:dyDescent="0.25">
      <c r="A219" s="70">
        <v>46212</v>
      </c>
      <c r="B219" s="32">
        <f t="shared" ref="B219:B229" si="50">B218+TIME(0,60,0)</f>
        <v>0.37499999999999967</v>
      </c>
      <c r="C219" s="26"/>
      <c r="D219" s="59"/>
      <c r="E219" s="59"/>
      <c r="F219" s="27"/>
      <c r="G219" s="34" t="str">
        <f t="shared" si="48"/>
        <v/>
      </c>
      <c r="H219" s="33"/>
      <c r="I219" s="33"/>
      <c r="J219" s="33"/>
      <c r="K219" s="29"/>
      <c r="L219" s="29"/>
      <c r="M219" s="35" t="str">
        <f t="shared" ca="1" si="49"/>
        <v/>
      </c>
      <c r="N219" s="27"/>
      <c r="O219" s="47"/>
    </row>
    <row r="220" spans="1:15" ht="15" customHeight="1" x14ac:dyDescent="0.25">
      <c r="A220" s="69">
        <v>46212</v>
      </c>
      <c r="B220" s="25">
        <f t="shared" si="50"/>
        <v>0.41666666666666635</v>
      </c>
      <c r="C220" s="26"/>
      <c r="D220" s="59"/>
      <c r="E220" s="59"/>
      <c r="F220" s="27"/>
      <c r="G220" s="28" t="str">
        <f t="shared" si="48"/>
        <v/>
      </c>
      <c r="H220" s="26"/>
      <c r="I220" s="26"/>
      <c r="J220" s="26"/>
      <c r="K220" s="29"/>
      <c r="L220" s="29"/>
      <c r="M220" s="30" t="str">
        <f t="shared" ca="1" si="49"/>
        <v/>
      </c>
      <c r="N220" s="27"/>
      <c r="O220" s="47"/>
    </row>
    <row r="221" spans="1:15" ht="15" customHeight="1" x14ac:dyDescent="0.25">
      <c r="A221" s="70">
        <v>46212</v>
      </c>
      <c r="B221" s="32">
        <f t="shared" si="50"/>
        <v>0.45833333333333304</v>
      </c>
      <c r="C221" s="26"/>
      <c r="D221" s="59"/>
      <c r="E221" s="59"/>
      <c r="F221" s="27"/>
      <c r="G221" s="34" t="str">
        <f t="shared" si="48"/>
        <v/>
      </c>
      <c r="H221" s="33"/>
      <c r="I221" s="33"/>
      <c r="J221" s="33"/>
      <c r="K221" s="29"/>
      <c r="L221" s="29"/>
      <c r="M221" s="35" t="str">
        <f t="shared" ca="1" si="49"/>
        <v/>
      </c>
      <c r="N221" s="27"/>
      <c r="O221" s="47"/>
    </row>
    <row r="222" spans="1:15" ht="15" customHeight="1" x14ac:dyDescent="0.25">
      <c r="A222" s="69">
        <v>46212</v>
      </c>
      <c r="B222" s="25">
        <f t="shared" si="50"/>
        <v>0.49999999999999972</v>
      </c>
      <c r="C222" s="26"/>
      <c r="D222" s="59"/>
      <c r="E222" s="59"/>
      <c r="F222" s="27"/>
      <c r="G222" s="28" t="str">
        <f t="shared" si="48"/>
        <v/>
      </c>
      <c r="H222" s="26"/>
      <c r="I222" s="26"/>
      <c r="J222" s="26"/>
      <c r="K222" s="29"/>
      <c r="L222" s="29"/>
      <c r="M222" s="30" t="str">
        <f t="shared" ca="1" si="49"/>
        <v/>
      </c>
      <c r="N222" s="27"/>
      <c r="O222" s="47"/>
    </row>
    <row r="223" spans="1:15" ht="15" customHeight="1" x14ac:dyDescent="0.25">
      <c r="A223" s="70">
        <v>46212</v>
      </c>
      <c r="B223" s="32">
        <f t="shared" si="50"/>
        <v>0.54166666666666641</v>
      </c>
      <c r="C223" s="26"/>
      <c r="D223" s="59"/>
      <c r="E223" s="59"/>
      <c r="F223" s="27"/>
      <c r="G223" s="34" t="str">
        <f t="shared" si="48"/>
        <v/>
      </c>
      <c r="H223" s="33"/>
      <c r="I223" s="33"/>
      <c r="J223" s="33"/>
      <c r="K223" s="29"/>
      <c r="L223" s="29"/>
      <c r="M223" s="35" t="str">
        <f t="shared" ca="1" si="49"/>
        <v/>
      </c>
      <c r="N223" s="27"/>
      <c r="O223" s="47"/>
    </row>
    <row r="224" spans="1:15" ht="15" customHeight="1" x14ac:dyDescent="0.25">
      <c r="A224" s="69">
        <v>46212</v>
      </c>
      <c r="B224" s="25">
        <f t="shared" si="50"/>
        <v>0.58333333333333304</v>
      </c>
      <c r="C224" s="26"/>
      <c r="D224" s="59"/>
      <c r="E224" s="59"/>
      <c r="F224" s="27"/>
      <c r="G224" s="28" t="str">
        <f t="shared" si="48"/>
        <v/>
      </c>
      <c r="H224" s="26"/>
      <c r="I224" s="26"/>
      <c r="J224" s="26"/>
      <c r="K224" s="29"/>
      <c r="L224" s="29"/>
      <c r="M224" s="30" t="str">
        <f t="shared" ca="1" si="49"/>
        <v/>
      </c>
      <c r="N224" s="27"/>
      <c r="O224" s="47"/>
    </row>
    <row r="225" spans="1:15" ht="15" customHeight="1" x14ac:dyDescent="0.25">
      <c r="A225" s="70">
        <v>46212</v>
      </c>
      <c r="B225" s="32">
        <f t="shared" si="50"/>
        <v>0.62499999999999967</v>
      </c>
      <c r="C225" s="26"/>
      <c r="D225" s="59"/>
      <c r="E225" s="59"/>
      <c r="F225" s="27"/>
      <c r="G225" s="34" t="str">
        <f t="shared" si="48"/>
        <v/>
      </c>
      <c r="H225" s="33"/>
      <c r="I225" s="33"/>
      <c r="J225" s="33"/>
      <c r="K225" s="29"/>
      <c r="L225" s="29"/>
      <c r="M225" s="35" t="str">
        <f t="shared" ca="1" si="49"/>
        <v/>
      </c>
      <c r="N225" s="27"/>
      <c r="O225" s="47"/>
    </row>
    <row r="226" spans="1:15" ht="15" customHeight="1" x14ac:dyDescent="0.25">
      <c r="A226" s="69">
        <v>46212</v>
      </c>
      <c r="B226" s="25">
        <f t="shared" si="50"/>
        <v>0.6666666666666663</v>
      </c>
      <c r="C226" s="26"/>
      <c r="D226" s="59"/>
      <c r="E226" s="59"/>
      <c r="F226" s="27"/>
      <c r="G226" s="28" t="str">
        <f t="shared" si="48"/>
        <v/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47"/>
    </row>
    <row r="227" spans="1:15" ht="15" customHeight="1" x14ac:dyDescent="0.25">
      <c r="A227" s="70">
        <v>46212</v>
      </c>
      <c r="B227" s="32">
        <f t="shared" si="50"/>
        <v>0.70833333333333293</v>
      </c>
      <c r="C227" s="26"/>
      <c r="D227" s="59"/>
      <c r="E227" s="59"/>
      <c r="F227" s="27"/>
      <c r="G227" s="34" t="str">
        <f t="shared" si="48"/>
        <v/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47"/>
    </row>
    <row r="228" spans="1:15" ht="15" customHeight="1" x14ac:dyDescent="0.25">
      <c r="A228" s="69">
        <v>46212</v>
      </c>
      <c r="B228" s="25">
        <f t="shared" si="50"/>
        <v>0.74999999999999956</v>
      </c>
      <c r="C228" s="26"/>
      <c r="D228" s="59"/>
      <c r="E228" s="59"/>
      <c r="F228" s="27"/>
      <c r="G228" s="28" t="str">
        <f t="shared" si="48"/>
        <v/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47"/>
    </row>
    <row r="229" spans="1:15" ht="15" customHeight="1" x14ac:dyDescent="0.25">
      <c r="A229" s="70">
        <v>46212</v>
      </c>
      <c r="B229" s="32">
        <f t="shared" si="50"/>
        <v>0.79166666666666619</v>
      </c>
      <c r="C229" s="26"/>
      <c r="D229" s="59"/>
      <c r="E229" s="59"/>
      <c r="F229" s="27"/>
      <c r="G229" s="34" t="str">
        <f t="shared" si="48"/>
        <v/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47"/>
    </row>
    <row r="230" spans="1:15" ht="15.75" customHeight="1" x14ac:dyDescent="0.25">
      <c r="A230" s="79" t="s">
        <v>190</v>
      </c>
      <c r="B230" s="80"/>
      <c r="C230" s="80"/>
      <c r="D230" s="80"/>
      <c r="E230" s="81">
        <f>SUM(E218:E229)</f>
        <v>0</v>
      </c>
      <c r="F230" s="36">
        <f>SUM(F218:F229)</f>
        <v>0</v>
      </c>
      <c r="G230" s="36">
        <f>SUM(G218:G229)</f>
        <v>0</v>
      </c>
      <c r="H230" s="37"/>
      <c r="I230" s="37"/>
      <c r="J230" s="37"/>
      <c r="K230" s="37"/>
      <c r="L230" s="37"/>
      <c r="M230" s="38">
        <f ca="1">IFERROR(SUM(M218:M229),"")</f>
        <v>0</v>
      </c>
      <c r="N230" s="36" t="s">
        <v>191</v>
      </c>
      <c r="O230" s="39"/>
    </row>
    <row r="231" spans="1:15" ht="15" customHeight="1" x14ac:dyDescent="0.25">
      <c r="A231" s="70">
        <v>46212</v>
      </c>
      <c r="B231" s="32">
        <v>0.83333333333333304</v>
      </c>
      <c r="C231" s="33"/>
      <c r="D231" s="62"/>
      <c r="E231" s="62"/>
      <c r="F231" s="27"/>
      <c r="G231" s="34" t="str">
        <f t="shared" ref="G231:G242" si="51">IF(F231="","",IF(E231="PC 17",F231*4.2,IF(E231="PC 19",F231*5,"")))</f>
        <v/>
      </c>
      <c r="H231" s="33"/>
      <c r="I231" s="33"/>
      <c r="J231" s="33"/>
      <c r="K231" s="29"/>
      <c r="L231" s="29"/>
      <c r="M231" s="35" t="str">
        <f t="shared" ref="M231:M242" ca="1" si="52">IFERROR(IF(K231="","",IF(L231="",MOD(NOW()-K231,1),IF(L231&gt;=K231,L231-K231,L231+1-K231))),"")</f>
        <v/>
      </c>
      <c r="N231" s="27"/>
      <c r="O231" s="47"/>
    </row>
    <row r="232" spans="1:15" ht="15" customHeight="1" x14ac:dyDescent="0.25">
      <c r="A232" s="69">
        <v>46212</v>
      </c>
      <c r="B232" s="25">
        <f t="shared" ref="B232:B242" si="53">B231+TIME(0,60,0)</f>
        <v>0.87499999999999967</v>
      </c>
      <c r="C232" s="33"/>
      <c r="D232" s="62"/>
      <c r="E232" s="62"/>
      <c r="F232" s="27"/>
      <c r="G232" s="28" t="str">
        <f t="shared" si="51"/>
        <v/>
      </c>
      <c r="H232" s="26"/>
      <c r="I232" s="26"/>
      <c r="J232" s="26"/>
      <c r="K232" s="29"/>
      <c r="L232" s="29"/>
      <c r="M232" s="30" t="str">
        <f t="shared" ca="1" si="52"/>
        <v/>
      </c>
      <c r="N232" s="27"/>
      <c r="O232" s="47"/>
    </row>
    <row r="233" spans="1:15" ht="15" customHeight="1" x14ac:dyDescent="0.25">
      <c r="A233" s="70">
        <v>46212</v>
      </c>
      <c r="B233" s="32">
        <f t="shared" si="53"/>
        <v>0.9166666666666663</v>
      </c>
      <c r="C233" s="33"/>
      <c r="D233" s="62"/>
      <c r="E233" s="62"/>
      <c r="F233" s="27"/>
      <c r="G233" s="34" t="str">
        <f t="shared" si="51"/>
        <v/>
      </c>
      <c r="H233" s="33"/>
      <c r="I233" s="33"/>
      <c r="J233" s="33"/>
      <c r="K233" s="29"/>
      <c r="L233" s="29"/>
      <c r="M233" s="35" t="str">
        <f t="shared" ca="1" si="52"/>
        <v/>
      </c>
      <c r="N233" s="27"/>
      <c r="O233" s="47"/>
    </row>
    <row r="234" spans="1:15" ht="15" customHeight="1" x14ac:dyDescent="0.25">
      <c r="A234" s="69">
        <v>46212</v>
      </c>
      <c r="B234" s="25">
        <f t="shared" si="53"/>
        <v>0.95833333333333293</v>
      </c>
      <c r="C234" s="33"/>
      <c r="D234" s="62"/>
      <c r="E234" s="62"/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27"/>
      <c r="O234" s="47"/>
    </row>
    <row r="235" spans="1:15" ht="15" customHeight="1" x14ac:dyDescent="0.25">
      <c r="A235" s="70">
        <v>46212</v>
      </c>
      <c r="B235" s="32">
        <f t="shared" si="53"/>
        <v>0.99999999999999956</v>
      </c>
      <c r="C235" s="33"/>
      <c r="D235" s="62"/>
      <c r="E235" s="62"/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27"/>
      <c r="O235" s="47"/>
    </row>
    <row r="236" spans="1:15" ht="15" customHeight="1" x14ac:dyDescent="0.25">
      <c r="A236" s="69">
        <v>46212</v>
      </c>
      <c r="B236" s="25">
        <f t="shared" si="53"/>
        <v>1.0416666666666663</v>
      </c>
      <c r="C236" s="33"/>
      <c r="D236" s="62"/>
      <c r="E236" s="62"/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27"/>
      <c r="O236" s="47"/>
    </row>
    <row r="237" spans="1:15" ht="15" customHeight="1" x14ac:dyDescent="0.25">
      <c r="A237" s="70">
        <v>46212</v>
      </c>
      <c r="B237" s="32">
        <f t="shared" si="53"/>
        <v>1.083333333333333</v>
      </c>
      <c r="C237" s="33"/>
      <c r="D237" s="62"/>
      <c r="E237" s="62"/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47"/>
    </row>
    <row r="238" spans="1:15" ht="15" customHeight="1" x14ac:dyDescent="0.25">
      <c r="A238" s="69">
        <v>46212</v>
      </c>
      <c r="B238" s="25">
        <f t="shared" si="53"/>
        <v>1.1249999999999998</v>
      </c>
      <c r="C238" s="33"/>
      <c r="D238" s="62"/>
      <c r="E238" s="62"/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47"/>
    </row>
    <row r="239" spans="1:15" ht="15" customHeight="1" x14ac:dyDescent="0.25">
      <c r="A239" s="70">
        <v>46212</v>
      </c>
      <c r="B239" s="32">
        <f t="shared" si="53"/>
        <v>1.1666666666666665</v>
      </c>
      <c r="C239" s="33"/>
      <c r="D239" s="62"/>
      <c r="E239" s="62"/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47"/>
    </row>
    <row r="240" spans="1:15" ht="15" customHeight="1" x14ac:dyDescent="0.25">
      <c r="A240" s="69">
        <v>46212</v>
      </c>
      <c r="B240" s="25">
        <f t="shared" si="53"/>
        <v>1.2083333333333333</v>
      </c>
      <c r="C240" s="33"/>
      <c r="D240" s="62"/>
      <c r="E240" s="62"/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47"/>
    </row>
    <row r="241" spans="1:15" ht="15" customHeight="1" x14ac:dyDescent="0.25">
      <c r="A241" s="70">
        <v>46212</v>
      </c>
      <c r="B241" s="32">
        <f t="shared" si="53"/>
        <v>1.25</v>
      </c>
      <c r="C241" s="33"/>
      <c r="D241" s="62"/>
      <c r="E241" s="62"/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47"/>
    </row>
    <row r="242" spans="1:15" ht="15" customHeight="1" x14ac:dyDescent="0.25">
      <c r="A242" s="69">
        <v>46212</v>
      </c>
      <c r="B242" s="25">
        <f t="shared" si="53"/>
        <v>1.2916666666666667</v>
      </c>
      <c r="C242" s="33"/>
      <c r="D242" s="62"/>
      <c r="E242" s="62"/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47"/>
    </row>
    <row r="243" spans="1:15" ht="15.75" customHeight="1" x14ac:dyDescent="0.25">
      <c r="A243" s="79" t="s">
        <v>192</v>
      </c>
      <c r="B243" s="80"/>
      <c r="C243" s="80"/>
      <c r="D243" s="80"/>
      <c r="E243" s="81">
        <f>SUM(E231:E242)</f>
        <v>0</v>
      </c>
      <c r="F243" s="36">
        <f>SUM(F231:F242)</f>
        <v>0</v>
      </c>
      <c r="G243" s="36">
        <f>SUM(G231:G242)</f>
        <v>0</v>
      </c>
      <c r="H243" s="37"/>
      <c r="I243" s="37"/>
      <c r="J243" s="37"/>
      <c r="K243" s="37"/>
      <c r="L243" s="37"/>
      <c r="M243" s="38">
        <f ca="1">IFERROR(SUM(M231:M242),"")</f>
        <v>0</v>
      </c>
      <c r="N243" s="36" t="s">
        <v>191</v>
      </c>
      <c r="O243" s="39"/>
    </row>
    <row r="244" spans="1:15" ht="18" customHeight="1" x14ac:dyDescent="0.25">
      <c r="A244" s="82" t="s">
        <v>193</v>
      </c>
      <c r="B244" s="83"/>
      <c r="C244" s="83"/>
      <c r="D244" s="83"/>
      <c r="E244" s="84">
        <f>E230+E243</f>
        <v>0</v>
      </c>
      <c r="F244" s="40">
        <f>F230+F243</f>
        <v>0</v>
      </c>
      <c r="G244" s="40">
        <f>G230+G243</f>
        <v>0</v>
      </c>
      <c r="H244" s="41"/>
      <c r="I244" s="41"/>
      <c r="J244" s="41"/>
      <c r="K244" s="41"/>
      <c r="L244" s="41"/>
      <c r="M244" s="42">
        <f ca="1">IFERROR(M230+M243,"")</f>
        <v>0</v>
      </c>
      <c r="N244" s="40" t="s">
        <v>194</v>
      </c>
      <c r="O244" s="48">
        <f>IFERROR(O230+O243,"")</f>
        <v>0</v>
      </c>
    </row>
    <row r="245" spans="1:15" ht="15" customHeight="1" x14ac:dyDescent="0.25">
      <c r="A245" s="69">
        <v>46213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19",F245*5,"")))</f>
        <v/>
      </c>
      <c r="H245" s="33"/>
      <c r="I245" s="33"/>
      <c r="J245" s="33"/>
      <c r="K245" s="29"/>
      <c r="L245" s="29"/>
      <c r="M245" s="35" t="str">
        <f t="shared" ref="M245:M256" ca="1" si="55">IFERROR(IF(K245="","",IF(L245="",MOD(NOW()-K245,1),IF(L245&gt;=K245,L245-K245,L245+1-K245))),"")</f>
        <v/>
      </c>
      <c r="N245" s="27"/>
      <c r="O245" s="47"/>
    </row>
    <row r="246" spans="1:15" ht="15" customHeight="1" x14ac:dyDescent="0.25">
      <c r="A246" s="70">
        <v>46213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0" t="str">
        <f t="shared" ca="1" si="55"/>
        <v/>
      </c>
      <c r="N246" s="27"/>
      <c r="O246" s="47"/>
    </row>
    <row r="247" spans="1:15" ht="15" customHeight="1" x14ac:dyDescent="0.25">
      <c r="A247" s="69">
        <v>46213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5" t="str">
        <f t="shared" ca="1" si="55"/>
        <v/>
      </c>
      <c r="N247" s="27"/>
      <c r="O247" s="47"/>
    </row>
    <row r="248" spans="1:15" ht="15" customHeight="1" x14ac:dyDescent="0.25">
      <c r="A248" s="70">
        <v>46213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0" t="str">
        <f t="shared" ca="1" si="55"/>
        <v/>
      </c>
      <c r="N248" s="27"/>
      <c r="O248" s="47"/>
    </row>
    <row r="249" spans="1:15" ht="15" customHeight="1" x14ac:dyDescent="0.25">
      <c r="A249" s="69">
        <v>46213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5" t="str">
        <f t="shared" ca="1" si="55"/>
        <v/>
      </c>
      <c r="N249" s="27"/>
      <c r="O249" s="47"/>
    </row>
    <row r="250" spans="1:15" ht="15" customHeight="1" x14ac:dyDescent="0.25">
      <c r="A250" s="70">
        <v>46213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0" t="str">
        <f t="shared" ca="1" si="55"/>
        <v/>
      </c>
      <c r="N250" s="27"/>
      <c r="O250" s="47"/>
    </row>
    <row r="251" spans="1:15" ht="15" customHeight="1" x14ac:dyDescent="0.25">
      <c r="A251" s="69">
        <v>46213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5" t="str">
        <f t="shared" ca="1" si="55"/>
        <v/>
      </c>
      <c r="N251" s="27"/>
      <c r="O251" s="47"/>
    </row>
    <row r="252" spans="1:15" ht="15" customHeight="1" x14ac:dyDescent="0.25">
      <c r="A252" s="70">
        <v>46213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0" t="str">
        <f t="shared" ca="1" si="55"/>
        <v/>
      </c>
      <c r="N252" s="27"/>
      <c r="O252" s="47"/>
    </row>
    <row r="253" spans="1:15" ht="15" customHeight="1" x14ac:dyDescent="0.25">
      <c r="A253" s="69">
        <v>46213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5" t="str">
        <f t="shared" ca="1" si="55"/>
        <v/>
      </c>
      <c r="N253" s="27"/>
      <c r="O253" s="47"/>
    </row>
    <row r="254" spans="1:15" ht="15" customHeight="1" x14ac:dyDescent="0.25">
      <c r="A254" s="70">
        <v>46213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0" t="str">
        <f t="shared" ca="1" si="55"/>
        <v/>
      </c>
      <c r="N254" s="27"/>
      <c r="O254" s="47"/>
    </row>
    <row r="255" spans="1:15" ht="15" customHeight="1" x14ac:dyDescent="0.25">
      <c r="A255" s="69">
        <v>46213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5" t="str">
        <f t="shared" ca="1" si="55"/>
        <v/>
      </c>
      <c r="N255" s="27"/>
      <c r="O255" s="47"/>
    </row>
    <row r="256" spans="1:15" ht="15" customHeight="1" x14ac:dyDescent="0.25">
      <c r="A256" s="70">
        <v>46213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0" t="str">
        <f t="shared" ca="1" si="55"/>
        <v/>
      </c>
      <c r="N256" s="27"/>
      <c r="O256" s="47"/>
    </row>
    <row r="257" spans="1:15" ht="15.75" customHeight="1" x14ac:dyDescent="0.25">
      <c r="A257" s="79" t="s">
        <v>190</v>
      </c>
      <c r="B257" s="80"/>
      <c r="C257" s="80"/>
      <c r="D257" s="80"/>
      <c r="E257" s="81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37"/>
      <c r="L257" s="37"/>
      <c r="M257" s="38">
        <f ca="1">IFERROR(SUM(M245:M256),"")</f>
        <v>0</v>
      </c>
      <c r="N257" s="36" t="s">
        <v>191</v>
      </c>
      <c r="O257" s="39"/>
    </row>
    <row r="258" spans="1:15" ht="15" customHeight="1" x14ac:dyDescent="0.25">
      <c r="A258" s="70">
        <v>46213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19",F258*5,"")))</f>
        <v/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27"/>
      <c r="O258" s="47"/>
    </row>
    <row r="259" spans="1:15" ht="15" customHeight="1" x14ac:dyDescent="0.25">
      <c r="A259" s="69">
        <v>46213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5" t="str">
        <f t="shared" ca="1" si="58"/>
        <v/>
      </c>
      <c r="N259" s="27"/>
      <c r="O259" s="47"/>
    </row>
    <row r="260" spans="1:15" ht="15" customHeight="1" x14ac:dyDescent="0.25">
      <c r="A260" s="70">
        <v>46213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 x14ac:dyDescent="0.25">
      <c r="A261" s="69">
        <v>46213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5" t="str">
        <f t="shared" ca="1" si="58"/>
        <v/>
      </c>
      <c r="N261" s="27"/>
      <c r="O261" s="47"/>
    </row>
    <row r="262" spans="1:15" ht="15" customHeight="1" x14ac:dyDescent="0.25">
      <c r="A262" s="70">
        <v>46213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 x14ac:dyDescent="0.25">
      <c r="A263" s="69">
        <v>46213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5" t="str">
        <f t="shared" ca="1" si="58"/>
        <v/>
      </c>
      <c r="N263" s="27"/>
      <c r="O263" s="47"/>
    </row>
    <row r="264" spans="1:15" ht="15" customHeight="1" x14ac:dyDescent="0.25">
      <c r="A264" s="70">
        <v>46213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0" t="str">
        <f t="shared" ca="1" si="58"/>
        <v/>
      </c>
      <c r="N264" s="27"/>
      <c r="O264" s="47"/>
    </row>
    <row r="265" spans="1:15" ht="15" customHeight="1" x14ac:dyDescent="0.25">
      <c r="A265" s="69">
        <v>46213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 x14ac:dyDescent="0.25">
      <c r="A266" s="70">
        <v>46213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0" t="str">
        <f t="shared" ca="1" si="58"/>
        <v/>
      </c>
      <c r="N266" s="27"/>
      <c r="O266" s="47"/>
    </row>
    <row r="267" spans="1:15" ht="15" customHeight="1" x14ac:dyDescent="0.25">
      <c r="A267" s="69">
        <v>46213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5" t="str">
        <f t="shared" ca="1" si="58"/>
        <v/>
      </c>
      <c r="N267" s="27"/>
      <c r="O267" s="47"/>
    </row>
    <row r="268" spans="1:15" ht="15" customHeight="1" x14ac:dyDescent="0.25">
      <c r="A268" s="70">
        <v>46213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0" t="str">
        <f t="shared" ca="1" si="58"/>
        <v/>
      </c>
      <c r="N268" s="27"/>
      <c r="O268" s="47"/>
    </row>
    <row r="269" spans="1:15" ht="15" customHeight="1" x14ac:dyDescent="0.25">
      <c r="A269" s="69">
        <v>46213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5" t="str">
        <f t="shared" ca="1" si="58"/>
        <v/>
      </c>
      <c r="N269" s="27"/>
      <c r="O269" s="47"/>
    </row>
    <row r="270" spans="1:15" ht="15.75" customHeight="1" x14ac:dyDescent="0.25">
      <c r="A270" s="79" t="s">
        <v>192</v>
      </c>
      <c r="B270" s="80"/>
      <c r="C270" s="80"/>
      <c r="D270" s="80"/>
      <c r="E270" s="81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191</v>
      </c>
      <c r="O270" s="39"/>
    </row>
    <row r="271" spans="1:15" ht="18" customHeight="1" x14ac:dyDescent="0.25">
      <c r="A271" s="82" t="s">
        <v>193</v>
      </c>
      <c r="B271" s="83"/>
      <c r="C271" s="83"/>
      <c r="D271" s="83"/>
      <c r="E271" s="84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41"/>
      <c r="L271" s="41"/>
      <c r="M271" s="42">
        <f ca="1">IFERROR(M257+M270,"")</f>
        <v>0</v>
      </c>
      <c r="N271" s="40" t="s">
        <v>194</v>
      </c>
      <c r="O271" s="48">
        <f>IFERROR(O257+O270,"")</f>
        <v>0</v>
      </c>
    </row>
    <row r="272" spans="1:15" ht="15" customHeight="1" x14ac:dyDescent="0.25">
      <c r="A272" s="69">
        <v>46214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19",F272*5,"")))</f>
        <v/>
      </c>
      <c r="H272" s="26"/>
      <c r="I272" s="26"/>
      <c r="J272" s="26"/>
      <c r="K272" s="29"/>
      <c r="L272" s="29"/>
      <c r="M272" s="30" t="str">
        <f t="shared" ref="M272:M283" ca="1" si="61">IFERROR(IF(K272="","",IF(L272="",MOD(NOW()-K272,1),IF(L272&gt;=K272,L272-K272,L272+1-K272))),"")</f>
        <v/>
      </c>
      <c r="N272" s="27"/>
      <c r="O272" s="47"/>
    </row>
    <row r="273" spans="1:15" ht="15" customHeight="1" x14ac:dyDescent="0.25">
      <c r="A273" s="70">
        <v>46214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27"/>
      <c r="O273" s="47"/>
    </row>
    <row r="274" spans="1:15" ht="15" customHeight="1" x14ac:dyDescent="0.25">
      <c r="A274" s="69">
        <v>46214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27"/>
      <c r="O274" s="47"/>
    </row>
    <row r="275" spans="1:15" ht="15" customHeight="1" x14ac:dyDescent="0.25">
      <c r="A275" s="70">
        <v>46214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27"/>
      <c r="O275" s="47"/>
    </row>
    <row r="276" spans="1:15" ht="15" customHeight="1" x14ac:dyDescent="0.25">
      <c r="A276" s="69">
        <v>46214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27"/>
      <c r="O276" s="47"/>
    </row>
    <row r="277" spans="1:15" ht="15" customHeight="1" x14ac:dyDescent="0.25">
      <c r="A277" s="70">
        <v>46214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27"/>
      <c r="O277" s="47"/>
    </row>
    <row r="278" spans="1:15" ht="15" customHeight="1" x14ac:dyDescent="0.25">
      <c r="A278" s="69">
        <v>46214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 t="str">
        <f t="shared" ca="1" si="61"/>
        <v/>
      </c>
      <c r="N278" s="27"/>
      <c r="O278" s="47"/>
    </row>
    <row r="279" spans="1:15" ht="15" customHeight="1" x14ac:dyDescent="0.25">
      <c r="A279" s="70">
        <v>46214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t="shared" ca="1" si="61"/>
        <v/>
      </c>
      <c r="N279" s="27"/>
      <c r="O279" s="47"/>
    </row>
    <row r="280" spans="1:15" ht="15" customHeight="1" x14ac:dyDescent="0.25">
      <c r="A280" s="69">
        <v>46214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t="shared" ca="1" si="61"/>
        <v/>
      </c>
      <c r="N280" s="27"/>
      <c r="O280" s="47"/>
    </row>
    <row r="281" spans="1:15" ht="15" customHeight="1" x14ac:dyDescent="0.25">
      <c r="A281" s="70">
        <v>46214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t="shared" ca="1" si="61"/>
        <v/>
      </c>
      <c r="N281" s="27"/>
      <c r="O281" s="47"/>
    </row>
    <row r="282" spans="1:15" ht="15" customHeight="1" x14ac:dyDescent="0.25">
      <c r="A282" s="69">
        <v>46214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t="shared" ca="1" si="61"/>
        <v/>
      </c>
      <c r="N282" s="27"/>
      <c r="O282" s="47"/>
    </row>
    <row r="283" spans="1:15" ht="15" customHeight="1" x14ac:dyDescent="0.25">
      <c r="A283" s="70">
        <v>46214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t="shared" ca="1" si="61"/>
        <v/>
      </c>
      <c r="N283" s="27"/>
      <c r="O283" s="47"/>
    </row>
    <row r="284" spans="1:15" ht="15.75" customHeight="1" x14ac:dyDescent="0.25">
      <c r="A284" s="79" t="s">
        <v>190</v>
      </c>
      <c r="B284" s="80"/>
      <c r="C284" s="80"/>
      <c r="D284" s="80"/>
      <c r="E284" s="81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37"/>
      <c r="L284" s="37"/>
      <c r="M284" s="38">
        <f ca="1">IFERROR(SUM(M272:M283),"")</f>
        <v>0</v>
      </c>
      <c r="N284" s="36" t="s">
        <v>191</v>
      </c>
      <c r="O284" s="39"/>
    </row>
    <row r="285" spans="1:15" ht="15" customHeight="1" x14ac:dyDescent="0.25">
      <c r="A285" s="70">
        <v>46214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19",F285*5,"")))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27"/>
      <c r="O285" s="47"/>
    </row>
    <row r="286" spans="1:15" ht="15" customHeight="1" x14ac:dyDescent="0.25">
      <c r="A286" s="69">
        <v>46214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30" t="str">
        <f t="shared" ca="1" si="64"/>
        <v/>
      </c>
      <c r="N286" s="27"/>
      <c r="O286" s="47"/>
    </row>
    <row r="287" spans="1:15" ht="15" customHeight="1" x14ac:dyDescent="0.25">
      <c r="A287" s="70">
        <v>46214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35" t="str">
        <f t="shared" ca="1" si="64"/>
        <v/>
      </c>
      <c r="N287" s="27"/>
      <c r="O287" s="47"/>
    </row>
    <row r="288" spans="1:15" ht="15" customHeight="1" x14ac:dyDescent="0.25">
      <c r="A288" s="69">
        <v>46214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30" t="str">
        <f t="shared" ca="1" si="64"/>
        <v/>
      </c>
      <c r="N288" s="27"/>
      <c r="O288" s="47"/>
    </row>
    <row r="289" spans="1:15" ht="15" customHeight="1" x14ac:dyDescent="0.25">
      <c r="A289" s="70">
        <v>46214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27"/>
      <c r="O289" s="47"/>
    </row>
    <row r="290" spans="1:15" ht="15" customHeight="1" x14ac:dyDescent="0.25">
      <c r="A290" s="69">
        <v>46214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30" t="str">
        <f t="shared" ca="1" si="64"/>
        <v/>
      </c>
      <c r="N290" s="27"/>
      <c r="O290" s="47"/>
    </row>
    <row r="291" spans="1:15" ht="15" customHeight="1" x14ac:dyDescent="0.25">
      <c r="A291" s="70">
        <v>46214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27"/>
      <c r="O291" s="47"/>
    </row>
    <row r="292" spans="1:15" ht="15" customHeight="1" x14ac:dyDescent="0.25">
      <c r="A292" s="69">
        <v>46214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30" t="str">
        <f t="shared" ca="1" si="64"/>
        <v/>
      </c>
      <c r="N292" s="27"/>
      <c r="O292" s="47"/>
    </row>
    <row r="293" spans="1:15" ht="15" customHeight="1" x14ac:dyDescent="0.25">
      <c r="A293" s="70">
        <v>46214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47"/>
    </row>
    <row r="294" spans="1:15" ht="15" customHeight="1" x14ac:dyDescent="0.25">
      <c r="A294" s="69">
        <v>46214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30" t="str">
        <f t="shared" ca="1" si="64"/>
        <v/>
      </c>
      <c r="N294" s="27"/>
      <c r="O294" s="47"/>
    </row>
    <row r="295" spans="1:15" ht="15" customHeight="1" x14ac:dyDescent="0.25">
      <c r="A295" s="70">
        <v>46214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47"/>
    </row>
    <row r="296" spans="1:15" ht="15" customHeight="1" x14ac:dyDescent="0.25">
      <c r="A296" s="69">
        <v>46214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47"/>
    </row>
    <row r="297" spans="1:15" ht="15.75" customHeight="1" x14ac:dyDescent="0.25">
      <c r="A297" s="79" t="s">
        <v>192</v>
      </c>
      <c r="B297" s="80"/>
      <c r="C297" s="80"/>
      <c r="D297" s="80"/>
      <c r="E297" s="81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191</v>
      </c>
      <c r="O297" s="39"/>
    </row>
    <row r="298" spans="1:15" ht="18" customHeight="1" x14ac:dyDescent="0.25">
      <c r="A298" s="82" t="s">
        <v>193</v>
      </c>
      <c r="B298" s="83"/>
      <c r="C298" s="83"/>
      <c r="D298" s="83"/>
      <c r="E298" s="84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41"/>
      <c r="L298" s="41"/>
      <c r="M298" s="42">
        <f ca="1">IFERROR(M284+M297,"")</f>
        <v>0</v>
      </c>
      <c r="N298" s="40" t="s">
        <v>194</v>
      </c>
      <c r="O298" s="48">
        <f>IFERROR(O284+O297,"")</f>
        <v>0</v>
      </c>
    </row>
    <row r="299" spans="1:15" ht="15" customHeight="1" x14ac:dyDescent="0.25">
      <c r="A299" s="70">
        <v>46215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19",F299*5,"")))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27"/>
      <c r="O299" s="47"/>
    </row>
    <row r="300" spans="1:15" ht="15" customHeight="1" x14ac:dyDescent="0.25">
      <c r="A300" s="69">
        <v>46215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27"/>
      <c r="O300" s="47"/>
    </row>
    <row r="301" spans="1:15" ht="15" customHeight="1" x14ac:dyDescent="0.25">
      <c r="A301" s="70">
        <v>46215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29"/>
      <c r="L301" s="29"/>
      <c r="M301" s="35" t="str">
        <f t="shared" ca="1" si="67"/>
        <v/>
      </c>
      <c r="N301" s="27"/>
      <c r="O301" s="47"/>
    </row>
    <row r="302" spans="1:15" ht="15" customHeight="1" x14ac:dyDescent="0.25">
      <c r="A302" s="69">
        <v>46215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27"/>
      <c r="O302" s="47"/>
    </row>
    <row r="303" spans="1:15" ht="15" customHeight="1" x14ac:dyDescent="0.25">
      <c r="A303" s="70">
        <v>46215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27"/>
      <c r="O303" s="47"/>
    </row>
    <row r="304" spans="1:15" ht="15" customHeight="1" x14ac:dyDescent="0.25">
      <c r="A304" s="69">
        <v>46215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47"/>
    </row>
    <row r="305" spans="1:15" ht="15" customHeight="1" x14ac:dyDescent="0.25">
      <c r="A305" s="70">
        <v>46215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47"/>
    </row>
    <row r="306" spans="1:15" ht="15" customHeight="1" x14ac:dyDescent="0.25">
      <c r="A306" s="69">
        <v>46215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47"/>
    </row>
    <row r="307" spans="1:15" ht="15" customHeight="1" x14ac:dyDescent="0.25">
      <c r="A307" s="70">
        <v>46215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47"/>
    </row>
    <row r="308" spans="1:15" ht="15" customHeight="1" x14ac:dyDescent="0.25">
      <c r="A308" s="69">
        <v>46215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47"/>
    </row>
    <row r="309" spans="1:15" ht="15" customHeight="1" x14ac:dyDescent="0.25">
      <c r="A309" s="70">
        <v>46215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47"/>
    </row>
    <row r="310" spans="1:15" ht="15" customHeight="1" x14ac:dyDescent="0.25">
      <c r="A310" s="69">
        <v>46215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47"/>
    </row>
    <row r="311" spans="1:15" ht="15.75" customHeight="1" x14ac:dyDescent="0.25">
      <c r="A311" s="79" t="s">
        <v>190</v>
      </c>
      <c r="B311" s="80"/>
      <c r="C311" s="80"/>
      <c r="D311" s="80"/>
      <c r="E311" s="81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37"/>
      <c r="L311" s="37"/>
      <c r="M311" s="38">
        <f ca="1">IFERROR(SUM(M299:M310),"")</f>
        <v>0</v>
      </c>
      <c r="N311" s="36" t="s">
        <v>191</v>
      </c>
      <c r="O311" s="39"/>
    </row>
    <row r="312" spans="1:15" ht="15" customHeight="1" x14ac:dyDescent="0.25">
      <c r="A312" s="69">
        <v>46215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19",F312*5,"")))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27"/>
      <c r="O312" s="47"/>
    </row>
    <row r="313" spans="1:15" ht="15" customHeight="1" x14ac:dyDescent="0.25">
      <c r="A313" s="70">
        <v>46215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27"/>
      <c r="O313" s="47"/>
    </row>
    <row r="314" spans="1:15" ht="15" customHeight="1" x14ac:dyDescent="0.25">
      <c r="A314" s="69">
        <v>46215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27"/>
      <c r="O314" s="47"/>
    </row>
    <row r="315" spans="1:15" ht="15" customHeight="1" x14ac:dyDescent="0.25">
      <c r="A315" s="70">
        <v>46215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27"/>
      <c r="O315" s="47"/>
    </row>
    <row r="316" spans="1:15" ht="15" customHeight="1" x14ac:dyDescent="0.25">
      <c r="A316" s="69">
        <v>46215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27"/>
      <c r="O316" s="47"/>
    </row>
    <row r="317" spans="1:15" ht="15" customHeight="1" x14ac:dyDescent="0.25">
      <c r="A317" s="70">
        <v>46215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27"/>
      <c r="O317" s="47"/>
    </row>
    <row r="318" spans="1:15" ht="15" customHeight="1" x14ac:dyDescent="0.25">
      <c r="A318" s="69">
        <v>46215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27"/>
      <c r="O318" s="47"/>
    </row>
    <row r="319" spans="1:15" ht="15" customHeight="1" x14ac:dyDescent="0.25">
      <c r="A319" s="70">
        <v>46215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27"/>
      <c r="O319" s="47"/>
    </row>
    <row r="320" spans="1:15" ht="15" customHeight="1" x14ac:dyDescent="0.25">
      <c r="A320" s="69">
        <v>46215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27"/>
      <c r="O320" s="47"/>
    </row>
    <row r="321" spans="1:15" ht="15" customHeight="1" x14ac:dyDescent="0.25">
      <c r="A321" s="70">
        <v>46215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47"/>
    </row>
    <row r="322" spans="1:15" ht="15" customHeight="1" x14ac:dyDescent="0.25">
      <c r="A322" s="69">
        <v>46215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47"/>
    </row>
    <row r="323" spans="1:15" ht="15" customHeight="1" x14ac:dyDescent="0.25">
      <c r="A323" s="70">
        <v>46215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47"/>
    </row>
    <row r="324" spans="1:15" ht="15.75" customHeight="1" x14ac:dyDescent="0.25">
      <c r="A324" s="79" t="s">
        <v>192</v>
      </c>
      <c r="B324" s="80"/>
      <c r="C324" s="80"/>
      <c r="D324" s="80"/>
      <c r="E324" s="81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191</v>
      </c>
      <c r="O324" s="39"/>
    </row>
    <row r="325" spans="1:15" ht="18" customHeight="1" x14ac:dyDescent="0.25">
      <c r="A325" s="82" t="s">
        <v>193</v>
      </c>
      <c r="B325" s="83"/>
      <c r="C325" s="83"/>
      <c r="D325" s="83"/>
      <c r="E325" s="84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41"/>
      <c r="L325" s="41"/>
      <c r="M325" s="42">
        <f ca="1">IFERROR(M311+M324,"")</f>
        <v>0</v>
      </c>
      <c r="N325" s="40" t="s">
        <v>194</v>
      </c>
      <c r="O325" s="48">
        <f>IFERROR(O311+O324,"")</f>
        <v>0</v>
      </c>
    </row>
    <row r="326" spans="1:15" ht="15" customHeight="1" x14ac:dyDescent="0.25">
      <c r="A326" s="69">
        <v>46216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19",F326*5,"")))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27"/>
      <c r="O326" s="47"/>
    </row>
    <row r="327" spans="1:15" ht="15" customHeight="1" x14ac:dyDescent="0.25">
      <c r="A327" s="70">
        <v>46216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27"/>
      <c r="O327" s="47"/>
    </row>
    <row r="328" spans="1:15" ht="15" customHeight="1" x14ac:dyDescent="0.25">
      <c r="A328" s="69">
        <v>46216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27"/>
      <c r="O328" s="47"/>
    </row>
    <row r="329" spans="1:15" ht="15" customHeight="1" x14ac:dyDescent="0.25">
      <c r="A329" s="70">
        <v>46216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27"/>
      <c r="O329" s="47"/>
    </row>
    <row r="330" spans="1:15" ht="15" customHeight="1" x14ac:dyDescent="0.25">
      <c r="A330" s="69">
        <v>46216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27"/>
      <c r="O330" s="47"/>
    </row>
    <row r="331" spans="1:15" ht="15" customHeight="1" x14ac:dyDescent="0.25">
      <c r="A331" s="70">
        <v>46216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27"/>
      <c r="O331" s="47"/>
    </row>
    <row r="332" spans="1:15" ht="15" customHeight="1" x14ac:dyDescent="0.25">
      <c r="A332" s="69">
        <v>46216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27"/>
      <c r="O332" s="47"/>
    </row>
    <row r="333" spans="1:15" ht="15" customHeight="1" x14ac:dyDescent="0.25">
      <c r="A333" s="70">
        <v>46216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27"/>
      <c r="O333" s="47"/>
    </row>
    <row r="334" spans="1:15" ht="15" customHeight="1" x14ac:dyDescent="0.25">
      <c r="A334" s="69">
        <v>46216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27"/>
      <c r="O334" s="47"/>
    </row>
    <row r="335" spans="1:15" ht="15" customHeight="1" x14ac:dyDescent="0.25">
      <c r="A335" s="70">
        <v>46216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27"/>
      <c r="O335" s="47"/>
    </row>
    <row r="336" spans="1:15" ht="15" customHeight="1" x14ac:dyDescent="0.25">
      <c r="A336" s="69">
        <v>46216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27"/>
      <c r="O336" s="47"/>
    </row>
    <row r="337" spans="1:15" ht="15" customHeight="1" x14ac:dyDescent="0.25">
      <c r="A337" s="70">
        <v>46216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27"/>
      <c r="O337" s="47"/>
    </row>
    <row r="338" spans="1:15" ht="15.75" customHeight="1" x14ac:dyDescent="0.25">
      <c r="A338" s="79" t="s">
        <v>190</v>
      </c>
      <c r="B338" s="80"/>
      <c r="C338" s="80"/>
      <c r="D338" s="80"/>
      <c r="E338" s="81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191</v>
      </c>
      <c r="O338" s="39"/>
    </row>
    <row r="339" spans="1:15" ht="15" customHeight="1" x14ac:dyDescent="0.25">
      <c r="A339" s="70">
        <v>46216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19",F339*5,"")))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27"/>
      <c r="O339" s="47"/>
    </row>
    <row r="340" spans="1:15" ht="15" customHeight="1" x14ac:dyDescent="0.25">
      <c r="A340" s="69">
        <v>46216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27"/>
      <c r="O340" s="47"/>
    </row>
    <row r="341" spans="1:15" ht="15" customHeight="1" x14ac:dyDescent="0.25">
      <c r="A341" s="70">
        <v>46216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27"/>
      <c r="O341" s="47"/>
    </row>
    <row r="342" spans="1:15" ht="15" customHeight="1" x14ac:dyDescent="0.25">
      <c r="A342" s="69">
        <v>46216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27"/>
      <c r="O342" s="47"/>
    </row>
    <row r="343" spans="1:15" ht="15" customHeight="1" x14ac:dyDescent="0.25">
      <c r="A343" s="70">
        <v>46216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27"/>
      <c r="O343" s="47"/>
    </row>
    <row r="344" spans="1:15" ht="15" customHeight="1" x14ac:dyDescent="0.25">
      <c r="A344" s="69">
        <v>46216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27"/>
      <c r="O344" s="47"/>
    </row>
    <row r="345" spans="1:15" ht="15" customHeight="1" x14ac:dyDescent="0.25">
      <c r="A345" s="70">
        <v>46216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27"/>
      <c r="O345" s="47"/>
    </row>
    <row r="346" spans="1:15" ht="15" customHeight="1" x14ac:dyDescent="0.25">
      <c r="A346" s="69">
        <v>46216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27"/>
      <c r="O346" s="47"/>
    </row>
    <row r="347" spans="1:15" ht="15" customHeight="1" x14ac:dyDescent="0.25">
      <c r="A347" s="70">
        <v>46216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27"/>
      <c r="O347" s="47"/>
    </row>
    <row r="348" spans="1:15" ht="15" customHeight="1" x14ac:dyDescent="0.25">
      <c r="A348" s="69">
        <v>46216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47"/>
    </row>
    <row r="349" spans="1:15" ht="15" customHeight="1" x14ac:dyDescent="0.25">
      <c r="A349" s="70">
        <v>46216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47"/>
    </row>
    <row r="350" spans="1:15" ht="15" customHeight="1" x14ac:dyDescent="0.25">
      <c r="A350" s="69">
        <v>46216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47"/>
    </row>
    <row r="351" spans="1:15" ht="15.75" customHeight="1" x14ac:dyDescent="0.25">
      <c r="A351" s="79" t="s">
        <v>192</v>
      </c>
      <c r="B351" s="80"/>
      <c r="C351" s="80"/>
      <c r="D351" s="80"/>
      <c r="E351" s="81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191</v>
      </c>
      <c r="O351" s="39"/>
    </row>
    <row r="352" spans="1:15" ht="18" customHeight="1" x14ac:dyDescent="0.25">
      <c r="A352" s="82" t="s">
        <v>193</v>
      </c>
      <c r="B352" s="83"/>
      <c r="C352" s="83"/>
      <c r="D352" s="83"/>
      <c r="E352" s="84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194</v>
      </c>
      <c r="O352" s="48">
        <f>IFERROR(O338+O351,"")</f>
        <v>0</v>
      </c>
    </row>
    <row r="353" spans="1:15" ht="15" customHeight="1" x14ac:dyDescent="0.25">
      <c r="A353" s="70">
        <v>46217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19",F353*5,"")))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27"/>
      <c r="O353" s="47"/>
    </row>
    <row r="354" spans="1:15" ht="15" customHeight="1" x14ac:dyDescent="0.25">
      <c r="A354" s="69">
        <v>46217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 x14ac:dyDescent="0.25">
      <c r="A355" s="70">
        <v>46217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27"/>
      <c r="O355" s="47"/>
    </row>
    <row r="356" spans="1:15" ht="15" customHeight="1" x14ac:dyDescent="0.25">
      <c r="A356" s="69">
        <v>46217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27"/>
      <c r="O356" s="47"/>
    </row>
    <row r="357" spans="1:15" ht="15" customHeight="1" x14ac:dyDescent="0.25">
      <c r="A357" s="70">
        <v>46217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27"/>
      <c r="O357" s="47"/>
    </row>
    <row r="358" spans="1:15" ht="15" customHeight="1" x14ac:dyDescent="0.25">
      <c r="A358" s="69">
        <v>46217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27"/>
      <c r="O358" s="47"/>
    </row>
    <row r="359" spans="1:15" ht="15" customHeight="1" x14ac:dyDescent="0.25">
      <c r="A359" s="70">
        <v>46217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47"/>
    </row>
    <row r="360" spans="1:15" ht="15" customHeight="1" x14ac:dyDescent="0.25">
      <c r="A360" s="69">
        <v>46217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47"/>
    </row>
    <row r="361" spans="1:15" ht="15" customHeight="1" x14ac:dyDescent="0.25">
      <c r="A361" s="70">
        <v>46217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 x14ac:dyDescent="0.25">
      <c r="A362" s="69">
        <v>46217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 x14ac:dyDescent="0.25">
      <c r="A363" s="70">
        <v>46217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47"/>
    </row>
    <row r="364" spans="1:15" ht="15" customHeight="1" x14ac:dyDescent="0.25">
      <c r="A364" s="69">
        <v>46217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47"/>
    </row>
    <row r="365" spans="1:15" ht="15.75" customHeight="1" x14ac:dyDescent="0.25">
      <c r="A365" s="79" t="s">
        <v>190</v>
      </c>
      <c r="B365" s="80"/>
      <c r="C365" s="80"/>
      <c r="D365" s="80"/>
      <c r="E365" s="81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191</v>
      </c>
      <c r="O365" s="39"/>
    </row>
    <row r="366" spans="1:15" ht="15" customHeight="1" x14ac:dyDescent="0.25">
      <c r="A366" s="69">
        <v>46217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19",F366*5,"")))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27"/>
      <c r="O366" s="47"/>
    </row>
    <row r="367" spans="1:15" ht="15" customHeight="1" x14ac:dyDescent="0.25">
      <c r="A367" s="70">
        <v>46217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27"/>
      <c r="O367" s="47"/>
    </row>
    <row r="368" spans="1:15" ht="15" customHeight="1" x14ac:dyDescent="0.25">
      <c r="A368" s="69">
        <v>46217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27"/>
      <c r="O368" s="47"/>
    </row>
    <row r="369" spans="1:15" ht="15" customHeight="1" x14ac:dyDescent="0.25">
      <c r="A369" s="70">
        <v>46217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27"/>
      <c r="O369" s="47"/>
    </row>
    <row r="370" spans="1:15" ht="15" customHeight="1" x14ac:dyDescent="0.25">
      <c r="A370" s="69">
        <v>46217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27"/>
      <c r="O370" s="47"/>
    </row>
    <row r="371" spans="1:15" ht="15" customHeight="1" x14ac:dyDescent="0.25">
      <c r="A371" s="70">
        <v>46217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27"/>
      <c r="O371" s="47"/>
    </row>
    <row r="372" spans="1:15" ht="15" customHeight="1" x14ac:dyDescent="0.25">
      <c r="A372" s="69">
        <v>46217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27"/>
      <c r="O372" s="47"/>
    </row>
    <row r="373" spans="1:15" ht="15" customHeight="1" x14ac:dyDescent="0.25">
      <c r="A373" s="70">
        <v>46217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27"/>
      <c r="O373" s="47"/>
    </row>
    <row r="374" spans="1:15" ht="15" customHeight="1" x14ac:dyDescent="0.25">
      <c r="A374" s="69">
        <v>46217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27"/>
      <c r="O374" s="47"/>
    </row>
    <row r="375" spans="1:15" ht="15" customHeight="1" x14ac:dyDescent="0.25">
      <c r="A375" s="70">
        <v>46217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27"/>
      <c r="O375" s="47"/>
    </row>
    <row r="376" spans="1:15" ht="15" customHeight="1" x14ac:dyDescent="0.25">
      <c r="A376" s="69">
        <v>46217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27"/>
      <c r="O376" s="47"/>
    </row>
    <row r="377" spans="1:15" ht="15" customHeight="1" x14ac:dyDescent="0.25">
      <c r="A377" s="70">
        <v>46217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27"/>
      <c r="O377" s="47"/>
    </row>
    <row r="378" spans="1:15" ht="15.75" customHeight="1" x14ac:dyDescent="0.25">
      <c r="A378" s="79" t="s">
        <v>192</v>
      </c>
      <c r="B378" s="80"/>
      <c r="C378" s="80"/>
      <c r="D378" s="80"/>
      <c r="E378" s="81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191</v>
      </c>
      <c r="O378" s="39"/>
    </row>
    <row r="379" spans="1:15" ht="18" customHeight="1" x14ac:dyDescent="0.25">
      <c r="A379" s="82" t="s">
        <v>193</v>
      </c>
      <c r="B379" s="83"/>
      <c r="C379" s="83"/>
      <c r="D379" s="83"/>
      <c r="E379" s="84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194</v>
      </c>
      <c r="O379" s="48">
        <f>IFERROR(O365+O378,"")</f>
        <v>0</v>
      </c>
    </row>
    <row r="380" spans="1:15" ht="15" customHeight="1" x14ac:dyDescent="0.25">
      <c r="A380" s="69">
        <v>46218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19",F380*5,"")))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27"/>
      <c r="O380" s="47"/>
    </row>
    <row r="381" spans="1:15" ht="15" customHeight="1" x14ac:dyDescent="0.25">
      <c r="A381" s="70">
        <v>46218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27"/>
      <c r="O381" s="47"/>
    </row>
    <row r="382" spans="1:15" ht="15" customHeight="1" x14ac:dyDescent="0.25">
      <c r="A382" s="69">
        <v>46218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27"/>
      <c r="O382" s="47"/>
    </row>
    <row r="383" spans="1:15" ht="15" customHeight="1" x14ac:dyDescent="0.25">
      <c r="A383" s="70">
        <v>46218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27"/>
      <c r="O383" s="47"/>
    </row>
    <row r="384" spans="1:15" ht="15" customHeight="1" x14ac:dyDescent="0.25">
      <c r="A384" s="69">
        <v>46218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47"/>
    </row>
    <row r="385" spans="1:15" ht="15" customHeight="1" x14ac:dyDescent="0.25">
      <c r="A385" s="70">
        <v>46218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47"/>
    </row>
    <row r="386" spans="1:15" ht="15" customHeight="1" x14ac:dyDescent="0.25">
      <c r="A386" s="69">
        <v>46218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47"/>
    </row>
    <row r="387" spans="1:15" ht="15" customHeight="1" x14ac:dyDescent="0.25">
      <c r="A387" s="70">
        <v>46218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47"/>
    </row>
    <row r="388" spans="1:15" ht="15" customHeight="1" x14ac:dyDescent="0.25">
      <c r="A388" s="69">
        <v>46218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47"/>
    </row>
    <row r="389" spans="1:15" ht="15" customHeight="1" x14ac:dyDescent="0.25">
      <c r="A389" s="70">
        <v>46218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47"/>
    </row>
    <row r="390" spans="1:15" ht="15" customHeight="1" x14ac:dyDescent="0.25">
      <c r="A390" s="69">
        <v>46218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47"/>
    </row>
    <row r="391" spans="1:15" ht="15" customHeight="1" x14ac:dyDescent="0.25">
      <c r="A391" s="70">
        <v>46218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47"/>
    </row>
    <row r="392" spans="1:15" ht="15.75" customHeight="1" x14ac:dyDescent="0.25">
      <c r="A392" s="79" t="s">
        <v>190</v>
      </c>
      <c r="B392" s="80"/>
      <c r="C392" s="80"/>
      <c r="D392" s="80"/>
      <c r="E392" s="81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191</v>
      </c>
      <c r="O392" s="39"/>
    </row>
    <row r="393" spans="1:15" ht="15" customHeight="1" x14ac:dyDescent="0.25">
      <c r="A393" s="70">
        <v>46218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19",F393*5,"")))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27"/>
      <c r="O393" s="47"/>
    </row>
    <row r="394" spans="1:15" ht="15" customHeight="1" x14ac:dyDescent="0.25">
      <c r="A394" s="69">
        <v>46218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27"/>
      <c r="O394" s="47"/>
    </row>
    <row r="395" spans="1:15" ht="15" customHeight="1" x14ac:dyDescent="0.25">
      <c r="A395" s="70">
        <v>46218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27"/>
      <c r="O395" s="47"/>
    </row>
    <row r="396" spans="1:15" ht="15" customHeight="1" x14ac:dyDescent="0.25">
      <c r="A396" s="69">
        <v>46218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47"/>
    </row>
    <row r="397" spans="1:15" ht="15" customHeight="1" x14ac:dyDescent="0.25">
      <c r="A397" s="70">
        <v>46218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47"/>
    </row>
    <row r="398" spans="1:15" ht="15" customHeight="1" x14ac:dyDescent="0.25">
      <c r="A398" s="69">
        <v>46218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47"/>
    </row>
    <row r="399" spans="1:15" ht="15" customHeight="1" x14ac:dyDescent="0.25">
      <c r="A399" s="70">
        <v>46218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47"/>
    </row>
    <row r="400" spans="1:15" ht="15" customHeight="1" x14ac:dyDescent="0.25">
      <c r="A400" s="69">
        <v>46218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47"/>
    </row>
    <row r="401" spans="1:15" ht="15" customHeight="1" x14ac:dyDescent="0.25">
      <c r="A401" s="70">
        <v>46218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47"/>
    </row>
    <row r="402" spans="1:15" ht="15" customHeight="1" x14ac:dyDescent="0.25">
      <c r="A402" s="69">
        <v>46218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47"/>
    </row>
    <row r="403" spans="1:15" ht="15" customHeight="1" x14ac:dyDescent="0.25">
      <c r="A403" s="70">
        <v>46218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47"/>
    </row>
    <row r="404" spans="1:15" ht="15" customHeight="1" x14ac:dyDescent="0.25">
      <c r="A404" s="69">
        <v>46218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47"/>
    </row>
    <row r="405" spans="1:15" ht="15.75" customHeight="1" x14ac:dyDescent="0.25">
      <c r="A405" s="79" t="s">
        <v>192</v>
      </c>
      <c r="B405" s="80"/>
      <c r="C405" s="80"/>
      <c r="D405" s="80"/>
      <c r="E405" s="81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191</v>
      </c>
      <c r="O405" s="39"/>
    </row>
    <row r="406" spans="1:15" ht="18" customHeight="1" x14ac:dyDescent="0.25">
      <c r="A406" s="82" t="s">
        <v>193</v>
      </c>
      <c r="B406" s="83"/>
      <c r="C406" s="83"/>
      <c r="D406" s="83"/>
      <c r="E406" s="84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194</v>
      </c>
      <c r="O406" s="48">
        <f>IFERROR(O392+O405,"")</f>
        <v>0</v>
      </c>
    </row>
    <row r="407" spans="1:15" ht="15" customHeight="1" x14ac:dyDescent="0.25">
      <c r="A407" s="70">
        <v>46219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19",F407*5,"")))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27"/>
      <c r="O407" s="47"/>
    </row>
    <row r="408" spans="1:15" ht="15" customHeight="1" x14ac:dyDescent="0.25">
      <c r="A408" s="69">
        <v>46219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27"/>
      <c r="O408" s="47"/>
    </row>
    <row r="409" spans="1:15" ht="15" customHeight="1" x14ac:dyDescent="0.25">
      <c r="A409" s="70">
        <v>46219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27"/>
      <c r="O409" s="47"/>
    </row>
    <row r="410" spans="1:15" ht="15" customHeight="1" x14ac:dyDescent="0.25">
      <c r="A410" s="69">
        <v>46219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27"/>
      <c r="O410" s="47"/>
    </row>
    <row r="411" spans="1:15" ht="15" customHeight="1" x14ac:dyDescent="0.25">
      <c r="A411" s="70">
        <v>46219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47"/>
    </row>
    <row r="412" spans="1:15" ht="15" customHeight="1" x14ac:dyDescent="0.25">
      <c r="A412" s="69">
        <v>46219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47"/>
    </row>
    <row r="413" spans="1:15" ht="15" customHeight="1" x14ac:dyDescent="0.25">
      <c r="A413" s="70">
        <v>46219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47"/>
    </row>
    <row r="414" spans="1:15" ht="15" customHeight="1" x14ac:dyDescent="0.25">
      <c r="A414" s="69">
        <v>46219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47"/>
    </row>
    <row r="415" spans="1:15" ht="15" customHeight="1" x14ac:dyDescent="0.25">
      <c r="A415" s="70">
        <v>46219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47"/>
    </row>
    <row r="416" spans="1:15" ht="15" customHeight="1" x14ac:dyDescent="0.25">
      <c r="A416" s="69">
        <v>46219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47"/>
    </row>
    <row r="417" spans="1:15" ht="15" customHeight="1" x14ac:dyDescent="0.25">
      <c r="A417" s="70">
        <v>46219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47"/>
    </row>
    <row r="418" spans="1:15" ht="15" customHeight="1" x14ac:dyDescent="0.25">
      <c r="A418" s="69">
        <v>46219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27"/>
      <c r="O418" s="47"/>
    </row>
    <row r="419" spans="1:15" ht="15.75" customHeight="1" x14ac:dyDescent="0.25">
      <c r="A419" s="79" t="s">
        <v>190</v>
      </c>
      <c r="B419" s="80"/>
      <c r="C419" s="80"/>
      <c r="D419" s="80"/>
      <c r="E419" s="81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191</v>
      </c>
      <c r="O419" s="39"/>
    </row>
    <row r="420" spans="1:15" ht="15" customHeight="1" x14ac:dyDescent="0.25">
      <c r="A420" s="69">
        <v>46219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19",F420*5,"")))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27"/>
      <c r="O420" s="47"/>
    </row>
    <row r="421" spans="1:15" ht="15" customHeight="1" x14ac:dyDescent="0.25">
      <c r="A421" s="70">
        <v>46219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27"/>
      <c r="O421" s="47"/>
    </row>
    <row r="422" spans="1:15" ht="15" customHeight="1" x14ac:dyDescent="0.25">
      <c r="A422" s="69">
        <v>46219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27"/>
      <c r="O422" s="47"/>
    </row>
    <row r="423" spans="1:15" ht="15" customHeight="1" x14ac:dyDescent="0.25">
      <c r="A423" s="70">
        <v>46219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47"/>
    </row>
    <row r="424" spans="1:15" ht="15" customHeight="1" x14ac:dyDescent="0.25">
      <c r="A424" s="69">
        <v>46219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47"/>
    </row>
    <row r="425" spans="1:15" ht="15" customHeight="1" x14ac:dyDescent="0.25">
      <c r="A425" s="70">
        <v>46219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47"/>
    </row>
    <row r="426" spans="1:15" ht="15" customHeight="1" x14ac:dyDescent="0.25">
      <c r="A426" s="69">
        <v>46219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47"/>
    </row>
    <row r="427" spans="1:15" ht="15" customHeight="1" x14ac:dyDescent="0.25">
      <c r="A427" s="70">
        <v>46219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47"/>
    </row>
    <row r="428" spans="1:15" ht="15" customHeight="1" x14ac:dyDescent="0.25">
      <c r="A428" s="69">
        <v>46219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47"/>
    </row>
    <row r="429" spans="1:15" ht="15" customHeight="1" x14ac:dyDescent="0.25">
      <c r="A429" s="70">
        <v>46219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47"/>
    </row>
    <row r="430" spans="1:15" ht="15" customHeight="1" x14ac:dyDescent="0.25">
      <c r="A430" s="69">
        <v>46219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47"/>
    </row>
    <row r="431" spans="1:15" ht="15" customHeight="1" x14ac:dyDescent="0.25">
      <c r="A431" s="70">
        <v>46219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47"/>
    </row>
    <row r="432" spans="1:15" ht="15.75" customHeight="1" x14ac:dyDescent="0.25">
      <c r="A432" s="79" t="s">
        <v>192</v>
      </c>
      <c r="B432" s="80"/>
      <c r="C432" s="80"/>
      <c r="D432" s="80"/>
      <c r="E432" s="81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191</v>
      </c>
      <c r="O432" s="39"/>
    </row>
    <row r="433" spans="1:15" ht="18" customHeight="1" x14ac:dyDescent="0.25">
      <c r="A433" s="82" t="s">
        <v>193</v>
      </c>
      <c r="B433" s="83"/>
      <c r="C433" s="83"/>
      <c r="D433" s="83"/>
      <c r="E433" s="84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194</v>
      </c>
      <c r="O433" s="48">
        <f>IFERROR(O419+O432,"")</f>
        <v>0</v>
      </c>
    </row>
    <row r="434" spans="1:15" ht="15" customHeight="1" x14ac:dyDescent="0.25">
      <c r="A434" s="69">
        <v>46220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19",F434*5,"")))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27"/>
      <c r="O434" s="47"/>
    </row>
    <row r="435" spans="1:15" ht="15" customHeight="1" x14ac:dyDescent="0.25">
      <c r="A435" s="70">
        <v>46220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47"/>
    </row>
    <row r="436" spans="1:15" ht="15" customHeight="1" x14ac:dyDescent="0.25">
      <c r="A436" s="69">
        <v>46220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47"/>
    </row>
    <row r="437" spans="1:15" ht="15" customHeight="1" x14ac:dyDescent="0.25">
      <c r="A437" s="70">
        <v>46220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47"/>
    </row>
    <row r="438" spans="1:15" ht="15" customHeight="1" x14ac:dyDescent="0.25">
      <c r="A438" s="69">
        <v>46220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47"/>
    </row>
    <row r="439" spans="1:15" ht="15" customHeight="1" x14ac:dyDescent="0.25">
      <c r="A439" s="70">
        <v>46220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 x14ac:dyDescent="0.25">
      <c r="A440" s="69">
        <v>46220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47"/>
    </row>
    <row r="441" spans="1:15" ht="15" customHeight="1" x14ac:dyDescent="0.25">
      <c r="A441" s="70">
        <v>46220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47"/>
    </row>
    <row r="442" spans="1:15" ht="15" customHeight="1" x14ac:dyDescent="0.25">
      <c r="A442" s="69">
        <v>46220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47"/>
    </row>
    <row r="443" spans="1:15" ht="15" customHeight="1" x14ac:dyDescent="0.25">
      <c r="A443" s="70">
        <v>46220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47"/>
    </row>
    <row r="444" spans="1:15" ht="15" customHeight="1" x14ac:dyDescent="0.25">
      <c r="A444" s="69">
        <v>46220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47"/>
    </row>
    <row r="445" spans="1:15" ht="15" customHeight="1" x14ac:dyDescent="0.25">
      <c r="A445" s="70">
        <v>46220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47"/>
    </row>
    <row r="446" spans="1:15" ht="15.75" customHeight="1" x14ac:dyDescent="0.25">
      <c r="A446" s="79" t="s">
        <v>190</v>
      </c>
      <c r="B446" s="80"/>
      <c r="C446" s="80"/>
      <c r="D446" s="80"/>
      <c r="E446" s="81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191</v>
      </c>
      <c r="O446" s="39"/>
    </row>
    <row r="447" spans="1:15" ht="15" customHeight="1" x14ac:dyDescent="0.25">
      <c r="A447" s="70">
        <v>46220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19",F447*5,"")))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27"/>
      <c r="O447" s="47"/>
    </row>
    <row r="448" spans="1:15" ht="15" customHeight="1" x14ac:dyDescent="0.25">
      <c r="A448" s="69">
        <v>46220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27"/>
      <c r="O448" s="47"/>
    </row>
    <row r="449" spans="1:15" ht="15" customHeight="1" x14ac:dyDescent="0.25">
      <c r="A449" s="70">
        <v>46220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27"/>
      <c r="O449" s="47"/>
    </row>
    <row r="450" spans="1:15" ht="15" customHeight="1" x14ac:dyDescent="0.25">
      <c r="A450" s="69">
        <v>46220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27"/>
      <c r="O450" s="47"/>
    </row>
    <row r="451" spans="1:15" ht="15" customHeight="1" x14ac:dyDescent="0.25">
      <c r="A451" s="70">
        <v>46220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27"/>
      <c r="O451" s="47"/>
    </row>
    <row r="452" spans="1:15" ht="15" customHeight="1" x14ac:dyDescent="0.25">
      <c r="A452" s="69">
        <v>46220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27"/>
      <c r="O452" s="47"/>
    </row>
    <row r="453" spans="1:15" ht="15" customHeight="1" x14ac:dyDescent="0.25">
      <c r="A453" s="70">
        <v>46220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47"/>
    </row>
    <row r="454" spans="1:15" ht="15" customHeight="1" x14ac:dyDescent="0.25">
      <c r="A454" s="69">
        <v>46220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47"/>
    </row>
    <row r="455" spans="1:15" ht="15" customHeight="1" x14ac:dyDescent="0.25">
      <c r="A455" s="70">
        <v>46220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47"/>
    </row>
    <row r="456" spans="1:15" ht="15" customHeight="1" x14ac:dyDescent="0.25">
      <c r="A456" s="69">
        <v>46220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47"/>
    </row>
    <row r="457" spans="1:15" ht="15" customHeight="1" x14ac:dyDescent="0.25">
      <c r="A457" s="70">
        <v>46220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47"/>
    </row>
    <row r="458" spans="1:15" ht="15" customHeight="1" x14ac:dyDescent="0.25">
      <c r="A458" s="69">
        <v>46220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47"/>
    </row>
    <row r="459" spans="1:15" ht="15.75" customHeight="1" x14ac:dyDescent="0.25">
      <c r="A459" s="79" t="s">
        <v>192</v>
      </c>
      <c r="B459" s="80"/>
      <c r="C459" s="80"/>
      <c r="D459" s="80"/>
      <c r="E459" s="81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191</v>
      </c>
      <c r="O459" s="39"/>
    </row>
    <row r="460" spans="1:15" ht="18" customHeight="1" x14ac:dyDescent="0.25">
      <c r="A460" s="82" t="s">
        <v>193</v>
      </c>
      <c r="B460" s="83"/>
      <c r="C460" s="83"/>
      <c r="D460" s="83"/>
      <c r="E460" s="84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194</v>
      </c>
      <c r="O460" s="48">
        <f>IFERROR(O446+O459,"")</f>
        <v>0</v>
      </c>
    </row>
    <row r="461" spans="1:15" ht="15" customHeight="1" x14ac:dyDescent="0.25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27"/>
      <c r="O461" s="47"/>
    </row>
    <row r="462" spans="1:15" ht="15" customHeight="1" x14ac:dyDescent="0.25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27"/>
      <c r="O462" s="47"/>
    </row>
    <row r="463" spans="1:15" ht="15" customHeight="1" x14ac:dyDescent="0.25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27"/>
      <c r="O463" s="47"/>
    </row>
    <row r="464" spans="1:15" ht="15" customHeight="1" x14ac:dyDescent="0.25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47"/>
    </row>
    <row r="465" spans="1:15" ht="15" customHeight="1" x14ac:dyDescent="0.25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47"/>
    </row>
    <row r="466" spans="1:15" ht="15" customHeight="1" x14ac:dyDescent="0.25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47"/>
    </row>
    <row r="467" spans="1:15" ht="15" customHeight="1" x14ac:dyDescent="0.25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47"/>
    </row>
    <row r="468" spans="1:15" ht="15" customHeight="1" x14ac:dyDescent="0.25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47"/>
    </row>
    <row r="469" spans="1:15" ht="15" customHeight="1" x14ac:dyDescent="0.25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47"/>
    </row>
    <row r="470" spans="1:15" ht="15" customHeight="1" x14ac:dyDescent="0.25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47"/>
    </row>
    <row r="471" spans="1:15" ht="15" customHeight="1" x14ac:dyDescent="0.25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47"/>
    </row>
    <row r="472" spans="1:15" ht="15" customHeight="1" x14ac:dyDescent="0.25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47"/>
    </row>
    <row r="473" spans="1:15" ht="15.75" customHeight="1" x14ac:dyDescent="0.25">
      <c r="A473" s="79" t="s">
        <v>190</v>
      </c>
      <c r="B473" s="80"/>
      <c r="C473" s="80"/>
      <c r="D473" s="80"/>
      <c r="E473" s="81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191</v>
      </c>
      <c r="O473" s="39"/>
    </row>
    <row r="474" spans="1:15" ht="15" customHeight="1" x14ac:dyDescent="0.25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27"/>
      <c r="O474" s="47"/>
    </row>
    <row r="475" spans="1:15" ht="15" customHeight="1" x14ac:dyDescent="0.25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47"/>
    </row>
    <row r="476" spans="1:15" ht="15" customHeight="1" x14ac:dyDescent="0.25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47"/>
    </row>
    <row r="477" spans="1:15" ht="15" customHeight="1" x14ac:dyDescent="0.25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47"/>
    </row>
    <row r="478" spans="1:15" ht="15" customHeight="1" x14ac:dyDescent="0.25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47"/>
    </row>
    <row r="479" spans="1:15" ht="15" customHeight="1" x14ac:dyDescent="0.25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47"/>
    </row>
    <row r="480" spans="1:15" ht="15" customHeight="1" x14ac:dyDescent="0.25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47"/>
    </row>
    <row r="481" spans="1:15" ht="15" customHeight="1" x14ac:dyDescent="0.25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47"/>
    </row>
    <row r="482" spans="1:15" ht="15" customHeight="1" x14ac:dyDescent="0.25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47"/>
    </row>
    <row r="483" spans="1:15" ht="15" customHeight="1" x14ac:dyDescent="0.25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47"/>
    </row>
    <row r="484" spans="1:15" ht="15" customHeight="1" x14ac:dyDescent="0.25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47"/>
    </row>
    <row r="485" spans="1:15" ht="15" customHeight="1" x14ac:dyDescent="0.25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47"/>
    </row>
    <row r="486" spans="1:15" ht="15.75" customHeight="1" x14ac:dyDescent="0.25">
      <c r="A486" s="79" t="s">
        <v>192</v>
      </c>
      <c r="B486" s="80"/>
      <c r="C486" s="80"/>
      <c r="D486" s="80"/>
      <c r="E486" s="81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191</v>
      </c>
      <c r="O486" s="39"/>
    </row>
    <row r="487" spans="1:15" ht="18" customHeight="1" x14ac:dyDescent="0.25">
      <c r="A487" s="82" t="s">
        <v>193</v>
      </c>
      <c r="B487" s="83"/>
      <c r="C487" s="83"/>
      <c r="D487" s="83"/>
      <c r="E487" s="84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194</v>
      </c>
      <c r="O487" s="48">
        <f>IFERROR(O473+O486,"")</f>
        <v>0</v>
      </c>
    </row>
    <row r="488" spans="1:15" ht="15" customHeight="1" x14ac:dyDescent="0.25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27"/>
      <c r="O488" s="47"/>
    </row>
    <row r="489" spans="1:15" ht="15" customHeight="1" x14ac:dyDescent="0.25">
      <c r="A489" s="70">
        <v>46222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27"/>
      <c r="O489" s="47"/>
    </row>
    <row r="490" spans="1:15" ht="15" customHeight="1" x14ac:dyDescent="0.25">
      <c r="A490" s="69">
        <v>46222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27"/>
      <c r="O490" s="47"/>
    </row>
    <row r="491" spans="1:15" ht="15" customHeight="1" x14ac:dyDescent="0.25">
      <c r="A491" s="70">
        <v>46222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27"/>
      <c r="O491" s="47"/>
    </row>
    <row r="492" spans="1:15" ht="15" customHeight="1" x14ac:dyDescent="0.25">
      <c r="A492" s="69">
        <v>46222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27"/>
      <c r="O492" s="47"/>
    </row>
    <row r="493" spans="1:15" ht="15" customHeight="1" x14ac:dyDescent="0.25">
      <c r="A493" s="70">
        <v>46222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27"/>
      <c r="O493" s="47"/>
    </row>
    <row r="494" spans="1:15" ht="15" customHeight="1" x14ac:dyDescent="0.25">
      <c r="A494" s="69">
        <v>46222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27"/>
      <c r="O494" s="47"/>
    </row>
    <row r="495" spans="1:15" ht="15" customHeight="1" x14ac:dyDescent="0.25">
      <c r="A495" s="70">
        <v>46222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27"/>
      <c r="O495" s="47"/>
    </row>
    <row r="496" spans="1:15" ht="15" customHeight="1" x14ac:dyDescent="0.25">
      <c r="A496" s="69">
        <v>46222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27"/>
      <c r="O496" s="47"/>
    </row>
    <row r="497" spans="1:15" ht="15" customHeight="1" x14ac:dyDescent="0.25">
      <c r="A497" s="70">
        <v>46222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27"/>
      <c r="O497" s="47"/>
    </row>
    <row r="498" spans="1:15" ht="15" customHeight="1" x14ac:dyDescent="0.25">
      <c r="A498" s="69">
        <v>46222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27"/>
      <c r="O498" s="47"/>
    </row>
    <row r="499" spans="1:15" ht="15" customHeight="1" x14ac:dyDescent="0.25">
      <c r="A499" s="70">
        <v>46222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27"/>
      <c r="O499" s="47"/>
    </row>
    <row r="500" spans="1:15" ht="15.75" customHeight="1" x14ac:dyDescent="0.25">
      <c r="A500" s="79" t="s">
        <v>190</v>
      </c>
      <c r="B500" s="80"/>
      <c r="C500" s="80"/>
      <c r="D500" s="80"/>
      <c r="E500" s="81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191</v>
      </c>
      <c r="O500" s="39"/>
    </row>
    <row r="501" spans="1:15" ht="15" customHeight="1" x14ac:dyDescent="0.25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27"/>
      <c r="O501" s="47"/>
    </row>
    <row r="502" spans="1:15" ht="15" customHeight="1" x14ac:dyDescent="0.25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47"/>
    </row>
    <row r="503" spans="1:15" ht="15" customHeight="1" x14ac:dyDescent="0.25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47"/>
    </row>
    <row r="504" spans="1:15" ht="15" customHeight="1" x14ac:dyDescent="0.25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47"/>
    </row>
    <row r="505" spans="1:15" ht="15" customHeight="1" x14ac:dyDescent="0.25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47"/>
    </row>
    <row r="506" spans="1:15" ht="15" customHeight="1" x14ac:dyDescent="0.25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47"/>
    </row>
    <row r="507" spans="1:15" ht="15" customHeight="1" x14ac:dyDescent="0.25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47"/>
    </row>
    <row r="508" spans="1:15" ht="15" customHeight="1" x14ac:dyDescent="0.25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47"/>
    </row>
    <row r="509" spans="1:15" ht="15" customHeight="1" x14ac:dyDescent="0.25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47"/>
    </row>
    <row r="510" spans="1:15" ht="15" customHeight="1" x14ac:dyDescent="0.25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47"/>
    </row>
    <row r="511" spans="1:15" ht="15" customHeight="1" x14ac:dyDescent="0.25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47"/>
    </row>
    <row r="512" spans="1:15" ht="15" customHeight="1" x14ac:dyDescent="0.25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47"/>
    </row>
    <row r="513" spans="1:15" ht="15.75" customHeight="1" x14ac:dyDescent="0.25">
      <c r="A513" s="79" t="s">
        <v>192</v>
      </c>
      <c r="B513" s="80"/>
      <c r="C513" s="80"/>
      <c r="D513" s="80"/>
      <c r="E513" s="81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191</v>
      </c>
      <c r="O513" s="39"/>
    </row>
    <row r="514" spans="1:15" ht="18" customHeight="1" x14ac:dyDescent="0.25">
      <c r="A514" s="82" t="s">
        <v>193</v>
      </c>
      <c r="B514" s="83"/>
      <c r="C514" s="83"/>
      <c r="D514" s="83"/>
      <c r="E514" s="84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194</v>
      </c>
      <c r="O514" s="48">
        <f>IFERROR(O500+O513,"")</f>
        <v>0</v>
      </c>
    </row>
    <row r="515" spans="1:15" ht="15" customHeight="1" x14ac:dyDescent="0.25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27"/>
      <c r="O515" s="47"/>
    </row>
    <row r="516" spans="1:15" ht="15" customHeight="1" x14ac:dyDescent="0.25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27"/>
      <c r="O516" s="47"/>
    </row>
    <row r="517" spans="1:15" ht="15" customHeight="1" x14ac:dyDescent="0.25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27"/>
      <c r="O517" s="47"/>
    </row>
    <row r="518" spans="1:15" ht="15" customHeight="1" x14ac:dyDescent="0.25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27"/>
      <c r="O518" s="47"/>
    </row>
    <row r="519" spans="1:15" ht="15" customHeight="1" x14ac:dyDescent="0.25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47"/>
    </row>
    <row r="520" spans="1:15" ht="15" customHeight="1" x14ac:dyDescent="0.25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47"/>
    </row>
    <row r="521" spans="1:15" ht="15" customHeight="1" x14ac:dyDescent="0.25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47"/>
    </row>
    <row r="522" spans="1:15" ht="15" customHeight="1" x14ac:dyDescent="0.25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47"/>
    </row>
    <row r="523" spans="1:15" ht="15" customHeight="1" x14ac:dyDescent="0.25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47"/>
    </row>
    <row r="524" spans="1:15" ht="15" customHeight="1" x14ac:dyDescent="0.25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47"/>
    </row>
    <row r="525" spans="1:15" ht="15" customHeight="1" x14ac:dyDescent="0.25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47"/>
    </row>
    <row r="526" spans="1:15" ht="15" customHeight="1" x14ac:dyDescent="0.25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47"/>
    </row>
    <row r="527" spans="1:15" ht="15.75" customHeight="1" x14ac:dyDescent="0.25">
      <c r="A527" s="79" t="s">
        <v>190</v>
      </c>
      <c r="B527" s="80"/>
      <c r="C527" s="80"/>
      <c r="D527" s="80"/>
      <c r="E527" s="81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191</v>
      </c>
      <c r="O527" s="39"/>
    </row>
    <row r="528" spans="1:15" ht="15" customHeight="1" x14ac:dyDescent="0.25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27"/>
      <c r="O528" s="47"/>
    </row>
    <row r="529" spans="1:15" ht="15" customHeight="1" x14ac:dyDescent="0.25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27"/>
      <c r="O529" s="47"/>
    </row>
    <row r="530" spans="1:15" ht="15" customHeight="1" x14ac:dyDescent="0.25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27"/>
      <c r="O530" s="47"/>
    </row>
    <row r="531" spans="1:15" ht="15" customHeight="1" x14ac:dyDescent="0.25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27"/>
      <c r="O531" s="47"/>
    </row>
    <row r="532" spans="1:15" ht="15" customHeight="1" x14ac:dyDescent="0.25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27"/>
      <c r="O532" s="47"/>
    </row>
    <row r="533" spans="1:15" ht="15" customHeight="1" x14ac:dyDescent="0.25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27"/>
      <c r="O533" s="47"/>
    </row>
    <row r="534" spans="1:15" ht="15" customHeight="1" x14ac:dyDescent="0.25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47"/>
    </row>
    <row r="535" spans="1:15" ht="15" customHeight="1" x14ac:dyDescent="0.25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47"/>
    </row>
    <row r="536" spans="1:15" ht="15" customHeight="1" x14ac:dyDescent="0.25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47"/>
    </row>
    <row r="537" spans="1:15" ht="15" customHeight="1" x14ac:dyDescent="0.25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47"/>
    </row>
    <row r="538" spans="1:15" ht="15" customHeight="1" x14ac:dyDescent="0.25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47"/>
    </row>
    <row r="539" spans="1:15" ht="15" customHeight="1" x14ac:dyDescent="0.25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47"/>
    </row>
    <row r="540" spans="1:15" ht="15.75" customHeight="1" x14ac:dyDescent="0.25">
      <c r="A540" s="79" t="s">
        <v>192</v>
      </c>
      <c r="B540" s="80"/>
      <c r="C540" s="80"/>
      <c r="D540" s="80"/>
      <c r="E540" s="81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191</v>
      </c>
      <c r="O540" s="39"/>
    </row>
    <row r="541" spans="1:15" ht="18" customHeight="1" x14ac:dyDescent="0.25">
      <c r="A541" s="82" t="s">
        <v>193</v>
      </c>
      <c r="B541" s="83"/>
      <c r="C541" s="83"/>
      <c r="D541" s="83"/>
      <c r="E541" s="84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194</v>
      </c>
      <c r="O541" s="48">
        <f>IFERROR(O527+O540,"")</f>
        <v>0</v>
      </c>
    </row>
    <row r="542" spans="1:15" ht="15" customHeight="1" x14ac:dyDescent="0.25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27"/>
      <c r="O542" s="47"/>
    </row>
    <row r="543" spans="1:15" ht="15" customHeight="1" x14ac:dyDescent="0.25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27"/>
      <c r="O543" s="47"/>
    </row>
    <row r="544" spans="1:15" ht="15" customHeight="1" x14ac:dyDescent="0.25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27"/>
      <c r="O544" s="47"/>
    </row>
    <row r="545" spans="1:15" ht="15" customHeight="1" x14ac:dyDescent="0.25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47"/>
    </row>
    <row r="546" spans="1:15" ht="15" customHeight="1" x14ac:dyDescent="0.25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47"/>
    </row>
    <row r="547" spans="1:15" ht="15" customHeight="1" x14ac:dyDescent="0.25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47"/>
    </row>
    <row r="548" spans="1:15" ht="15" customHeight="1" x14ac:dyDescent="0.25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47"/>
    </row>
    <row r="549" spans="1:15" ht="15" customHeight="1" x14ac:dyDescent="0.25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47"/>
    </row>
    <row r="550" spans="1:15" ht="15" customHeight="1" x14ac:dyDescent="0.25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47"/>
    </row>
    <row r="551" spans="1:15" ht="15" customHeight="1" x14ac:dyDescent="0.25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47"/>
    </row>
    <row r="552" spans="1:15" ht="15" customHeight="1" x14ac:dyDescent="0.25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47"/>
    </row>
    <row r="553" spans="1:15" ht="15" customHeight="1" x14ac:dyDescent="0.25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47"/>
    </row>
    <row r="554" spans="1:15" ht="15.75" customHeight="1" x14ac:dyDescent="0.25">
      <c r="A554" s="79" t="s">
        <v>190</v>
      </c>
      <c r="B554" s="80"/>
      <c r="C554" s="80"/>
      <c r="D554" s="80"/>
      <c r="E554" s="81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191</v>
      </c>
      <c r="O554" s="39"/>
    </row>
    <row r="555" spans="1:15" ht="15" customHeight="1" x14ac:dyDescent="0.25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27"/>
      <c r="O555" s="47"/>
    </row>
    <row r="556" spans="1:15" ht="15" customHeight="1" x14ac:dyDescent="0.25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27"/>
      <c r="O556" s="47"/>
    </row>
    <row r="557" spans="1:15" ht="15" customHeight="1" x14ac:dyDescent="0.25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27"/>
      <c r="O557" s="47"/>
    </row>
    <row r="558" spans="1:15" ht="15" customHeight="1" x14ac:dyDescent="0.25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27"/>
      <c r="O558" s="47"/>
    </row>
    <row r="559" spans="1:15" ht="15" customHeight="1" x14ac:dyDescent="0.25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27"/>
      <c r="O559" s="47"/>
    </row>
    <row r="560" spans="1:15" ht="15" customHeight="1" x14ac:dyDescent="0.25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27"/>
      <c r="O560" s="47"/>
    </row>
    <row r="561" spans="1:15" ht="15" customHeight="1" x14ac:dyDescent="0.25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27"/>
      <c r="O561" s="47"/>
    </row>
    <row r="562" spans="1:15" ht="15" customHeight="1" x14ac:dyDescent="0.25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27"/>
      <c r="O562" s="47"/>
    </row>
    <row r="563" spans="1:15" ht="15" customHeight="1" x14ac:dyDescent="0.25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27"/>
      <c r="O563" s="47"/>
    </row>
    <row r="564" spans="1:15" ht="15" customHeight="1" x14ac:dyDescent="0.25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27"/>
      <c r="O564" s="47"/>
    </row>
    <row r="565" spans="1:15" ht="15" customHeight="1" x14ac:dyDescent="0.25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27"/>
      <c r="O565" s="47"/>
    </row>
    <row r="566" spans="1:15" ht="15" customHeight="1" x14ac:dyDescent="0.25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27"/>
      <c r="O566" s="47"/>
    </row>
    <row r="567" spans="1:15" ht="15.75" customHeight="1" x14ac:dyDescent="0.25">
      <c r="A567" s="79" t="s">
        <v>192</v>
      </c>
      <c r="B567" s="80"/>
      <c r="C567" s="80"/>
      <c r="D567" s="80"/>
      <c r="E567" s="81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191</v>
      </c>
      <c r="O567" s="39"/>
    </row>
    <row r="568" spans="1:15" ht="18" customHeight="1" x14ac:dyDescent="0.25">
      <c r="A568" s="82" t="s">
        <v>193</v>
      </c>
      <c r="B568" s="83"/>
      <c r="C568" s="83"/>
      <c r="D568" s="83"/>
      <c r="E568" s="84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194</v>
      </c>
      <c r="O568" s="48">
        <f>IFERROR(O554+O567,"")</f>
        <v>0</v>
      </c>
    </row>
    <row r="569" spans="1:15" ht="15" customHeight="1" x14ac:dyDescent="0.25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27"/>
      <c r="O569" s="47"/>
    </row>
    <row r="570" spans="1:15" ht="15" customHeight="1" x14ac:dyDescent="0.25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47"/>
    </row>
    <row r="571" spans="1:15" ht="15" customHeight="1" x14ac:dyDescent="0.25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47"/>
    </row>
    <row r="572" spans="1:15" ht="15" customHeight="1" x14ac:dyDescent="0.25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47"/>
    </row>
    <row r="573" spans="1:15" ht="15" customHeight="1" x14ac:dyDescent="0.25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47"/>
    </row>
    <row r="574" spans="1:15" ht="15" customHeight="1" x14ac:dyDescent="0.25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47"/>
    </row>
    <row r="575" spans="1:15" ht="15" customHeight="1" x14ac:dyDescent="0.25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27"/>
      <c r="O575" s="47"/>
    </row>
    <row r="576" spans="1:15" ht="15" customHeight="1" x14ac:dyDescent="0.25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27"/>
      <c r="O576" s="47"/>
    </row>
    <row r="577" spans="1:15" ht="15" customHeight="1" x14ac:dyDescent="0.25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27"/>
      <c r="O577" s="47"/>
    </row>
    <row r="578" spans="1:15" ht="15" customHeight="1" x14ac:dyDescent="0.25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27"/>
      <c r="O578" s="47"/>
    </row>
    <row r="579" spans="1:15" ht="15" customHeight="1" x14ac:dyDescent="0.25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27"/>
      <c r="O579" s="47"/>
    </row>
    <row r="580" spans="1:15" ht="15" customHeight="1" x14ac:dyDescent="0.25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27"/>
      <c r="O580" s="47"/>
    </row>
    <row r="581" spans="1:15" ht="15.75" customHeight="1" x14ac:dyDescent="0.25">
      <c r="A581" s="79" t="s">
        <v>190</v>
      </c>
      <c r="B581" s="80"/>
      <c r="C581" s="80"/>
      <c r="D581" s="80"/>
      <c r="E581" s="81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191</v>
      </c>
      <c r="O581" s="39"/>
    </row>
    <row r="582" spans="1:15" ht="15" customHeight="1" x14ac:dyDescent="0.25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27"/>
      <c r="O582" s="47"/>
    </row>
    <row r="583" spans="1:15" ht="15" customHeight="1" x14ac:dyDescent="0.25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47"/>
    </row>
    <row r="584" spans="1:15" ht="15" customHeight="1" x14ac:dyDescent="0.25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47"/>
    </row>
    <row r="585" spans="1:15" ht="15" customHeight="1" x14ac:dyDescent="0.25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47"/>
    </row>
    <row r="586" spans="1:15" ht="15" customHeight="1" x14ac:dyDescent="0.25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47"/>
    </row>
    <row r="587" spans="1:15" ht="15" customHeight="1" x14ac:dyDescent="0.25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47"/>
    </row>
    <row r="588" spans="1:15" ht="15" customHeight="1" x14ac:dyDescent="0.25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47"/>
    </row>
    <row r="589" spans="1:15" ht="15" customHeight="1" x14ac:dyDescent="0.25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47"/>
    </row>
    <row r="590" spans="1:15" ht="15" customHeight="1" x14ac:dyDescent="0.25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47"/>
    </row>
    <row r="591" spans="1:15" ht="15" customHeight="1" x14ac:dyDescent="0.25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47"/>
    </row>
    <row r="592" spans="1:15" ht="15" customHeight="1" x14ac:dyDescent="0.25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47"/>
    </row>
    <row r="593" spans="1:15" ht="15" customHeight="1" x14ac:dyDescent="0.25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47"/>
    </row>
    <row r="594" spans="1:15" ht="15.75" customHeight="1" x14ac:dyDescent="0.25">
      <c r="A594" s="79" t="s">
        <v>192</v>
      </c>
      <c r="B594" s="80"/>
      <c r="C594" s="80"/>
      <c r="D594" s="80"/>
      <c r="E594" s="81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191</v>
      </c>
      <c r="O594" s="39"/>
    </row>
    <row r="595" spans="1:15" ht="18" customHeight="1" x14ac:dyDescent="0.25">
      <c r="A595" s="82" t="s">
        <v>193</v>
      </c>
      <c r="B595" s="83"/>
      <c r="C595" s="83"/>
      <c r="D595" s="83"/>
      <c r="E595" s="84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194</v>
      </c>
      <c r="O595" s="48">
        <f>IFERROR(O581+O594,"")</f>
        <v>0</v>
      </c>
    </row>
    <row r="596" spans="1:15" ht="15" customHeight="1" x14ac:dyDescent="0.25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27"/>
      <c r="O596" s="47"/>
    </row>
    <row r="597" spans="1:15" ht="15" customHeight="1" x14ac:dyDescent="0.25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27"/>
      <c r="O597" s="47"/>
    </row>
    <row r="598" spans="1:15" ht="15" customHeight="1" x14ac:dyDescent="0.25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27"/>
      <c r="O598" s="47"/>
    </row>
    <row r="599" spans="1:15" ht="15" customHeight="1" x14ac:dyDescent="0.25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27"/>
      <c r="O599" s="47"/>
    </row>
    <row r="600" spans="1:15" ht="15" customHeight="1" x14ac:dyDescent="0.25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27"/>
      <c r="O600" s="47"/>
    </row>
    <row r="601" spans="1:15" ht="15" customHeight="1" x14ac:dyDescent="0.25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27"/>
      <c r="O601" s="47"/>
    </row>
    <row r="602" spans="1:15" ht="15" customHeight="1" x14ac:dyDescent="0.25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47"/>
    </row>
    <row r="603" spans="1:15" ht="15" customHeight="1" x14ac:dyDescent="0.25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47"/>
    </row>
    <row r="604" spans="1:15" ht="15" customHeight="1" x14ac:dyDescent="0.25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47"/>
    </row>
    <row r="605" spans="1:15" ht="15" customHeight="1" x14ac:dyDescent="0.25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47"/>
    </row>
    <row r="606" spans="1:15" ht="15" customHeight="1" x14ac:dyDescent="0.25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47"/>
    </row>
    <row r="607" spans="1:15" ht="15" customHeight="1" x14ac:dyDescent="0.25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47"/>
    </row>
    <row r="608" spans="1:15" ht="15.75" customHeight="1" x14ac:dyDescent="0.25">
      <c r="A608" s="79" t="s">
        <v>190</v>
      </c>
      <c r="B608" s="80"/>
      <c r="C608" s="80"/>
      <c r="D608" s="80"/>
      <c r="E608" s="81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191</v>
      </c>
      <c r="O608" s="39"/>
    </row>
    <row r="609" spans="1:15" ht="15" customHeight="1" x14ac:dyDescent="0.25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27"/>
      <c r="O609" s="47"/>
    </row>
    <row r="610" spans="1:15" ht="15" customHeight="1" x14ac:dyDescent="0.25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47"/>
    </row>
    <row r="611" spans="1:15" ht="15" customHeight="1" x14ac:dyDescent="0.25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47"/>
    </row>
    <row r="612" spans="1:15" ht="15" customHeight="1" x14ac:dyDescent="0.25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47"/>
    </row>
    <row r="613" spans="1:15" ht="15" customHeight="1" x14ac:dyDescent="0.25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47"/>
    </row>
    <row r="614" spans="1:15" ht="15" customHeight="1" x14ac:dyDescent="0.25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47"/>
    </row>
    <row r="615" spans="1:15" ht="15" customHeight="1" x14ac:dyDescent="0.25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47"/>
    </row>
    <row r="616" spans="1:15" ht="15" customHeight="1" x14ac:dyDescent="0.25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47"/>
    </row>
    <row r="617" spans="1:15" ht="15" customHeight="1" x14ac:dyDescent="0.25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47"/>
    </row>
    <row r="618" spans="1:15" ht="15" customHeight="1" x14ac:dyDescent="0.25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47"/>
    </row>
    <row r="619" spans="1:15" ht="15" customHeight="1" x14ac:dyDescent="0.25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47"/>
    </row>
    <row r="620" spans="1:15" ht="15" customHeight="1" x14ac:dyDescent="0.25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47"/>
    </row>
    <row r="621" spans="1:15" ht="15.75" customHeight="1" x14ac:dyDescent="0.25">
      <c r="A621" s="79" t="s">
        <v>192</v>
      </c>
      <c r="B621" s="80"/>
      <c r="C621" s="80"/>
      <c r="D621" s="80"/>
      <c r="E621" s="81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191</v>
      </c>
      <c r="O621" s="39"/>
    </row>
    <row r="622" spans="1:15" ht="18" customHeight="1" x14ac:dyDescent="0.25">
      <c r="A622" s="82" t="s">
        <v>193</v>
      </c>
      <c r="B622" s="83"/>
      <c r="C622" s="83"/>
      <c r="D622" s="83"/>
      <c r="E622" s="84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194</v>
      </c>
      <c r="O622" s="48">
        <f>IFERROR(O608+O621,"")</f>
        <v>0</v>
      </c>
    </row>
    <row r="623" spans="1:15" ht="15" customHeight="1" x14ac:dyDescent="0.25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27"/>
      <c r="O623" s="47"/>
    </row>
    <row r="624" spans="1:15" ht="15" customHeight="1" x14ac:dyDescent="0.25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47"/>
    </row>
    <row r="625" spans="1:15" ht="15" customHeight="1" x14ac:dyDescent="0.25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47"/>
    </row>
    <row r="626" spans="1:15" ht="15" customHeight="1" x14ac:dyDescent="0.25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47"/>
    </row>
    <row r="627" spans="1:15" ht="15" customHeight="1" x14ac:dyDescent="0.25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47"/>
    </row>
    <row r="628" spans="1:15" ht="15" customHeight="1" x14ac:dyDescent="0.25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47"/>
    </row>
    <row r="629" spans="1:15" ht="15" customHeight="1" x14ac:dyDescent="0.25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47"/>
    </row>
    <row r="630" spans="1:15" ht="15" customHeight="1" x14ac:dyDescent="0.25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47"/>
    </row>
    <row r="631" spans="1:15" ht="15" customHeight="1" x14ac:dyDescent="0.25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47"/>
    </row>
    <row r="632" spans="1:15" ht="15" customHeight="1" x14ac:dyDescent="0.25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47"/>
    </row>
    <row r="633" spans="1:15" ht="15" customHeight="1" x14ac:dyDescent="0.25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47"/>
    </row>
    <row r="634" spans="1:15" ht="15" customHeight="1" x14ac:dyDescent="0.25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47"/>
    </row>
    <row r="635" spans="1:15" ht="15.75" customHeight="1" x14ac:dyDescent="0.25">
      <c r="A635" s="79" t="s">
        <v>190</v>
      </c>
      <c r="B635" s="80"/>
      <c r="C635" s="80"/>
      <c r="D635" s="80"/>
      <c r="E635" s="81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191</v>
      </c>
      <c r="O635" s="39"/>
    </row>
    <row r="636" spans="1:15" ht="15" customHeight="1" x14ac:dyDescent="0.25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47"/>
    </row>
    <row r="637" spans="1:15" ht="15" customHeight="1" x14ac:dyDescent="0.25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47"/>
    </row>
    <row r="638" spans="1:15" ht="15" customHeight="1" x14ac:dyDescent="0.25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47"/>
    </row>
    <row r="639" spans="1:15" ht="15" customHeight="1" x14ac:dyDescent="0.25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47"/>
    </row>
    <row r="640" spans="1:15" ht="15" customHeight="1" x14ac:dyDescent="0.25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47"/>
    </row>
    <row r="641" spans="1:15" ht="15" customHeight="1" x14ac:dyDescent="0.25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47"/>
    </row>
    <row r="642" spans="1:15" ht="15" customHeight="1" x14ac:dyDescent="0.25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47"/>
    </row>
    <row r="643" spans="1:15" ht="15" customHeight="1" x14ac:dyDescent="0.25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47"/>
    </row>
    <row r="644" spans="1:15" ht="15" customHeight="1" x14ac:dyDescent="0.25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47"/>
    </row>
    <row r="645" spans="1:15" ht="15" customHeight="1" x14ac:dyDescent="0.25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47"/>
    </row>
    <row r="646" spans="1:15" ht="15" customHeight="1" x14ac:dyDescent="0.25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47"/>
    </row>
    <row r="647" spans="1:15" ht="15" customHeight="1" x14ac:dyDescent="0.25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47"/>
    </row>
    <row r="648" spans="1:15" ht="15.75" customHeight="1" x14ac:dyDescent="0.25">
      <c r="A648" s="79" t="s">
        <v>192</v>
      </c>
      <c r="B648" s="80"/>
      <c r="C648" s="80"/>
      <c r="D648" s="80"/>
      <c r="E648" s="81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191</v>
      </c>
      <c r="O648" s="39"/>
    </row>
    <row r="649" spans="1:15" ht="18" customHeight="1" x14ac:dyDescent="0.25">
      <c r="A649" s="82" t="s">
        <v>193</v>
      </c>
      <c r="B649" s="83"/>
      <c r="C649" s="83"/>
      <c r="D649" s="83"/>
      <c r="E649" s="84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194</v>
      </c>
      <c r="O649" s="48">
        <f>IFERROR(O635+O648,"")</f>
        <v>0</v>
      </c>
    </row>
    <row r="650" spans="1:15" ht="15" customHeight="1" x14ac:dyDescent="0.25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47"/>
    </row>
    <row r="651" spans="1:15" ht="15" customHeight="1" x14ac:dyDescent="0.25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47"/>
    </row>
    <row r="652" spans="1:15" ht="15" customHeight="1" x14ac:dyDescent="0.25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47"/>
    </row>
    <row r="653" spans="1:15" ht="15" customHeight="1" x14ac:dyDescent="0.25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47"/>
    </row>
    <row r="654" spans="1:15" ht="15" customHeight="1" x14ac:dyDescent="0.25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47"/>
    </row>
    <row r="655" spans="1:15" ht="15" customHeight="1" x14ac:dyDescent="0.25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47"/>
    </row>
    <row r="656" spans="1:15" ht="15" customHeight="1" x14ac:dyDescent="0.25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47"/>
    </row>
    <row r="657" spans="1:15" ht="15" customHeight="1" x14ac:dyDescent="0.25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47"/>
    </row>
    <row r="658" spans="1:15" ht="15" customHeight="1" x14ac:dyDescent="0.25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47"/>
    </row>
    <row r="659" spans="1:15" ht="15" customHeight="1" x14ac:dyDescent="0.25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47"/>
    </row>
    <row r="660" spans="1:15" ht="15" customHeight="1" x14ac:dyDescent="0.25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47"/>
    </row>
    <row r="661" spans="1:15" ht="15" customHeight="1" x14ac:dyDescent="0.25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47"/>
    </row>
    <row r="662" spans="1:15" ht="15.75" customHeight="1" x14ac:dyDescent="0.25">
      <c r="A662" s="79" t="s">
        <v>190</v>
      </c>
      <c r="B662" s="80"/>
      <c r="C662" s="80"/>
      <c r="D662" s="80"/>
      <c r="E662" s="81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191</v>
      </c>
      <c r="O662" s="39"/>
    </row>
    <row r="663" spans="1:15" ht="15" customHeight="1" x14ac:dyDescent="0.25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47"/>
    </row>
    <row r="664" spans="1:15" ht="15" customHeight="1" x14ac:dyDescent="0.25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47"/>
    </row>
    <row r="665" spans="1:15" ht="15" customHeight="1" x14ac:dyDescent="0.25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47"/>
    </row>
    <row r="666" spans="1:15" ht="15" customHeight="1" x14ac:dyDescent="0.25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47"/>
    </row>
    <row r="667" spans="1:15" ht="15" customHeight="1" x14ac:dyDescent="0.25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47"/>
    </row>
    <row r="668" spans="1:15" ht="15" customHeight="1" x14ac:dyDescent="0.25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47"/>
    </row>
    <row r="669" spans="1:15" ht="15" customHeight="1" x14ac:dyDescent="0.25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47"/>
    </row>
    <row r="670" spans="1:15" ht="15" customHeight="1" x14ac:dyDescent="0.25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47"/>
    </row>
    <row r="671" spans="1:15" ht="15" customHeight="1" x14ac:dyDescent="0.25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47"/>
    </row>
    <row r="672" spans="1:15" ht="15" customHeight="1" x14ac:dyDescent="0.25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47"/>
    </row>
    <row r="673" spans="1:15" ht="15" customHeight="1" x14ac:dyDescent="0.25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47"/>
    </row>
    <row r="674" spans="1:15" ht="15" customHeight="1" x14ac:dyDescent="0.25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47"/>
    </row>
    <row r="675" spans="1:15" ht="15.75" customHeight="1" x14ac:dyDescent="0.25">
      <c r="A675" s="79" t="s">
        <v>192</v>
      </c>
      <c r="B675" s="80"/>
      <c r="C675" s="80"/>
      <c r="D675" s="80"/>
      <c r="E675" s="81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191</v>
      </c>
      <c r="O675" s="39"/>
    </row>
    <row r="676" spans="1:15" ht="18" customHeight="1" x14ac:dyDescent="0.25">
      <c r="A676" s="82" t="s">
        <v>193</v>
      </c>
      <c r="B676" s="83"/>
      <c r="C676" s="83"/>
      <c r="D676" s="83"/>
      <c r="E676" s="84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194</v>
      </c>
      <c r="O676" s="48">
        <f>IFERROR(O662+O675,"")</f>
        <v>0</v>
      </c>
    </row>
    <row r="677" spans="1:15" ht="15" customHeight="1" x14ac:dyDescent="0.25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47"/>
    </row>
    <row r="678" spans="1:15" ht="15" customHeight="1" x14ac:dyDescent="0.25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47"/>
    </row>
    <row r="679" spans="1:15" ht="15" customHeight="1" x14ac:dyDescent="0.25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47"/>
    </row>
    <row r="680" spans="1:15" ht="15" customHeight="1" x14ac:dyDescent="0.25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47"/>
    </row>
    <row r="681" spans="1:15" ht="15" customHeight="1" x14ac:dyDescent="0.25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47"/>
    </row>
    <row r="682" spans="1:15" ht="15" customHeight="1" x14ac:dyDescent="0.25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47"/>
    </row>
    <row r="683" spans="1:15" ht="15" customHeight="1" x14ac:dyDescent="0.25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47"/>
    </row>
    <row r="684" spans="1:15" ht="15" customHeight="1" x14ac:dyDescent="0.25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47"/>
    </row>
    <row r="685" spans="1:15" ht="15" customHeight="1" x14ac:dyDescent="0.25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47"/>
    </row>
    <row r="686" spans="1:15" ht="15" customHeight="1" x14ac:dyDescent="0.25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47"/>
    </row>
    <row r="687" spans="1:15" ht="15" customHeight="1" x14ac:dyDescent="0.25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47"/>
    </row>
    <row r="688" spans="1:15" ht="15" customHeight="1" x14ac:dyDescent="0.25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47"/>
    </row>
    <row r="689" spans="1:15" ht="15.75" customHeight="1" x14ac:dyDescent="0.25">
      <c r="A689" s="79" t="s">
        <v>190</v>
      </c>
      <c r="B689" s="80"/>
      <c r="C689" s="80"/>
      <c r="D689" s="80"/>
      <c r="E689" s="81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191</v>
      </c>
      <c r="O689" s="39"/>
    </row>
    <row r="690" spans="1:15" ht="15" customHeight="1" x14ac:dyDescent="0.25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47"/>
    </row>
    <row r="691" spans="1:15" ht="15" customHeight="1" x14ac:dyDescent="0.25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47"/>
    </row>
    <row r="692" spans="1:15" ht="15" customHeight="1" x14ac:dyDescent="0.25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47"/>
    </row>
    <row r="693" spans="1:15" ht="15" customHeight="1" x14ac:dyDescent="0.25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47"/>
    </row>
    <row r="694" spans="1:15" ht="15" customHeight="1" x14ac:dyDescent="0.25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47"/>
    </row>
    <row r="695" spans="1:15" ht="15" customHeight="1" x14ac:dyDescent="0.25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47"/>
    </row>
    <row r="696" spans="1:15" ht="15" customHeight="1" x14ac:dyDescent="0.25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47"/>
    </row>
    <row r="697" spans="1:15" ht="15" customHeight="1" x14ac:dyDescent="0.25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47"/>
    </row>
    <row r="698" spans="1:15" ht="15" customHeight="1" x14ac:dyDescent="0.25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47"/>
    </row>
    <row r="699" spans="1:15" ht="15" customHeight="1" x14ac:dyDescent="0.25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47"/>
    </row>
    <row r="700" spans="1:15" ht="15" customHeight="1" x14ac:dyDescent="0.25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47"/>
    </row>
    <row r="701" spans="1:15" ht="15" customHeight="1" x14ac:dyDescent="0.25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47"/>
    </row>
    <row r="702" spans="1:15" ht="15.75" customHeight="1" x14ac:dyDescent="0.25">
      <c r="A702" s="79" t="s">
        <v>192</v>
      </c>
      <c r="B702" s="80"/>
      <c r="C702" s="80"/>
      <c r="D702" s="80"/>
      <c r="E702" s="81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191</v>
      </c>
      <c r="O702" s="39"/>
    </row>
    <row r="703" spans="1:15" ht="18" customHeight="1" x14ac:dyDescent="0.25">
      <c r="A703" s="82" t="s">
        <v>193</v>
      </c>
      <c r="B703" s="83"/>
      <c r="C703" s="83"/>
      <c r="D703" s="83"/>
      <c r="E703" s="84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194</v>
      </c>
      <c r="O703" s="48">
        <f>IFERROR(O689+O702,"")</f>
        <v>0</v>
      </c>
    </row>
    <row r="704" spans="1:15" ht="15" customHeight="1" x14ac:dyDescent="0.25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47"/>
    </row>
    <row r="705" spans="1:15" ht="15" customHeight="1" x14ac:dyDescent="0.25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47"/>
    </row>
    <row r="706" spans="1:15" ht="15" customHeight="1" x14ac:dyDescent="0.25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47"/>
    </row>
    <row r="707" spans="1:15" ht="15" customHeight="1" x14ac:dyDescent="0.25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47"/>
    </row>
    <row r="708" spans="1:15" ht="15" customHeight="1" x14ac:dyDescent="0.25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47"/>
    </row>
    <row r="709" spans="1:15" ht="15" customHeight="1" x14ac:dyDescent="0.25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47"/>
    </row>
    <row r="710" spans="1:15" ht="15" customHeight="1" x14ac:dyDescent="0.25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47"/>
    </row>
    <row r="711" spans="1:15" ht="15" customHeight="1" x14ac:dyDescent="0.25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47"/>
    </row>
    <row r="712" spans="1:15" ht="15" customHeight="1" x14ac:dyDescent="0.25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47"/>
    </row>
    <row r="713" spans="1:15" ht="15" customHeight="1" x14ac:dyDescent="0.25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47"/>
    </row>
    <row r="714" spans="1:15" ht="15" customHeight="1" x14ac:dyDescent="0.25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47"/>
    </row>
    <row r="715" spans="1:15" ht="15" customHeight="1" x14ac:dyDescent="0.25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47"/>
    </row>
    <row r="716" spans="1:15" ht="15.75" customHeight="1" x14ac:dyDescent="0.25">
      <c r="A716" s="79" t="s">
        <v>190</v>
      </c>
      <c r="B716" s="80"/>
      <c r="C716" s="80"/>
      <c r="D716" s="80"/>
      <c r="E716" s="81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191</v>
      </c>
      <c r="O716" s="39"/>
    </row>
    <row r="717" spans="1:15" ht="15" customHeight="1" x14ac:dyDescent="0.25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47"/>
    </row>
    <row r="718" spans="1:15" ht="15" customHeight="1" x14ac:dyDescent="0.25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47"/>
    </row>
    <row r="719" spans="1:15" ht="15" customHeight="1" x14ac:dyDescent="0.25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47"/>
    </row>
    <row r="720" spans="1:15" ht="15" customHeight="1" x14ac:dyDescent="0.25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47"/>
    </row>
    <row r="721" spans="1:15" ht="15" customHeight="1" x14ac:dyDescent="0.25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47"/>
    </row>
    <row r="722" spans="1:15" ht="15" customHeight="1" x14ac:dyDescent="0.25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47"/>
    </row>
    <row r="723" spans="1:15" ht="15" customHeight="1" x14ac:dyDescent="0.25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47"/>
    </row>
    <row r="724" spans="1:15" ht="15" customHeight="1" x14ac:dyDescent="0.25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47"/>
    </row>
    <row r="725" spans="1:15" ht="15" customHeight="1" x14ac:dyDescent="0.25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47"/>
    </row>
    <row r="726" spans="1:15" ht="15" customHeight="1" x14ac:dyDescent="0.25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47"/>
    </row>
    <row r="727" spans="1:15" ht="15" customHeight="1" x14ac:dyDescent="0.25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47"/>
    </row>
    <row r="728" spans="1:15" ht="15" customHeight="1" x14ac:dyDescent="0.25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47"/>
    </row>
    <row r="729" spans="1:15" ht="15.75" customHeight="1" x14ac:dyDescent="0.25">
      <c r="A729" s="79" t="s">
        <v>192</v>
      </c>
      <c r="B729" s="80"/>
      <c r="C729" s="80"/>
      <c r="D729" s="80"/>
      <c r="E729" s="81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191</v>
      </c>
      <c r="O729" s="39"/>
    </row>
    <row r="730" spans="1:15" ht="18" customHeight="1" x14ac:dyDescent="0.25">
      <c r="A730" s="82" t="s">
        <v>193</v>
      </c>
      <c r="B730" s="83"/>
      <c r="C730" s="83"/>
      <c r="D730" s="83"/>
      <c r="E730" s="84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194</v>
      </c>
      <c r="O730" s="48">
        <f>IFERROR(O716+O729,"")</f>
        <v>0</v>
      </c>
    </row>
    <row r="731" spans="1:15" ht="15" customHeight="1" x14ac:dyDescent="0.25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47"/>
    </row>
    <row r="732" spans="1:15" ht="15" customHeight="1" x14ac:dyDescent="0.25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47"/>
    </row>
    <row r="733" spans="1:15" ht="15" customHeight="1" x14ac:dyDescent="0.25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47"/>
    </row>
    <row r="734" spans="1:15" ht="15" customHeight="1" x14ac:dyDescent="0.25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47"/>
    </row>
    <row r="735" spans="1:15" ht="15" customHeight="1" x14ac:dyDescent="0.25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47"/>
    </row>
    <row r="736" spans="1:15" ht="15" customHeight="1" x14ac:dyDescent="0.25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47"/>
    </row>
    <row r="737" spans="1:15" ht="15" customHeight="1" x14ac:dyDescent="0.25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47"/>
    </row>
    <row r="738" spans="1:15" ht="15" customHeight="1" x14ac:dyDescent="0.25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47"/>
    </row>
    <row r="739" spans="1:15" ht="15" customHeight="1" x14ac:dyDescent="0.25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47"/>
    </row>
    <row r="740" spans="1:15" ht="15" customHeight="1" x14ac:dyDescent="0.25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47"/>
    </row>
    <row r="741" spans="1:15" ht="15" customHeight="1" x14ac:dyDescent="0.25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47"/>
    </row>
    <row r="742" spans="1:15" ht="15" customHeight="1" x14ac:dyDescent="0.25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47"/>
    </row>
    <row r="743" spans="1:15" ht="15.75" customHeight="1" x14ac:dyDescent="0.25">
      <c r="A743" s="79" t="s">
        <v>190</v>
      </c>
      <c r="B743" s="80"/>
      <c r="C743" s="80"/>
      <c r="D743" s="80"/>
      <c r="E743" s="81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191</v>
      </c>
      <c r="O743" s="39"/>
    </row>
    <row r="744" spans="1:15" ht="15" customHeight="1" x14ac:dyDescent="0.25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47"/>
    </row>
    <row r="745" spans="1:15" ht="15" customHeight="1" x14ac:dyDescent="0.25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47"/>
    </row>
    <row r="746" spans="1:15" ht="15" customHeight="1" x14ac:dyDescent="0.25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47"/>
    </row>
    <row r="747" spans="1:15" ht="15" customHeight="1" x14ac:dyDescent="0.25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47"/>
    </row>
    <row r="748" spans="1:15" ht="15" customHeight="1" x14ac:dyDescent="0.25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47"/>
    </row>
    <row r="749" spans="1:15" ht="15" customHeight="1" x14ac:dyDescent="0.25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47"/>
    </row>
    <row r="750" spans="1:15" ht="15" customHeight="1" x14ac:dyDescent="0.25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47"/>
    </row>
    <row r="751" spans="1:15" ht="15" customHeight="1" x14ac:dyDescent="0.25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47"/>
    </row>
    <row r="752" spans="1:15" ht="15" customHeight="1" x14ac:dyDescent="0.25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47"/>
    </row>
    <row r="753" spans="1:15" ht="15" customHeight="1" x14ac:dyDescent="0.25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47"/>
    </row>
    <row r="754" spans="1:15" ht="15" customHeight="1" x14ac:dyDescent="0.25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47"/>
    </row>
    <row r="755" spans="1:15" ht="15" customHeight="1" x14ac:dyDescent="0.25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47"/>
    </row>
    <row r="756" spans="1:15" ht="15.75" customHeight="1" x14ac:dyDescent="0.25">
      <c r="A756" s="79" t="s">
        <v>192</v>
      </c>
      <c r="B756" s="80"/>
      <c r="C756" s="80"/>
      <c r="D756" s="80"/>
      <c r="E756" s="81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191</v>
      </c>
      <c r="O756" s="39"/>
    </row>
    <row r="757" spans="1:15" ht="18" customHeight="1" x14ac:dyDescent="0.25">
      <c r="A757" s="82" t="s">
        <v>193</v>
      </c>
      <c r="B757" s="83"/>
      <c r="C757" s="83"/>
      <c r="D757" s="83"/>
      <c r="E757" s="84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194</v>
      </c>
      <c r="O757" s="48">
        <f>IFERROR(O743+O756,"")</f>
        <v>0</v>
      </c>
    </row>
    <row r="758" spans="1:15" ht="15" customHeight="1" x14ac:dyDescent="0.25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47"/>
    </row>
    <row r="759" spans="1:15" ht="15" customHeight="1" x14ac:dyDescent="0.25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47"/>
    </row>
    <row r="760" spans="1:15" ht="15" customHeight="1" x14ac:dyDescent="0.25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47"/>
    </row>
    <row r="761" spans="1:15" ht="15" customHeight="1" x14ac:dyDescent="0.25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47"/>
    </row>
    <row r="762" spans="1:15" ht="15" customHeight="1" x14ac:dyDescent="0.25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47"/>
    </row>
    <row r="763" spans="1:15" ht="15" customHeight="1" x14ac:dyDescent="0.25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47"/>
    </row>
    <row r="764" spans="1:15" ht="15" customHeight="1" x14ac:dyDescent="0.25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47"/>
    </row>
    <row r="765" spans="1:15" ht="15" customHeight="1" x14ac:dyDescent="0.25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47"/>
    </row>
    <row r="766" spans="1:15" ht="15" customHeight="1" x14ac:dyDescent="0.25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47"/>
    </row>
    <row r="767" spans="1:15" ht="15" customHeight="1" x14ac:dyDescent="0.25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47"/>
    </row>
    <row r="768" spans="1:15" ht="15" customHeight="1" x14ac:dyDescent="0.25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47"/>
    </row>
    <row r="769" spans="1:15" ht="15" customHeight="1" x14ac:dyDescent="0.25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47"/>
    </row>
    <row r="770" spans="1:15" ht="15.75" customHeight="1" x14ac:dyDescent="0.25">
      <c r="A770" s="79" t="s">
        <v>190</v>
      </c>
      <c r="B770" s="80"/>
      <c r="C770" s="80"/>
      <c r="D770" s="80"/>
      <c r="E770" s="81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191</v>
      </c>
      <c r="O770" s="39"/>
    </row>
    <row r="771" spans="1:15" ht="15" customHeight="1" x14ac:dyDescent="0.25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47"/>
    </row>
    <row r="772" spans="1:15" ht="15" customHeight="1" x14ac:dyDescent="0.25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47"/>
    </row>
    <row r="773" spans="1:15" ht="15" customHeight="1" x14ac:dyDescent="0.25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47"/>
    </row>
    <row r="774" spans="1:15" ht="15" customHeight="1" x14ac:dyDescent="0.25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47"/>
    </row>
    <row r="775" spans="1:15" ht="15" customHeight="1" x14ac:dyDescent="0.25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47"/>
    </row>
    <row r="776" spans="1:15" ht="15" customHeight="1" x14ac:dyDescent="0.25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47"/>
    </row>
    <row r="777" spans="1:15" ht="15" customHeight="1" x14ac:dyDescent="0.25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47"/>
    </row>
    <row r="778" spans="1:15" ht="15" customHeight="1" x14ac:dyDescent="0.25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47"/>
    </row>
    <row r="779" spans="1:15" ht="15" customHeight="1" x14ac:dyDescent="0.25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47"/>
    </row>
    <row r="780" spans="1:15" ht="15" customHeight="1" x14ac:dyDescent="0.25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47"/>
    </row>
    <row r="781" spans="1:15" ht="15" customHeight="1" x14ac:dyDescent="0.25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47"/>
    </row>
    <row r="782" spans="1:15" ht="15" customHeight="1" x14ac:dyDescent="0.25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47"/>
    </row>
    <row r="783" spans="1:15" ht="15.75" customHeight="1" x14ac:dyDescent="0.25">
      <c r="A783" s="79" t="s">
        <v>192</v>
      </c>
      <c r="B783" s="80"/>
      <c r="C783" s="80"/>
      <c r="D783" s="80"/>
      <c r="E783" s="81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191</v>
      </c>
      <c r="O783" s="39"/>
    </row>
    <row r="784" spans="1:15" ht="18" customHeight="1" x14ac:dyDescent="0.25">
      <c r="A784" s="82" t="s">
        <v>193</v>
      </c>
      <c r="B784" s="83"/>
      <c r="C784" s="83"/>
      <c r="D784" s="83"/>
      <c r="E784" s="84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194</v>
      </c>
      <c r="O784" s="48">
        <f>IFERROR(O770+O783,"")</f>
        <v>0</v>
      </c>
    </row>
    <row r="785" spans="1:15" ht="15" customHeight="1" x14ac:dyDescent="0.25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47"/>
    </row>
    <row r="786" spans="1:15" ht="15" customHeight="1" x14ac:dyDescent="0.25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47"/>
    </row>
    <row r="787" spans="1:15" ht="15" customHeight="1" x14ac:dyDescent="0.25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47"/>
    </row>
    <row r="788" spans="1:15" ht="15" customHeight="1" x14ac:dyDescent="0.25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47"/>
    </row>
    <row r="789" spans="1:15" ht="15" customHeight="1" x14ac:dyDescent="0.25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47"/>
    </row>
    <row r="790" spans="1:15" ht="15" customHeight="1" x14ac:dyDescent="0.25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47"/>
    </row>
    <row r="791" spans="1:15" ht="15" customHeight="1" x14ac:dyDescent="0.25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47"/>
    </row>
    <row r="792" spans="1:15" ht="15" customHeight="1" x14ac:dyDescent="0.25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47"/>
    </row>
    <row r="793" spans="1:15" ht="15" customHeight="1" x14ac:dyDescent="0.25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47"/>
    </row>
    <row r="794" spans="1:15" ht="15" customHeight="1" x14ac:dyDescent="0.25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47"/>
    </row>
    <row r="795" spans="1:15" ht="15" customHeight="1" x14ac:dyDescent="0.25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47"/>
    </row>
    <row r="796" spans="1:15" ht="15" customHeight="1" x14ac:dyDescent="0.25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47"/>
    </row>
    <row r="797" spans="1:15" ht="15.75" customHeight="1" x14ac:dyDescent="0.25">
      <c r="A797" s="79" t="s">
        <v>190</v>
      </c>
      <c r="B797" s="80"/>
      <c r="C797" s="80"/>
      <c r="D797" s="80"/>
      <c r="E797" s="81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191</v>
      </c>
      <c r="O797" s="39"/>
    </row>
    <row r="798" spans="1:15" ht="15" customHeight="1" x14ac:dyDescent="0.25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47"/>
    </row>
    <row r="799" spans="1:15" ht="15" customHeight="1" x14ac:dyDescent="0.25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47"/>
    </row>
    <row r="800" spans="1:15" ht="15" customHeight="1" x14ac:dyDescent="0.25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47"/>
    </row>
    <row r="801" spans="1:15" ht="15" customHeight="1" x14ac:dyDescent="0.25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47"/>
    </row>
    <row r="802" spans="1:15" ht="15" customHeight="1" x14ac:dyDescent="0.25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47"/>
    </row>
    <row r="803" spans="1:15" ht="15" customHeight="1" x14ac:dyDescent="0.25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47"/>
    </row>
    <row r="804" spans="1:15" ht="15" customHeight="1" x14ac:dyDescent="0.25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47"/>
    </row>
    <row r="805" spans="1:15" ht="15" customHeight="1" x14ac:dyDescent="0.25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47"/>
    </row>
    <row r="806" spans="1:15" ht="15" customHeight="1" x14ac:dyDescent="0.25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47"/>
    </row>
    <row r="807" spans="1:15" ht="15" customHeight="1" x14ac:dyDescent="0.25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47"/>
    </row>
    <row r="808" spans="1:15" ht="15" customHeight="1" x14ac:dyDescent="0.25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47"/>
    </row>
    <row r="809" spans="1:15" ht="15" customHeight="1" x14ac:dyDescent="0.25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47"/>
    </row>
    <row r="810" spans="1:15" ht="15.75" customHeight="1" x14ac:dyDescent="0.25">
      <c r="A810" s="79" t="s">
        <v>192</v>
      </c>
      <c r="B810" s="80"/>
      <c r="C810" s="80"/>
      <c r="D810" s="80"/>
      <c r="E810" s="81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191</v>
      </c>
      <c r="O810" s="39"/>
    </row>
    <row r="811" spans="1:15" ht="18" customHeight="1" x14ac:dyDescent="0.25">
      <c r="A811" s="82" t="s">
        <v>193</v>
      </c>
      <c r="B811" s="83"/>
      <c r="C811" s="83"/>
      <c r="D811" s="83"/>
      <c r="E811" s="84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194</v>
      </c>
      <c r="O811" s="43">
        <f>IFERROR(O797+O810,"")</f>
        <v>0</v>
      </c>
    </row>
  </sheetData>
  <mergeCells count="90"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419:E419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783:E783"/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</mergeCells>
  <dataValidations count="2">
    <dataValidation type="list" showErrorMessage="1" errorTitle="Atenção" error="Selecione primeiro o Tipo de Parada (col G) e depois escolha a Descrição da lista." sqref="J2:J900" xr:uid="{00000000-0002-0000-04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29:E811 E2:E13 E15:E26" xr:uid="{618DBFC7-9EE5-4350-9682-B167270E51D8}">
      <formula1>"PC 17,PC 19"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4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400-000003000000}">
          <x14:formula1>
            <xm:f>Cadastro!$C$4:$C$10</xm:f>
          </x14:formula1>
          <x14:formula2>
            <xm:f>0</xm:f>
          </x14:formula2>
          <xm:sqref>D15:D26 D2:D13 D29:D900</xm:sqref>
        </x14:dataValidation>
        <x14:dataValidation type="list" allowBlank="1" showErrorMessage="1" errorTitle="Valor inválido" error="Selecione da lista." xr:uid="{00000000-0002-0000-04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4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4BACC6"/>
  </sheetPr>
  <dimension ref="A1:Q811"/>
  <sheetViews>
    <sheetView showGridLines="0" zoomScale="70" zoomScaleNormal="70" workbookViewId="0">
      <pane ySplit="1" topLeftCell="A2" activePane="bottomLeft" state="frozen"/>
      <selection pane="bottomLeft" activeCell="N17" sqref="N17"/>
    </sheetView>
  </sheetViews>
  <sheetFormatPr defaultColWidth="8.5703125" defaultRowHeight="15" x14ac:dyDescent="0.25"/>
  <cols>
    <col min="1" max="1" width="13" style="76" customWidth="1"/>
    <col min="2" max="2" width="9" style="57" customWidth="1"/>
    <col min="3" max="3" width="14" style="57" customWidth="1"/>
    <col min="4" max="4" width="16" style="56" customWidth="1"/>
    <col min="5" max="5" width="16" style="57" customWidth="1"/>
    <col min="6" max="6" width="13" style="57" customWidth="1"/>
    <col min="7" max="7" width="14" style="57" customWidth="1"/>
    <col min="8" max="8" width="36" style="57" customWidth="1"/>
    <col min="9" max="9" width="25.140625" style="57" customWidth="1"/>
    <col min="10" max="10" width="52.140625" style="57" customWidth="1"/>
    <col min="11" max="11" width="18.42578125" style="57" customWidth="1"/>
    <col min="12" max="12" width="14" style="58" customWidth="1"/>
    <col min="13" max="13" width="14" style="57" customWidth="1"/>
    <col min="14" max="14" width="78.140625" style="57" customWidth="1"/>
    <col min="15" max="15" width="14" customWidth="1"/>
  </cols>
  <sheetData>
    <row r="1" spans="1:15" ht="37.5" customHeight="1" x14ac:dyDescent="0.25">
      <c r="A1" s="68" t="s">
        <v>7</v>
      </c>
      <c r="B1" s="23" t="s">
        <v>177</v>
      </c>
      <c r="C1" s="23" t="s">
        <v>12</v>
      </c>
      <c r="D1" s="22" t="s">
        <v>13</v>
      </c>
      <c r="E1" s="22" t="s">
        <v>178</v>
      </c>
      <c r="F1" s="23" t="s">
        <v>179</v>
      </c>
      <c r="G1" s="23" t="s">
        <v>180</v>
      </c>
      <c r="H1" s="23" t="s">
        <v>14</v>
      </c>
      <c r="I1" s="23" t="s">
        <v>15</v>
      </c>
      <c r="J1" s="23" t="s">
        <v>181</v>
      </c>
      <c r="K1" s="23" t="s">
        <v>182</v>
      </c>
      <c r="L1" s="23" t="s">
        <v>183</v>
      </c>
      <c r="M1" s="24" t="s">
        <v>184</v>
      </c>
      <c r="N1" s="23" t="s">
        <v>185</v>
      </c>
      <c r="O1" s="23" t="s">
        <v>186</v>
      </c>
    </row>
    <row r="2" spans="1:15" ht="15" customHeight="1" x14ac:dyDescent="0.25">
      <c r="A2" s="69">
        <v>46204</v>
      </c>
      <c r="B2" s="25">
        <v>0.33333333333333298</v>
      </c>
      <c r="C2" s="26" t="s">
        <v>29</v>
      </c>
      <c r="D2" s="59" t="s">
        <v>30</v>
      </c>
      <c r="E2" s="59" t="s">
        <v>195</v>
      </c>
      <c r="F2" s="27">
        <v>0</v>
      </c>
      <c r="G2" s="28">
        <f t="shared" ref="G2:G13" si="0">IF(F2="","",IF(E2="PC 17",F2*4.2,IF(E2="PC 19",F2*5,"")))</f>
        <v>0</v>
      </c>
      <c r="H2" s="26" t="s">
        <v>18</v>
      </c>
      <c r="I2" s="26" t="s">
        <v>131</v>
      </c>
      <c r="J2" s="26" t="s">
        <v>96</v>
      </c>
      <c r="K2" s="29">
        <v>0.29166666666666669</v>
      </c>
      <c r="L2" s="29">
        <v>0.38194444444444442</v>
      </c>
      <c r="M2" s="30">
        <f t="shared" ref="M2:M13" ca="1" si="1">IFERROR(IF(K2="","",IF(L2="",MOD(NOW()-K2,1),IF(L2&gt;=K2,L2-K2,L2+1-K2))),"")</f>
        <v>9.0277777777777735E-2</v>
      </c>
      <c r="N2" s="27" t="s">
        <v>199</v>
      </c>
      <c r="O2" s="60"/>
    </row>
    <row r="3" spans="1:15" ht="15" customHeight="1" x14ac:dyDescent="0.25">
      <c r="A3" s="70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195</v>
      </c>
      <c r="F3" s="27">
        <v>0</v>
      </c>
      <c r="G3" s="34">
        <f t="shared" si="0"/>
        <v>0</v>
      </c>
      <c r="H3" s="33" t="s">
        <v>18</v>
      </c>
      <c r="I3" s="33" t="s">
        <v>152</v>
      </c>
      <c r="J3" s="33" t="s">
        <v>34</v>
      </c>
      <c r="K3" s="29">
        <v>0.64583333333333337</v>
      </c>
      <c r="L3" s="29">
        <v>0.73611111111111116</v>
      </c>
      <c r="M3" s="35">
        <f t="shared" ca="1" si="1"/>
        <v>9.027777777777779E-2</v>
      </c>
      <c r="N3" s="27" t="s">
        <v>200</v>
      </c>
      <c r="O3" s="60"/>
    </row>
    <row r="4" spans="1:15" ht="15" customHeight="1" x14ac:dyDescent="0.25">
      <c r="A4" s="69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195</v>
      </c>
      <c r="F4" s="27">
        <v>5</v>
      </c>
      <c r="G4" s="28">
        <f t="shared" si="0"/>
        <v>21</v>
      </c>
      <c r="H4" s="26" t="s">
        <v>18</v>
      </c>
      <c r="I4" s="26" t="s">
        <v>52</v>
      </c>
      <c r="J4" s="26" t="s">
        <v>176</v>
      </c>
      <c r="K4" s="29">
        <v>0.75138888888888888</v>
      </c>
      <c r="L4" s="29">
        <v>0.79166666666666663</v>
      </c>
      <c r="M4" s="30">
        <f t="shared" ca="1" si="1"/>
        <v>4.0277777777777746E-2</v>
      </c>
      <c r="N4" s="27"/>
      <c r="O4" s="60"/>
    </row>
    <row r="5" spans="1:15" ht="15" customHeight="1" x14ac:dyDescent="0.25">
      <c r="A5" s="70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195</v>
      </c>
      <c r="F5" s="27">
        <v>10</v>
      </c>
      <c r="G5" s="34">
        <f t="shared" si="0"/>
        <v>42</v>
      </c>
      <c r="H5" s="33"/>
      <c r="I5" s="33"/>
      <c r="J5" s="33"/>
      <c r="K5" s="29"/>
      <c r="L5" s="29"/>
      <c r="M5" s="35" t="str">
        <f t="shared" ca="1" si="1"/>
        <v/>
      </c>
      <c r="N5" s="27"/>
      <c r="O5" s="60"/>
    </row>
    <row r="6" spans="1:15" ht="15" customHeight="1" x14ac:dyDescent="0.25">
      <c r="A6" s="69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195</v>
      </c>
      <c r="F6" s="27">
        <v>12</v>
      </c>
      <c r="G6" s="28">
        <f t="shared" si="0"/>
        <v>50.400000000000006</v>
      </c>
      <c r="H6" s="26"/>
      <c r="I6" s="26"/>
      <c r="J6" s="26"/>
      <c r="K6" s="29"/>
      <c r="L6" s="29"/>
      <c r="M6" s="30" t="str">
        <f t="shared" ca="1" si="1"/>
        <v/>
      </c>
      <c r="N6" s="27"/>
      <c r="O6" s="60"/>
    </row>
    <row r="7" spans="1:15" ht="15" customHeight="1" x14ac:dyDescent="0.25">
      <c r="A7" s="70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195</v>
      </c>
      <c r="F7" s="27">
        <v>3</v>
      </c>
      <c r="G7" s="34">
        <f t="shared" si="0"/>
        <v>12.600000000000001</v>
      </c>
      <c r="H7" s="33"/>
      <c r="I7" s="33"/>
      <c r="J7" s="33"/>
      <c r="K7" s="29"/>
      <c r="L7" s="29"/>
      <c r="M7" s="35" t="str">
        <f t="shared" ca="1" si="1"/>
        <v/>
      </c>
      <c r="N7" s="27"/>
      <c r="O7" s="60"/>
    </row>
    <row r="8" spans="1:15" ht="15" customHeight="1" x14ac:dyDescent="0.25">
      <c r="A8" s="69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195</v>
      </c>
      <c r="F8" s="27">
        <v>11</v>
      </c>
      <c r="G8" s="28">
        <f t="shared" si="0"/>
        <v>46.2</v>
      </c>
      <c r="H8" s="26"/>
      <c r="I8" s="26"/>
      <c r="J8" s="26"/>
      <c r="K8" s="29"/>
      <c r="L8" s="29"/>
      <c r="M8" s="30" t="str">
        <f t="shared" ca="1" si="1"/>
        <v/>
      </c>
      <c r="N8" s="27"/>
      <c r="O8" s="60"/>
    </row>
    <row r="9" spans="1:15" ht="15" customHeight="1" x14ac:dyDescent="0.25">
      <c r="A9" s="70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195</v>
      </c>
      <c r="F9" s="27">
        <v>16</v>
      </c>
      <c r="G9" s="34">
        <f t="shared" si="0"/>
        <v>67.2</v>
      </c>
      <c r="H9" s="33"/>
      <c r="I9" s="33"/>
      <c r="J9" s="33"/>
      <c r="K9" s="29"/>
      <c r="L9" s="29"/>
      <c r="M9" s="35" t="str">
        <f t="shared" ca="1" si="1"/>
        <v/>
      </c>
      <c r="N9" s="27"/>
      <c r="O9" s="60"/>
    </row>
    <row r="10" spans="1:15" ht="15" customHeight="1" x14ac:dyDescent="0.25">
      <c r="A10" s="69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195</v>
      </c>
      <c r="F10" s="27">
        <v>2</v>
      </c>
      <c r="G10" s="28">
        <f t="shared" si="0"/>
        <v>8.4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60"/>
    </row>
    <row r="11" spans="1:15" ht="15" customHeight="1" x14ac:dyDescent="0.25">
      <c r="A11" s="70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195</v>
      </c>
      <c r="F11" s="27">
        <v>0</v>
      </c>
      <c r="G11" s="34">
        <f t="shared" si="0"/>
        <v>0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60"/>
    </row>
    <row r="12" spans="1:15" ht="15" customHeight="1" x14ac:dyDescent="0.25">
      <c r="A12" s="69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195</v>
      </c>
      <c r="F12" s="27">
        <v>5</v>
      </c>
      <c r="G12" s="28">
        <f t="shared" si="0"/>
        <v>21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60"/>
    </row>
    <row r="13" spans="1:15" ht="15" customHeight="1" x14ac:dyDescent="0.25">
      <c r="A13" s="70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195</v>
      </c>
      <c r="F13" s="27">
        <v>0</v>
      </c>
      <c r="G13" s="34">
        <f t="shared" si="0"/>
        <v>0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60"/>
    </row>
    <row r="14" spans="1:15" ht="15.75" customHeight="1" x14ac:dyDescent="0.25">
      <c r="A14" s="79" t="s">
        <v>190</v>
      </c>
      <c r="B14" s="80"/>
      <c r="C14" s="80"/>
      <c r="D14" s="80"/>
      <c r="E14" s="81"/>
      <c r="F14" s="36">
        <f>SUM(F2:F13)</f>
        <v>64</v>
      </c>
      <c r="G14" s="36">
        <f>SUM(G2:G13)</f>
        <v>268.79999999999995</v>
      </c>
      <c r="H14" s="37"/>
      <c r="I14" s="37"/>
      <c r="J14" s="37"/>
      <c r="K14" s="61"/>
      <c r="L14" s="61"/>
      <c r="M14" s="38">
        <f ca="1">IFERROR(SUM(M2:M13),"")</f>
        <v>0.22083333333333327</v>
      </c>
      <c r="N14" s="36" t="s">
        <v>191</v>
      </c>
      <c r="O14" s="39">
        <v>327070</v>
      </c>
    </row>
    <row r="15" spans="1:15" ht="15" customHeight="1" x14ac:dyDescent="0.25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195</v>
      </c>
      <c r="F15" s="27">
        <v>5</v>
      </c>
      <c r="G15" s="34">
        <f t="shared" ref="G15:G26" si="3">IF(F15="","",IF(E15="PC 17",F15*4.2,IF(E15="PC 19",F15*5,"")))</f>
        <v>21</v>
      </c>
      <c r="H15" s="33" t="s">
        <v>19</v>
      </c>
      <c r="I15" s="33" t="s">
        <v>52</v>
      </c>
      <c r="J15" s="33" t="s">
        <v>50</v>
      </c>
      <c r="K15" s="29">
        <v>0.8305555555555556</v>
      </c>
      <c r="L15" s="29">
        <v>0.86111111111111116</v>
      </c>
      <c r="M15" s="35">
        <f t="shared" ref="M15:M26" ca="1" si="4">IFERROR(IF(K15="","",IF(L15="",MOD(NOW()-K15,1),IF(L15&gt;=K15,L15-K15,L15+1-K15))),"")</f>
        <v>3.0555555555555558E-2</v>
      </c>
      <c r="N15" s="27"/>
      <c r="O15" s="60"/>
    </row>
    <row r="16" spans="1:15" ht="15" customHeight="1" x14ac:dyDescent="0.25">
      <c r="A16" s="69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195</v>
      </c>
      <c r="F16" s="27">
        <v>0</v>
      </c>
      <c r="G16" s="28">
        <f t="shared" si="3"/>
        <v>0</v>
      </c>
      <c r="H16" s="26" t="s">
        <v>18</v>
      </c>
      <c r="I16" s="26" t="s">
        <v>52</v>
      </c>
      <c r="J16" s="26" t="s">
        <v>42</v>
      </c>
      <c r="K16" s="29">
        <v>0.91666666666666663</v>
      </c>
      <c r="L16" s="29">
        <v>0.95833333333333337</v>
      </c>
      <c r="M16" s="91">
        <f ca="1">IFERROR(IF(K16="","",IF(L16="",MOD(NOW()-K16,1),IF(L16&gt;=K16,L16-K16,L16+1-K16))),"")</f>
        <v>4.1666666666666741E-2</v>
      </c>
      <c r="N16" s="27" t="s">
        <v>201</v>
      </c>
      <c r="O16" s="60"/>
    </row>
    <row r="17" spans="1:15" ht="15" customHeight="1" x14ac:dyDescent="0.25">
      <c r="A17" s="70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195</v>
      </c>
      <c r="F17" s="27">
        <v>2</v>
      </c>
      <c r="G17" s="34">
        <f t="shared" si="3"/>
        <v>8.4</v>
      </c>
      <c r="H17" s="33"/>
      <c r="I17" s="33"/>
      <c r="J17" s="33"/>
      <c r="K17" s="29"/>
      <c r="L17" s="29"/>
      <c r="M17" s="35" t="str">
        <f t="shared" ca="1" si="4"/>
        <v/>
      </c>
      <c r="N17" s="27"/>
      <c r="O17" s="60"/>
    </row>
    <row r="18" spans="1:15" ht="15" customHeight="1" x14ac:dyDescent="0.25">
      <c r="A18" s="69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195</v>
      </c>
      <c r="F18" s="27">
        <v>12</v>
      </c>
      <c r="G18" s="28">
        <f t="shared" si="3"/>
        <v>50.400000000000006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60"/>
    </row>
    <row r="19" spans="1:15" ht="15" customHeight="1" x14ac:dyDescent="0.25">
      <c r="A19" s="70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195</v>
      </c>
      <c r="F19" s="27">
        <v>0</v>
      </c>
      <c r="G19" s="34">
        <f t="shared" si="3"/>
        <v>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60"/>
    </row>
    <row r="20" spans="1:15" ht="15" customHeight="1" x14ac:dyDescent="0.25">
      <c r="A20" s="69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195</v>
      </c>
      <c r="F20" s="27">
        <v>1</v>
      </c>
      <c r="G20" s="28">
        <f t="shared" si="3"/>
        <v>4.2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60"/>
    </row>
    <row r="21" spans="1:15" ht="15" customHeight="1" x14ac:dyDescent="0.25">
      <c r="A21" s="70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195</v>
      </c>
      <c r="F21" s="27">
        <v>0</v>
      </c>
      <c r="G21" s="34">
        <f t="shared" si="3"/>
        <v>0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60"/>
    </row>
    <row r="22" spans="1:15" ht="15" customHeight="1" x14ac:dyDescent="0.25">
      <c r="A22" s="69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195</v>
      </c>
      <c r="F22" s="27">
        <v>6</v>
      </c>
      <c r="G22" s="28">
        <f t="shared" si="3"/>
        <v>25.200000000000003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60"/>
    </row>
    <row r="23" spans="1:15" ht="15" customHeight="1" x14ac:dyDescent="0.25">
      <c r="A23" s="70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195</v>
      </c>
      <c r="F23" s="27">
        <v>3</v>
      </c>
      <c r="G23" s="34">
        <f t="shared" si="3"/>
        <v>12.600000000000001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60"/>
    </row>
    <row r="24" spans="1:15" ht="15" customHeight="1" x14ac:dyDescent="0.25">
      <c r="A24" s="69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195</v>
      </c>
      <c r="F24" s="27">
        <v>4</v>
      </c>
      <c r="G24" s="28">
        <f t="shared" si="3"/>
        <v>16.8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60"/>
    </row>
    <row r="25" spans="1:15" ht="15" customHeight="1" x14ac:dyDescent="0.25">
      <c r="A25" s="70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195</v>
      </c>
      <c r="F25" s="27">
        <v>10</v>
      </c>
      <c r="G25" s="34">
        <f t="shared" si="3"/>
        <v>42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60"/>
    </row>
    <row r="26" spans="1:15" ht="15" customHeight="1" x14ac:dyDescent="0.25">
      <c r="A26" s="69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195</v>
      </c>
      <c r="F26" s="27">
        <v>0</v>
      </c>
      <c r="G26" s="28">
        <f t="shared" si="3"/>
        <v>0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60"/>
    </row>
    <row r="27" spans="1:15" ht="15.75" customHeight="1" x14ac:dyDescent="0.25">
      <c r="A27" s="79" t="s">
        <v>192</v>
      </c>
      <c r="B27" s="80"/>
      <c r="C27" s="80"/>
      <c r="D27" s="80"/>
      <c r="E27" s="81"/>
      <c r="F27" s="36">
        <f>SUM(F15:F26)</f>
        <v>43</v>
      </c>
      <c r="G27" s="36">
        <f>SUM(G15:G26)</f>
        <v>180.60000000000002</v>
      </c>
      <c r="H27" s="37"/>
      <c r="I27" s="37"/>
      <c r="J27" s="37"/>
      <c r="K27" s="61"/>
      <c r="L27" s="61"/>
      <c r="M27" s="38">
        <f ca="1">IFERROR(SUM(M15:M26),"")</f>
        <v>7.2222222222222299E-2</v>
      </c>
      <c r="N27" s="36" t="s">
        <v>191</v>
      </c>
      <c r="O27" s="39">
        <v>202230</v>
      </c>
    </row>
    <row r="28" spans="1:15" ht="18" customHeight="1" x14ac:dyDescent="0.25">
      <c r="A28" s="82" t="s">
        <v>193</v>
      </c>
      <c r="B28" s="83"/>
      <c r="C28" s="83"/>
      <c r="D28" s="83"/>
      <c r="E28" s="84"/>
      <c r="F28" s="40">
        <f>F14+F27</f>
        <v>107</v>
      </c>
      <c r="G28" s="40">
        <f>G14+G27</f>
        <v>449.4</v>
      </c>
      <c r="H28" s="41"/>
      <c r="I28" s="41"/>
      <c r="J28" s="41"/>
      <c r="K28" s="63"/>
      <c r="L28" s="63"/>
      <c r="M28" s="42">
        <f ca="1">IFERROR(M14+M27,"")</f>
        <v>0.29305555555555557</v>
      </c>
      <c r="N28" s="40" t="s">
        <v>194</v>
      </c>
      <c r="O28" s="48">
        <f>IFERROR(O14+O27,"")</f>
        <v>529300</v>
      </c>
    </row>
    <row r="29" spans="1:15" ht="15" customHeight="1" x14ac:dyDescent="0.25">
      <c r="A29" s="69">
        <v>46205</v>
      </c>
      <c r="B29" s="25">
        <v>0.33333333333333298</v>
      </c>
      <c r="C29" s="26" t="s">
        <v>21</v>
      </c>
      <c r="D29" s="59" t="s">
        <v>30</v>
      </c>
      <c r="E29" s="59"/>
      <c r="F29" s="27"/>
      <c r="G29" s="28" t="str">
        <f t="shared" ref="G29:G40" si="6">IF(F29="","",IF(E29="PC 17",F29*4.2,IF(E29="PC 19",F29*5,"")))</f>
        <v/>
      </c>
      <c r="H29" s="33"/>
      <c r="I29" s="33"/>
      <c r="J29" s="33"/>
      <c r="K29" s="29"/>
      <c r="L29" s="29"/>
      <c r="M29" s="30" t="str">
        <f t="shared" ref="M29:M40" ca="1" si="7">IFERROR(IF(K29="","",IF(L29="",MOD(NOW()-K29,1),IF(L29&gt;=K29,L29-K29,L29+1-K29))),"")</f>
        <v/>
      </c>
      <c r="N29" s="27"/>
      <c r="O29" s="60"/>
    </row>
    <row r="30" spans="1:15" ht="15" customHeight="1" x14ac:dyDescent="0.25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/>
      <c r="F30" s="27"/>
      <c r="G30" s="34" t="str">
        <f t="shared" si="6"/>
        <v/>
      </c>
      <c r="H30" s="26"/>
      <c r="I30" s="26"/>
      <c r="J30" s="26"/>
      <c r="K30" s="29"/>
      <c r="L30" s="29"/>
      <c r="M30" s="35" t="str">
        <f t="shared" ca="1" si="7"/>
        <v/>
      </c>
      <c r="N30" s="27"/>
      <c r="O30" s="60"/>
    </row>
    <row r="31" spans="1:15" ht="15" customHeight="1" x14ac:dyDescent="0.25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/>
      <c r="F31" s="27"/>
      <c r="G31" s="28" t="str">
        <f t="shared" si="6"/>
        <v/>
      </c>
      <c r="H31" s="33"/>
      <c r="I31" s="33"/>
      <c r="J31" s="33"/>
      <c r="K31" s="29"/>
      <c r="L31" s="29"/>
      <c r="M31" s="30" t="str">
        <f t="shared" ca="1" si="7"/>
        <v/>
      </c>
      <c r="N31" s="27"/>
      <c r="O31" s="60"/>
    </row>
    <row r="32" spans="1:15" ht="15" customHeight="1" x14ac:dyDescent="0.25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/>
      <c r="F32" s="27"/>
      <c r="G32" s="34" t="str">
        <f t="shared" si="6"/>
        <v/>
      </c>
      <c r="H32" s="26"/>
      <c r="I32" s="26"/>
      <c r="J32" s="26"/>
      <c r="K32" s="29"/>
      <c r="L32" s="29"/>
      <c r="M32" s="35" t="str">
        <f t="shared" ca="1" si="7"/>
        <v/>
      </c>
      <c r="N32" s="27"/>
      <c r="O32" s="60"/>
    </row>
    <row r="33" spans="1:15" ht="15" customHeight="1" x14ac:dyDescent="0.25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/>
      <c r="F33" s="27"/>
      <c r="G33" s="28" t="str">
        <f t="shared" si="6"/>
        <v/>
      </c>
      <c r="H33" s="33"/>
      <c r="I33" s="33"/>
      <c r="J33" s="33"/>
      <c r="K33" s="29"/>
      <c r="L33" s="29"/>
      <c r="M33" s="30" t="str">
        <f t="shared" ca="1" si="7"/>
        <v/>
      </c>
      <c r="N33" s="27"/>
      <c r="O33" s="60"/>
    </row>
    <row r="34" spans="1:15" ht="15" customHeight="1" x14ac:dyDescent="0.25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/>
      <c r="F34" s="27"/>
      <c r="G34" s="34" t="str">
        <f t="shared" si="6"/>
        <v/>
      </c>
      <c r="H34" s="26"/>
      <c r="I34" s="26"/>
      <c r="J34" s="26"/>
      <c r="K34" s="29"/>
      <c r="L34" s="29"/>
      <c r="M34" s="35" t="str">
        <f t="shared" ca="1" si="7"/>
        <v/>
      </c>
      <c r="N34" s="27"/>
      <c r="O34" s="60"/>
    </row>
    <row r="35" spans="1:15" ht="15" customHeight="1" x14ac:dyDescent="0.25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/>
      <c r="F35" s="27"/>
      <c r="G35" s="28" t="str">
        <f t="shared" si="6"/>
        <v/>
      </c>
      <c r="H35" s="33"/>
      <c r="I35" s="33"/>
      <c r="J35" s="33"/>
      <c r="K35" s="29"/>
      <c r="L35" s="29"/>
      <c r="M35" s="30" t="str">
        <f t="shared" ca="1" si="7"/>
        <v/>
      </c>
      <c r="N35" s="27"/>
      <c r="O35" s="60"/>
    </row>
    <row r="36" spans="1:15" ht="15" customHeight="1" x14ac:dyDescent="0.25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/>
      <c r="F36" s="27"/>
      <c r="G36" s="34" t="str">
        <f t="shared" si="6"/>
        <v/>
      </c>
      <c r="H36" s="26"/>
      <c r="I36" s="26"/>
      <c r="J36" s="26"/>
      <c r="K36" s="29"/>
      <c r="L36" s="29"/>
      <c r="M36" s="35" t="str">
        <f t="shared" ca="1" si="7"/>
        <v/>
      </c>
      <c r="N36" s="27"/>
      <c r="O36" s="60"/>
    </row>
    <row r="37" spans="1:15" ht="15" customHeight="1" x14ac:dyDescent="0.25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/>
      <c r="F37" s="27"/>
      <c r="G37" s="28" t="str">
        <f t="shared" si="6"/>
        <v/>
      </c>
      <c r="H37" s="33"/>
      <c r="I37" s="33"/>
      <c r="J37" s="33"/>
      <c r="K37" s="29"/>
      <c r="L37" s="29"/>
      <c r="M37" s="30" t="str">
        <f t="shared" ca="1" si="7"/>
        <v/>
      </c>
      <c r="N37" s="27"/>
      <c r="O37" s="60"/>
    </row>
    <row r="38" spans="1:15" ht="15" customHeight="1" x14ac:dyDescent="0.25">
      <c r="A38" s="70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/>
      <c r="F38" s="27"/>
      <c r="G38" s="34" t="str">
        <f t="shared" si="6"/>
        <v/>
      </c>
      <c r="H38" s="26"/>
      <c r="I38" s="26"/>
      <c r="J38" s="26"/>
      <c r="K38" s="29"/>
      <c r="L38" s="29"/>
      <c r="M38" s="35" t="str">
        <f t="shared" ca="1" si="7"/>
        <v/>
      </c>
      <c r="N38" s="27"/>
      <c r="O38" s="60"/>
    </row>
    <row r="39" spans="1:15" ht="15" customHeight="1" x14ac:dyDescent="0.25">
      <c r="A39" s="69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/>
      <c r="F39" s="27"/>
      <c r="G39" s="28" t="str">
        <f t="shared" si="6"/>
        <v/>
      </c>
      <c r="H39" s="33"/>
      <c r="I39" s="33"/>
      <c r="J39" s="33"/>
      <c r="K39" s="29"/>
      <c r="L39" s="29"/>
      <c r="M39" s="30" t="str">
        <f t="shared" ca="1" si="7"/>
        <v/>
      </c>
      <c r="N39" s="27"/>
      <c r="O39" s="60"/>
    </row>
    <row r="40" spans="1:15" ht="15" customHeight="1" x14ac:dyDescent="0.25">
      <c r="A40" s="70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/>
      <c r="F40" s="27"/>
      <c r="G40" s="34" t="str">
        <f t="shared" si="6"/>
        <v/>
      </c>
      <c r="H40" s="26"/>
      <c r="I40" s="26"/>
      <c r="J40" s="26"/>
      <c r="K40" s="29"/>
      <c r="L40" s="29"/>
      <c r="M40" s="35" t="str">
        <f t="shared" ca="1" si="7"/>
        <v/>
      </c>
      <c r="N40" s="27"/>
      <c r="O40" s="60"/>
    </row>
    <row r="41" spans="1:15" ht="15.75" customHeight="1" x14ac:dyDescent="0.25">
      <c r="A41" s="79" t="s">
        <v>190</v>
      </c>
      <c r="B41" s="80"/>
      <c r="C41" s="80"/>
      <c r="D41" s="80"/>
      <c r="E41" s="81">
        <f>SUM(E29:E40)</f>
        <v>0</v>
      </c>
      <c r="F41" s="36">
        <f>SUM(F29:F40)</f>
        <v>0</v>
      </c>
      <c r="G41" s="36">
        <f>SUM(G29:G40)</f>
        <v>0</v>
      </c>
      <c r="H41" s="37"/>
      <c r="I41" s="37"/>
      <c r="J41" s="37"/>
      <c r="K41" s="61"/>
      <c r="L41" s="61"/>
      <c r="M41" s="38">
        <f ca="1">IFERROR(SUM(M29:M40),"")</f>
        <v>0</v>
      </c>
      <c r="N41" s="36" t="s">
        <v>191</v>
      </c>
      <c r="O41" s="39"/>
    </row>
    <row r="42" spans="1:15" ht="15" customHeight="1" x14ac:dyDescent="0.25">
      <c r="A42" s="70">
        <v>46205</v>
      </c>
      <c r="B42" s="32">
        <v>0.83333333333333304</v>
      </c>
      <c r="C42" s="33"/>
      <c r="D42" s="62"/>
      <c r="E42" s="62"/>
      <c r="F42" s="27"/>
      <c r="G42" s="34" t="str">
        <f t="shared" ref="G42:G53" si="9">IF(F42="","",IF(E42="PC 17",F42*4.2,IF(E42="PC 19",F42*5,"")))</f>
        <v/>
      </c>
      <c r="H42" s="26"/>
      <c r="I42" s="26"/>
      <c r="J42" s="26"/>
      <c r="K42" s="29"/>
      <c r="L42" s="29"/>
      <c r="M42" s="35" t="str">
        <f t="shared" ref="M42:M53" ca="1" si="10">IFERROR(IF(K42="","",IF(L42="",MOD(NOW()-K42,1),IF(L42&gt;=K42,L42-K42,L42+1-K42))),"")</f>
        <v/>
      </c>
      <c r="N42" s="27"/>
      <c r="O42" s="60"/>
    </row>
    <row r="43" spans="1:15" ht="15" customHeight="1" x14ac:dyDescent="0.25">
      <c r="A43" s="69">
        <v>46205</v>
      </c>
      <c r="B43" s="25">
        <f t="shared" ref="B43:B53" si="11">B42+TIME(0,60,0)</f>
        <v>0.87499999999999967</v>
      </c>
      <c r="C43" s="33"/>
      <c r="D43" s="62"/>
      <c r="E43" s="62"/>
      <c r="F43" s="27"/>
      <c r="G43" s="28" t="str">
        <f t="shared" si="9"/>
        <v/>
      </c>
      <c r="H43" s="33"/>
      <c r="I43" s="33"/>
      <c r="J43" s="33"/>
      <c r="K43" s="29"/>
      <c r="L43" s="29"/>
      <c r="M43" s="30" t="str">
        <f t="shared" ca="1" si="10"/>
        <v/>
      </c>
      <c r="N43" s="27"/>
      <c r="O43" s="60"/>
    </row>
    <row r="44" spans="1:15" ht="15" customHeight="1" x14ac:dyDescent="0.25">
      <c r="A44" s="70">
        <v>46205</v>
      </c>
      <c r="B44" s="32">
        <f t="shared" si="11"/>
        <v>0.9166666666666663</v>
      </c>
      <c r="C44" s="33"/>
      <c r="D44" s="62"/>
      <c r="E44" s="62"/>
      <c r="F44" s="27"/>
      <c r="G44" s="34" t="str">
        <f t="shared" si="9"/>
        <v/>
      </c>
      <c r="H44" s="26"/>
      <c r="I44" s="26"/>
      <c r="J44" s="26"/>
      <c r="K44" s="29"/>
      <c r="L44" s="29"/>
      <c r="M44" s="35" t="str">
        <f t="shared" ca="1" si="10"/>
        <v/>
      </c>
      <c r="N44" s="27"/>
      <c r="O44" s="60"/>
    </row>
    <row r="45" spans="1:15" ht="15" customHeight="1" x14ac:dyDescent="0.25">
      <c r="A45" s="69">
        <v>46205</v>
      </c>
      <c r="B45" s="25">
        <f t="shared" si="11"/>
        <v>0.95833333333333293</v>
      </c>
      <c r="C45" s="33"/>
      <c r="D45" s="62"/>
      <c r="E45" s="62"/>
      <c r="F45" s="27"/>
      <c r="G45" s="28" t="str">
        <f t="shared" si="9"/>
        <v/>
      </c>
      <c r="H45" s="33"/>
      <c r="I45" s="33"/>
      <c r="J45" s="33"/>
      <c r="K45" s="29"/>
      <c r="L45" s="29"/>
      <c r="M45" s="30" t="str">
        <f t="shared" ca="1" si="10"/>
        <v/>
      </c>
      <c r="N45" s="27"/>
      <c r="O45" s="60"/>
    </row>
    <row r="46" spans="1:15" ht="15" customHeight="1" x14ac:dyDescent="0.25">
      <c r="A46" s="70">
        <v>46205</v>
      </c>
      <c r="B46" s="32">
        <f t="shared" si="11"/>
        <v>0.99999999999999956</v>
      </c>
      <c r="C46" s="33"/>
      <c r="D46" s="62"/>
      <c r="E46" s="62"/>
      <c r="F46" s="27"/>
      <c r="G46" s="34" t="str">
        <f t="shared" si="9"/>
        <v/>
      </c>
      <c r="H46" s="26"/>
      <c r="I46" s="26"/>
      <c r="J46" s="26"/>
      <c r="K46" s="29"/>
      <c r="L46" s="29"/>
      <c r="M46" s="35" t="str">
        <f t="shared" ca="1" si="10"/>
        <v/>
      </c>
      <c r="N46" s="27"/>
      <c r="O46" s="60"/>
    </row>
    <row r="47" spans="1:15" ht="15" customHeight="1" x14ac:dyDescent="0.25">
      <c r="A47" s="69">
        <v>46205</v>
      </c>
      <c r="B47" s="25">
        <f t="shared" si="11"/>
        <v>1.0416666666666663</v>
      </c>
      <c r="C47" s="33"/>
      <c r="D47" s="62"/>
      <c r="E47" s="62"/>
      <c r="F47" s="27"/>
      <c r="G47" s="28" t="str">
        <f t="shared" si="9"/>
        <v/>
      </c>
      <c r="H47" s="33"/>
      <c r="I47" s="33"/>
      <c r="J47" s="33"/>
      <c r="K47" s="29"/>
      <c r="L47" s="29"/>
      <c r="M47" s="30" t="str">
        <f t="shared" ca="1" si="10"/>
        <v/>
      </c>
      <c r="N47" s="27"/>
      <c r="O47" s="60"/>
    </row>
    <row r="48" spans="1:15" ht="15" customHeight="1" x14ac:dyDescent="0.25">
      <c r="A48" s="70">
        <v>46205</v>
      </c>
      <c r="B48" s="32">
        <f t="shared" si="11"/>
        <v>1.083333333333333</v>
      </c>
      <c r="C48" s="33"/>
      <c r="D48" s="62"/>
      <c r="E48" s="62"/>
      <c r="F48" s="27"/>
      <c r="G48" s="34" t="str">
        <f t="shared" si="9"/>
        <v/>
      </c>
      <c r="H48" s="26"/>
      <c r="I48" s="26"/>
      <c r="J48" s="26"/>
      <c r="K48" s="29"/>
      <c r="L48" s="29"/>
      <c r="M48" s="35" t="str">
        <f t="shared" ca="1" si="10"/>
        <v/>
      </c>
      <c r="N48" s="27"/>
      <c r="O48" s="60"/>
    </row>
    <row r="49" spans="1:15" ht="15" customHeight="1" x14ac:dyDescent="0.25">
      <c r="A49" s="69">
        <v>46205</v>
      </c>
      <c r="B49" s="25">
        <f t="shared" si="11"/>
        <v>1.1249999999999998</v>
      </c>
      <c r="C49" s="33"/>
      <c r="D49" s="62"/>
      <c r="E49" s="62"/>
      <c r="F49" s="27"/>
      <c r="G49" s="28" t="str">
        <f t="shared" si="9"/>
        <v/>
      </c>
      <c r="H49" s="33"/>
      <c r="I49" s="33"/>
      <c r="J49" s="33"/>
      <c r="K49" s="29"/>
      <c r="L49" s="29"/>
      <c r="M49" s="30" t="str">
        <f t="shared" ca="1" si="10"/>
        <v/>
      </c>
      <c r="N49" s="27"/>
      <c r="O49" s="60"/>
    </row>
    <row r="50" spans="1:15" ht="15" customHeight="1" x14ac:dyDescent="0.25">
      <c r="A50" s="70">
        <v>46205</v>
      </c>
      <c r="B50" s="32">
        <f t="shared" si="11"/>
        <v>1.1666666666666665</v>
      </c>
      <c r="C50" s="33"/>
      <c r="D50" s="62"/>
      <c r="E50" s="62"/>
      <c r="F50" s="27"/>
      <c r="G50" s="34" t="str">
        <f t="shared" si="9"/>
        <v/>
      </c>
      <c r="H50" s="26"/>
      <c r="I50" s="26"/>
      <c r="J50" s="26"/>
      <c r="K50" s="29"/>
      <c r="L50" s="29"/>
      <c r="M50" s="35" t="str">
        <f t="shared" ca="1" si="10"/>
        <v/>
      </c>
      <c r="N50" s="27"/>
      <c r="O50" s="60"/>
    </row>
    <row r="51" spans="1:15" ht="15" customHeight="1" x14ac:dyDescent="0.25">
      <c r="A51" s="69">
        <v>46205</v>
      </c>
      <c r="B51" s="25">
        <f t="shared" si="11"/>
        <v>1.2083333333333333</v>
      </c>
      <c r="C51" s="33"/>
      <c r="D51" s="62"/>
      <c r="E51" s="62"/>
      <c r="F51" s="27"/>
      <c r="G51" s="28" t="str">
        <f t="shared" si="9"/>
        <v/>
      </c>
      <c r="H51" s="33"/>
      <c r="I51" s="33"/>
      <c r="J51" s="33"/>
      <c r="K51" s="29"/>
      <c r="L51" s="29"/>
      <c r="M51" s="30" t="str">
        <f t="shared" ca="1" si="10"/>
        <v/>
      </c>
      <c r="N51" s="27"/>
      <c r="O51" s="60"/>
    </row>
    <row r="52" spans="1:15" ht="15" customHeight="1" x14ac:dyDescent="0.25">
      <c r="A52" s="70">
        <v>46205</v>
      </c>
      <c r="B52" s="32">
        <f t="shared" si="11"/>
        <v>1.25</v>
      </c>
      <c r="C52" s="33"/>
      <c r="D52" s="62"/>
      <c r="E52" s="62"/>
      <c r="F52" s="27"/>
      <c r="G52" s="34" t="str">
        <f t="shared" si="9"/>
        <v/>
      </c>
      <c r="H52" s="26"/>
      <c r="I52" s="26"/>
      <c r="J52" s="26"/>
      <c r="K52" s="29"/>
      <c r="L52" s="29"/>
      <c r="M52" s="35" t="str">
        <f t="shared" ca="1" si="10"/>
        <v/>
      </c>
      <c r="N52" s="27"/>
      <c r="O52" s="60"/>
    </row>
    <row r="53" spans="1:15" ht="15" customHeight="1" x14ac:dyDescent="0.25">
      <c r="A53" s="69">
        <v>46205</v>
      </c>
      <c r="B53" s="25">
        <f t="shared" si="11"/>
        <v>1.2916666666666667</v>
      </c>
      <c r="C53" s="33"/>
      <c r="D53" s="62"/>
      <c r="E53" s="62"/>
      <c r="F53" s="27"/>
      <c r="G53" s="28" t="str">
        <f t="shared" si="9"/>
        <v/>
      </c>
      <c r="H53" s="33"/>
      <c r="I53" s="33"/>
      <c r="J53" s="33"/>
      <c r="K53" s="29"/>
      <c r="L53" s="29"/>
      <c r="M53" s="30" t="str">
        <f t="shared" ca="1" si="10"/>
        <v/>
      </c>
      <c r="N53" s="27"/>
      <c r="O53" s="60"/>
    </row>
    <row r="54" spans="1:15" ht="15.75" customHeight="1" x14ac:dyDescent="0.25">
      <c r="A54" s="79" t="s">
        <v>192</v>
      </c>
      <c r="B54" s="80"/>
      <c r="C54" s="80"/>
      <c r="D54" s="80"/>
      <c r="E54" s="81">
        <f>SUM(E42:E53)</f>
        <v>0</v>
      </c>
      <c r="F54" s="36">
        <f>SUM(F42:F53)</f>
        <v>0</v>
      </c>
      <c r="G54" s="36">
        <f>SUM(G42:G53)</f>
        <v>0</v>
      </c>
      <c r="H54" s="37"/>
      <c r="I54" s="37"/>
      <c r="J54" s="37"/>
      <c r="K54" s="61"/>
      <c r="L54" s="61"/>
      <c r="M54" s="38">
        <f ca="1">IFERROR(SUM(M42:M53),"")</f>
        <v>0</v>
      </c>
      <c r="N54" s="36" t="s">
        <v>191</v>
      </c>
      <c r="O54" s="39"/>
    </row>
    <row r="55" spans="1:15" ht="18" customHeight="1" x14ac:dyDescent="0.25">
      <c r="A55" s="82" t="s">
        <v>193</v>
      </c>
      <c r="B55" s="83"/>
      <c r="C55" s="83"/>
      <c r="D55" s="83"/>
      <c r="E55" s="84">
        <f>E41+E54</f>
        <v>0</v>
      </c>
      <c r="F55" s="40">
        <f>F41+F54</f>
        <v>0</v>
      </c>
      <c r="G55" s="40">
        <f>G41+G54</f>
        <v>0</v>
      </c>
      <c r="H55" s="41"/>
      <c r="I55" s="41"/>
      <c r="J55" s="41"/>
      <c r="K55" s="63"/>
      <c r="L55" s="63"/>
      <c r="M55" s="42">
        <f ca="1">IFERROR(M41+M54,"")</f>
        <v>0</v>
      </c>
      <c r="N55" s="40" t="s">
        <v>194</v>
      </c>
      <c r="O55" s="48">
        <f>IFERROR(O41+O54,"")</f>
        <v>0</v>
      </c>
    </row>
    <row r="56" spans="1:15" ht="15" customHeight="1" x14ac:dyDescent="0.25">
      <c r="A56" s="69">
        <v>46206</v>
      </c>
      <c r="B56" s="25">
        <v>0.33333333333333298</v>
      </c>
      <c r="C56" s="26"/>
      <c r="D56" s="59"/>
      <c r="E56" s="59"/>
      <c r="F56" s="27"/>
      <c r="G56" s="28" t="str">
        <f t="shared" ref="G56:G67" si="12">IF(F56="","",IF(E56="PC 17",F56*4.2,IF(E56="PC 19",F56*5,"")))</f>
        <v/>
      </c>
      <c r="H56" s="26"/>
      <c r="I56" s="26"/>
      <c r="J56" s="26"/>
      <c r="K56" s="29"/>
      <c r="L56" s="29"/>
      <c r="M56" s="30" t="str">
        <f t="shared" ref="M56:M67" ca="1" si="13">IFERROR(IF(K56="","",IF(L56="",MOD(NOW()-K56,1),IF(L56&gt;=K56,L56-K56,L56+1-K56))),"")</f>
        <v/>
      </c>
      <c r="N56" s="27"/>
      <c r="O56" s="60"/>
    </row>
    <row r="57" spans="1:15" ht="15" customHeight="1" x14ac:dyDescent="0.25">
      <c r="A57" s="70">
        <v>46206</v>
      </c>
      <c r="B57" s="32">
        <f t="shared" ref="B57:B67" si="14">B56+TIME(0,60,0)</f>
        <v>0.37499999999999967</v>
      </c>
      <c r="C57" s="26"/>
      <c r="D57" s="59"/>
      <c r="E57" s="59"/>
      <c r="F57" s="27"/>
      <c r="G57" s="34" t="str">
        <f t="shared" si="12"/>
        <v/>
      </c>
      <c r="H57" s="33"/>
      <c r="I57" s="33"/>
      <c r="J57" s="33"/>
      <c r="K57" s="29"/>
      <c r="L57" s="29"/>
      <c r="M57" s="35" t="str">
        <f t="shared" ca="1" si="13"/>
        <v/>
      </c>
      <c r="N57" s="27"/>
      <c r="O57" s="60"/>
    </row>
    <row r="58" spans="1:15" ht="15" customHeight="1" x14ac:dyDescent="0.25">
      <c r="A58" s="69">
        <v>46206</v>
      </c>
      <c r="B58" s="25">
        <f t="shared" si="14"/>
        <v>0.41666666666666635</v>
      </c>
      <c r="C58" s="26"/>
      <c r="D58" s="59"/>
      <c r="E58" s="59"/>
      <c r="F58" s="27"/>
      <c r="G58" s="28" t="str">
        <f t="shared" si="12"/>
        <v/>
      </c>
      <c r="H58" s="26"/>
      <c r="I58" s="26"/>
      <c r="J58" s="26"/>
      <c r="K58" s="29"/>
      <c r="L58" s="29"/>
      <c r="M58" s="30" t="str">
        <f t="shared" ca="1" si="13"/>
        <v/>
      </c>
      <c r="N58" s="27"/>
      <c r="O58" s="60"/>
    </row>
    <row r="59" spans="1:15" ht="15" customHeight="1" x14ac:dyDescent="0.25">
      <c r="A59" s="70">
        <v>46206</v>
      </c>
      <c r="B59" s="32">
        <f t="shared" si="14"/>
        <v>0.45833333333333304</v>
      </c>
      <c r="C59" s="26"/>
      <c r="D59" s="59"/>
      <c r="E59" s="59"/>
      <c r="F59" s="27"/>
      <c r="G59" s="34" t="str">
        <f t="shared" si="12"/>
        <v/>
      </c>
      <c r="H59" s="33"/>
      <c r="I59" s="33"/>
      <c r="J59" s="33"/>
      <c r="K59" s="29"/>
      <c r="L59" s="29"/>
      <c r="M59" s="35" t="str">
        <f t="shared" ca="1" si="13"/>
        <v/>
      </c>
      <c r="N59" s="27"/>
      <c r="O59" s="60"/>
    </row>
    <row r="60" spans="1:15" ht="15" customHeight="1" x14ac:dyDescent="0.25">
      <c r="A60" s="69">
        <v>46206</v>
      </c>
      <c r="B60" s="25">
        <f t="shared" si="14"/>
        <v>0.49999999999999972</v>
      </c>
      <c r="C60" s="26"/>
      <c r="D60" s="59"/>
      <c r="E60" s="59"/>
      <c r="F60" s="27"/>
      <c r="G60" s="28" t="str">
        <f t="shared" si="12"/>
        <v/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60"/>
    </row>
    <row r="61" spans="1:15" ht="15" customHeight="1" x14ac:dyDescent="0.25">
      <c r="A61" s="70">
        <v>46206</v>
      </c>
      <c r="B61" s="32">
        <f t="shared" si="14"/>
        <v>0.54166666666666641</v>
      </c>
      <c r="C61" s="26"/>
      <c r="D61" s="59"/>
      <c r="E61" s="59"/>
      <c r="F61" s="27"/>
      <c r="G61" s="34" t="str">
        <f t="shared" si="12"/>
        <v/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60"/>
    </row>
    <row r="62" spans="1:15" ht="15" customHeight="1" x14ac:dyDescent="0.25">
      <c r="A62" s="69">
        <v>46206</v>
      </c>
      <c r="B62" s="25">
        <f t="shared" si="14"/>
        <v>0.58333333333333304</v>
      </c>
      <c r="C62" s="26"/>
      <c r="D62" s="59"/>
      <c r="E62" s="59"/>
      <c r="F62" s="27"/>
      <c r="G62" s="28" t="str">
        <f t="shared" si="12"/>
        <v/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60"/>
    </row>
    <row r="63" spans="1:15" ht="15" customHeight="1" x14ac:dyDescent="0.25">
      <c r="A63" s="70">
        <v>46206</v>
      </c>
      <c r="B63" s="32">
        <f t="shared" si="14"/>
        <v>0.62499999999999967</v>
      </c>
      <c r="C63" s="26"/>
      <c r="D63" s="59"/>
      <c r="E63" s="59"/>
      <c r="F63" s="27"/>
      <c r="G63" s="34" t="str">
        <f t="shared" si="12"/>
        <v/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60"/>
    </row>
    <row r="64" spans="1:15" ht="15" customHeight="1" x14ac:dyDescent="0.25">
      <c r="A64" s="69">
        <v>46206</v>
      </c>
      <c r="B64" s="25">
        <f t="shared" si="14"/>
        <v>0.6666666666666663</v>
      </c>
      <c r="C64" s="26"/>
      <c r="D64" s="59"/>
      <c r="E64" s="59"/>
      <c r="F64" s="27"/>
      <c r="G64" s="28" t="str">
        <f t="shared" si="12"/>
        <v/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60"/>
    </row>
    <row r="65" spans="1:15" ht="15" customHeight="1" x14ac:dyDescent="0.25">
      <c r="A65" s="70">
        <v>46206</v>
      </c>
      <c r="B65" s="32">
        <f t="shared" si="14"/>
        <v>0.70833333333333293</v>
      </c>
      <c r="C65" s="26"/>
      <c r="D65" s="59"/>
      <c r="E65" s="59"/>
      <c r="F65" s="27"/>
      <c r="G65" s="34" t="str">
        <f t="shared" si="12"/>
        <v/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60"/>
    </row>
    <row r="66" spans="1:15" ht="15" customHeight="1" x14ac:dyDescent="0.25">
      <c r="A66" s="69">
        <v>46206</v>
      </c>
      <c r="B66" s="25">
        <f t="shared" si="14"/>
        <v>0.74999999999999956</v>
      </c>
      <c r="C66" s="26"/>
      <c r="D66" s="59"/>
      <c r="E66" s="59"/>
      <c r="F66" s="27"/>
      <c r="G66" s="28" t="str">
        <f t="shared" si="12"/>
        <v/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60"/>
    </row>
    <row r="67" spans="1:15" ht="15" customHeight="1" x14ac:dyDescent="0.25">
      <c r="A67" s="70">
        <v>46206</v>
      </c>
      <c r="B67" s="32">
        <f t="shared" si="14"/>
        <v>0.79166666666666619</v>
      </c>
      <c r="C67" s="26"/>
      <c r="D67" s="59"/>
      <c r="E67" s="59"/>
      <c r="F67" s="27"/>
      <c r="G67" s="34" t="str">
        <f t="shared" si="12"/>
        <v/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60"/>
    </row>
    <row r="68" spans="1:15" ht="15.75" customHeight="1" x14ac:dyDescent="0.25">
      <c r="A68" s="79" t="s">
        <v>190</v>
      </c>
      <c r="B68" s="80"/>
      <c r="C68" s="80"/>
      <c r="D68" s="80"/>
      <c r="E68" s="81">
        <f>SUM(E56:E67)</f>
        <v>0</v>
      </c>
      <c r="F68" s="36">
        <f>SUM(F56:F67)</f>
        <v>0</v>
      </c>
      <c r="G68" s="36">
        <f>SUM(G56:G67)</f>
        <v>0</v>
      </c>
      <c r="H68" s="37"/>
      <c r="I68" s="37"/>
      <c r="J68" s="37"/>
      <c r="K68" s="61"/>
      <c r="L68" s="61"/>
      <c r="M68" s="38">
        <f ca="1">IFERROR(SUM(M56:M67),"")</f>
        <v>0</v>
      </c>
      <c r="N68" s="36" t="s">
        <v>191</v>
      </c>
      <c r="O68" s="39"/>
    </row>
    <row r="69" spans="1:15" ht="15" customHeight="1" x14ac:dyDescent="0.25">
      <c r="A69" s="70">
        <v>46206</v>
      </c>
      <c r="B69" s="32">
        <v>0.83333333333333304</v>
      </c>
      <c r="C69" s="33"/>
      <c r="D69" s="62"/>
      <c r="E69" s="62"/>
      <c r="F69" s="27"/>
      <c r="G69" s="34" t="str">
        <f t="shared" ref="G69:G80" si="15">IF(F69="","",IF(E69="PC 17",F69*4.2,IF(E69="PC 19",F69*5,"")))</f>
        <v/>
      </c>
      <c r="H69" s="33"/>
      <c r="I69" s="33"/>
      <c r="J69" s="33"/>
      <c r="K69" s="29"/>
      <c r="L69" s="29"/>
      <c r="M69" s="35" t="str">
        <f t="shared" ref="M69:M80" ca="1" si="16">IFERROR(IF(K69="","",IF(L69="",MOD(NOW()-K69,1),IF(L69&gt;=K69,L69-K69,L69+1-K69))),"")</f>
        <v/>
      </c>
      <c r="N69" s="27"/>
      <c r="O69" s="60"/>
    </row>
    <row r="70" spans="1:15" ht="15" customHeight="1" x14ac:dyDescent="0.25">
      <c r="A70" s="69">
        <v>46206</v>
      </c>
      <c r="B70" s="25">
        <f t="shared" ref="B70:B80" si="17">B69+TIME(0,60,0)</f>
        <v>0.87499999999999967</v>
      </c>
      <c r="C70" s="33"/>
      <c r="D70" s="62"/>
      <c r="E70" s="62"/>
      <c r="F70" s="27"/>
      <c r="G70" s="28" t="str">
        <f t="shared" si="15"/>
        <v/>
      </c>
      <c r="H70" s="26"/>
      <c r="I70" s="26"/>
      <c r="J70" s="26"/>
      <c r="K70" s="29"/>
      <c r="L70" s="29"/>
      <c r="M70" s="30" t="str">
        <f t="shared" ca="1" si="16"/>
        <v/>
      </c>
      <c r="N70" s="27"/>
      <c r="O70" s="60"/>
    </row>
    <row r="71" spans="1:15" ht="15" customHeight="1" x14ac:dyDescent="0.25">
      <c r="A71" s="70">
        <v>46206</v>
      </c>
      <c r="B71" s="32">
        <f t="shared" si="17"/>
        <v>0.9166666666666663</v>
      </c>
      <c r="C71" s="33"/>
      <c r="D71" s="62"/>
      <c r="E71" s="62"/>
      <c r="F71" s="27"/>
      <c r="G71" s="34" t="str">
        <f t="shared" si="15"/>
        <v/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60"/>
    </row>
    <row r="72" spans="1:15" ht="15" customHeight="1" x14ac:dyDescent="0.25">
      <c r="A72" s="69">
        <v>46206</v>
      </c>
      <c r="B72" s="25">
        <f t="shared" si="17"/>
        <v>0.95833333333333293</v>
      </c>
      <c r="C72" s="33"/>
      <c r="D72" s="62"/>
      <c r="E72" s="62"/>
      <c r="F72" s="27"/>
      <c r="G72" s="28" t="str">
        <f t="shared" si="15"/>
        <v/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60"/>
    </row>
    <row r="73" spans="1:15" ht="15" customHeight="1" x14ac:dyDescent="0.25">
      <c r="A73" s="70">
        <v>46206</v>
      </c>
      <c r="B73" s="32">
        <f t="shared" si="17"/>
        <v>0.99999999999999956</v>
      </c>
      <c r="C73" s="33"/>
      <c r="D73" s="62"/>
      <c r="E73" s="62"/>
      <c r="F73" s="27"/>
      <c r="G73" s="34" t="str">
        <f t="shared" si="15"/>
        <v/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60"/>
    </row>
    <row r="74" spans="1:15" ht="15" customHeight="1" x14ac:dyDescent="0.25">
      <c r="A74" s="69">
        <v>46206</v>
      </c>
      <c r="B74" s="25">
        <f t="shared" si="17"/>
        <v>1.0416666666666663</v>
      </c>
      <c r="C74" s="33"/>
      <c r="D74" s="62"/>
      <c r="E74" s="62"/>
      <c r="F74" s="27"/>
      <c r="G74" s="28" t="str">
        <f t="shared" si="15"/>
        <v/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60"/>
    </row>
    <row r="75" spans="1:15" ht="15" customHeight="1" x14ac:dyDescent="0.25">
      <c r="A75" s="70">
        <v>46206</v>
      </c>
      <c r="B75" s="32">
        <f t="shared" si="17"/>
        <v>1.083333333333333</v>
      </c>
      <c r="C75" s="33"/>
      <c r="D75" s="62"/>
      <c r="E75" s="62"/>
      <c r="F75" s="27"/>
      <c r="G75" s="34" t="str">
        <f t="shared" si="15"/>
        <v/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60"/>
    </row>
    <row r="76" spans="1:15" ht="15" customHeight="1" x14ac:dyDescent="0.25">
      <c r="A76" s="69">
        <v>46206</v>
      </c>
      <c r="B76" s="25">
        <f t="shared" si="17"/>
        <v>1.1249999999999998</v>
      </c>
      <c r="C76" s="33"/>
      <c r="D76" s="62"/>
      <c r="E76" s="62"/>
      <c r="F76" s="27"/>
      <c r="G76" s="28" t="str">
        <f t="shared" si="15"/>
        <v/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60"/>
    </row>
    <row r="77" spans="1:15" ht="15" customHeight="1" x14ac:dyDescent="0.25">
      <c r="A77" s="70">
        <v>46206</v>
      </c>
      <c r="B77" s="32">
        <f t="shared" si="17"/>
        <v>1.1666666666666665</v>
      </c>
      <c r="C77" s="33"/>
      <c r="D77" s="62"/>
      <c r="E77" s="62"/>
      <c r="F77" s="27"/>
      <c r="G77" s="34" t="str">
        <f t="shared" si="15"/>
        <v/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60"/>
    </row>
    <row r="78" spans="1:15" ht="15" customHeight="1" x14ac:dyDescent="0.25">
      <c r="A78" s="69">
        <v>46206</v>
      </c>
      <c r="B78" s="25">
        <f t="shared" si="17"/>
        <v>1.2083333333333333</v>
      </c>
      <c r="C78" s="33"/>
      <c r="D78" s="62"/>
      <c r="E78" s="62"/>
      <c r="F78" s="27"/>
      <c r="G78" s="28" t="str">
        <f t="shared" si="15"/>
        <v/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60"/>
    </row>
    <row r="79" spans="1:15" ht="15" customHeight="1" x14ac:dyDescent="0.25">
      <c r="A79" s="70">
        <v>46206</v>
      </c>
      <c r="B79" s="32">
        <f t="shared" si="17"/>
        <v>1.25</v>
      </c>
      <c r="C79" s="33"/>
      <c r="D79" s="62"/>
      <c r="E79" s="62"/>
      <c r="F79" s="27"/>
      <c r="G79" s="34" t="str">
        <f t="shared" si="15"/>
        <v/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60"/>
    </row>
    <row r="80" spans="1:15" ht="15" customHeight="1" x14ac:dyDescent="0.25">
      <c r="A80" s="69">
        <v>46206</v>
      </c>
      <c r="B80" s="25">
        <f t="shared" si="17"/>
        <v>1.2916666666666667</v>
      </c>
      <c r="C80" s="33"/>
      <c r="D80" s="62"/>
      <c r="E80" s="62"/>
      <c r="F80" s="27"/>
      <c r="G80" s="28" t="str">
        <f t="shared" si="15"/>
        <v/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60"/>
    </row>
    <row r="81" spans="1:15" ht="15.75" customHeight="1" x14ac:dyDescent="0.25">
      <c r="A81" s="79" t="s">
        <v>192</v>
      </c>
      <c r="B81" s="80"/>
      <c r="C81" s="80"/>
      <c r="D81" s="80"/>
      <c r="E81" s="81">
        <f>SUM(E69:E80)</f>
        <v>0</v>
      </c>
      <c r="F81" s="36">
        <f>SUM(F69:F80)</f>
        <v>0</v>
      </c>
      <c r="G81" s="36">
        <f>SUM(G69:G80)</f>
        <v>0</v>
      </c>
      <c r="H81" s="37"/>
      <c r="I81" s="37"/>
      <c r="J81" s="37"/>
      <c r="K81" s="61"/>
      <c r="L81" s="61"/>
      <c r="M81" s="38">
        <f ca="1">IFERROR(SUM(M69:M80),"")</f>
        <v>0</v>
      </c>
      <c r="N81" s="36" t="s">
        <v>191</v>
      </c>
      <c r="O81" s="39"/>
    </row>
    <row r="82" spans="1:15" ht="18" customHeight="1" x14ac:dyDescent="0.25">
      <c r="A82" s="82" t="s">
        <v>193</v>
      </c>
      <c r="B82" s="83"/>
      <c r="C82" s="83"/>
      <c r="D82" s="83"/>
      <c r="E82" s="84">
        <f>E68+E81</f>
        <v>0</v>
      </c>
      <c r="F82" s="40">
        <f>F68+F81</f>
        <v>0</v>
      </c>
      <c r="G82" s="40">
        <f>G68+G81</f>
        <v>0</v>
      </c>
      <c r="H82" s="41"/>
      <c r="I82" s="41"/>
      <c r="J82" s="41"/>
      <c r="K82" s="63"/>
      <c r="L82" s="63"/>
      <c r="M82" s="42">
        <f ca="1">IFERROR(M68+M81,"")</f>
        <v>0</v>
      </c>
      <c r="N82" s="40" t="s">
        <v>194</v>
      </c>
      <c r="O82" s="48">
        <f>IFERROR(O68+O81,"")</f>
        <v>0</v>
      </c>
    </row>
    <row r="83" spans="1:15" ht="15" customHeight="1" x14ac:dyDescent="0.25">
      <c r="A83" s="69">
        <v>46207</v>
      </c>
      <c r="B83" s="25">
        <v>0.33333333333333298</v>
      </c>
      <c r="C83" s="26"/>
      <c r="D83" s="59"/>
      <c r="E83" s="59"/>
      <c r="F83" s="27"/>
      <c r="G83" s="28" t="str">
        <f t="shared" ref="G83:G94" si="18">IF(F83="","",IF(E83="PC 17",F83*4.2,IF(E83="PC 19",F83*5,"")))</f>
        <v/>
      </c>
      <c r="H83" s="33"/>
      <c r="I83" s="33"/>
      <c r="J83" s="33"/>
      <c r="K83" s="29"/>
      <c r="L83" s="29"/>
      <c r="M83" s="30" t="str">
        <f t="shared" ref="M83:M94" ca="1" si="19">IFERROR(IF(K83="","",IF(L83="",MOD(NOW()-K83,1),IF(L83&gt;=K83,L83-K83,L83+1-K83))),"")</f>
        <v/>
      </c>
      <c r="N83" s="27"/>
      <c r="O83" s="60"/>
    </row>
    <row r="84" spans="1:15" ht="15" customHeight="1" x14ac:dyDescent="0.25">
      <c r="A84" s="70">
        <v>46207</v>
      </c>
      <c r="B84" s="32">
        <f t="shared" ref="B84:B94" si="20">B83+TIME(0,60,0)</f>
        <v>0.37499999999999967</v>
      </c>
      <c r="C84" s="26"/>
      <c r="D84" s="59"/>
      <c r="E84" s="59"/>
      <c r="F84" s="27"/>
      <c r="G84" s="34" t="str">
        <f t="shared" si="18"/>
        <v/>
      </c>
      <c r="H84" s="26"/>
      <c r="I84" s="26"/>
      <c r="J84" s="26"/>
      <c r="K84" s="29"/>
      <c r="L84" s="29"/>
      <c r="M84" s="35" t="str">
        <f t="shared" ca="1" si="19"/>
        <v/>
      </c>
      <c r="N84" s="27"/>
      <c r="O84" s="60"/>
    </row>
    <row r="85" spans="1:15" ht="15" customHeight="1" x14ac:dyDescent="0.25">
      <c r="A85" s="69">
        <v>46207</v>
      </c>
      <c r="B85" s="25">
        <f t="shared" si="20"/>
        <v>0.41666666666666635</v>
      </c>
      <c r="C85" s="26"/>
      <c r="D85" s="59"/>
      <c r="E85" s="59"/>
      <c r="F85" s="27"/>
      <c r="G85" s="28" t="str">
        <f t="shared" si="18"/>
        <v/>
      </c>
      <c r="H85" s="33"/>
      <c r="I85" s="33"/>
      <c r="J85" s="33"/>
      <c r="K85" s="29"/>
      <c r="L85" s="29"/>
      <c r="M85" s="30" t="str">
        <f t="shared" ca="1" si="19"/>
        <v/>
      </c>
      <c r="N85" s="27"/>
      <c r="O85" s="60"/>
    </row>
    <row r="86" spans="1:15" ht="15" customHeight="1" x14ac:dyDescent="0.25">
      <c r="A86" s="70">
        <v>46207</v>
      </c>
      <c r="B86" s="32">
        <f t="shared" si="20"/>
        <v>0.45833333333333304</v>
      </c>
      <c r="C86" s="26"/>
      <c r="D86" s="59"/>
      <c r="E86" s="59"/>
      <c r="F86" s="27"/>
      <c r="G86" s="34" t="str">
        <f t="shared" si="18"/>
        <v/>
      </c>
      <c r="H86" s="26"/>
      <c r="I86" s="26"/>
      <c r="J86" s="26"/>
      <c r="K86" s="29"/>
      <c r="L86" s="29"/>
      <c r="M86" s="35" t="str">
        <f t="shared" ca="1" si="19"/>
        <v/>
      </c>
      <c r="N86" s="27"/>
      <c r="O86" s="60"/>
    </row>
    <row r="87" spans="1:15" ht="15" customHeight="1" x14ac:dyDescent="0.25">
      <c r="A87" s="69">
        <v>46207</v>
      </c>
      <c r="B87" s="25">
        <f t="shared" si="20"/>
        <v>0.49999999999999972</v>
      </c>
      <c r="C87" s="26"/>
      <c r="D87" s="59"/>
      <c r="E87" s="59"/>
      <c r="F87" s="27"/>
      <c r="G87" s="28" t="str">
        <f t="shared" si="18"/>
        <v/>
      </c>
      <c r="H87" s="33"/>
      <c r="I87" s="33"/>
      <c r="J87" s="33"/>
      <c r="K87" s="29"/>
      <c r="L87" s="29"/>
      <c r="M87" s="30" t="str">
        <f t="shared" ca="1" si="19"/>
        <v/>
      </c>
      <c r="N87" s="27"/>
      <c r="O87" s="60"/>
    </row>
    <row r="88" spans="1:15" ht="15" customHeight="1" x14ac:dyDescent="0.25">
      <c r="A88" s="70">
        <v>46207</v>
      </c>
      <c r="B88" s="32">
        <f t="shared" si="20"/>
        <v>0.54166666666666641</v>
      </c>
      <c r="C88" s="26"/>
      <c r="D88" s="59"/>
      <c r="E88" s="59"/>
      <c r="F88" s="27"/>
      <c r="G88" s="34" t="str">
        <f t="shared" si="18"/>
        <v/>
      </c>
      <c r="H88" s="26"/>
      <c r="I88" s="26"/>
      <c r="J88" s="26"/>
      <c r="K88" s="29"/>
      <c r="L88" s="29"/>
      <c r="M88" s="35" t="str">
        <f t="shared" ca="1" si="19"/>
        <v/>
      </c>
      <c r="N88" s="27"/>
      <c r="O88" s="60"/>
    </row>
    <row r="89" spans="1:15" ht="15" customHeight="1" x14ac:dyDescent="0.25">
      <c r="A89" s="69">
        <v>46207</v>
      </c>
      <c r="B89" s="25">
        <f t="shared" si="20"/>
        <v>0.58333333333333304</v>
      </c>
      <c r="C89" s="26"/>
      <c r="D89" s="59"/>
      <c r="E89" s="59"/>
      <c r="F89" s="27"/>
      <c r="G89" s="28" t="str">
        <f t="shared" si="18"/>
        <v/>
      </c>
      <c r="H89" s="33"/>
      <c r="I89" s="33"/>
      <c r="J89" s="33"/>
      <c r="K89" s="29"/>
      <c r="L89" s="29"/>
      <c r="M89" s="30" t="str">
        <f t="shared" ca="1" si="19"/>
        <v/>
      </c>
      <c r="N89" s="27"/>
      <c r="O89" s="60"/>
    </row>
    <row r="90" spans="1:15" ht="15" customHeight="1" x14ac:dyDescent="0.25">
      <c r="A90" s="70">
        <v>46207</v>
      </c>
      <c r="B90" s="32">
        <f t="shared" si="20"/>
        <v>0.62499999999999967</v>
      </c>
      <c r="C90" s="26"/>
      <c r="D90" s="59"/>
      <c r="E90" s="59"/>
      <c r="F90" s="27"/>
      <c r="G90" s="34" t="str">
        <f t="shared" si="18"/>
        <v/>
      </c>
      <c r="H90" s="26"/>
      <c r="I90" s="26"/>
      <c r="J90" s="26"/>
      <c r="K90" s="29"/>
      <c r="L90" s="29"/>
      <c r="M90" s="35" t="str">
        <f t="shared" ca="1" si="19"/>
        <v/>
      </c>
      <c r="N90" s="27"/>
      <c r="O90" s="60"/>
    </row>
    <row r="91" spans="1:15" ht="15" customHeight="1" x14ac:dyDescent="0.25">
      <c r="A91" s="69">
        <v>46207</v>
      </c>
      <c r="B91" s="25">
        <f t="shared" si="20"/>
        <v>0.6666666666666663</v>
      </c>
      <c r="C91" s="26"/>
      <c r="D91" s="59"/>
      <c r="E91" s="59"/>
      <c r="F91" s="27"/>
      <c r="G91" s="28" t="str">
        <f t="shared" si="18"/>
        <v/>
      </c>
      <c r="H91" s="33"/>
      <c r="I91" s="33"/>
      <c r="J91" s="33"/>
      <c r="K91" s="29"/>
      <c r="L91" s="29"/>
      <c r="M91" s="30" t="str">
        <f t="shared" ca="1" si="19"/>
        <v/>
      </c>
      <c r="N91" s="27"/>
      <c r="O91" s="60"/>
    </row>
    <row r="92" spans="1:15" ht="15" customHeight="1" x14ac:dyDescent="0.25">
      <c r="A92" s="70">
        <v>46207</v>
      </c>
      <c r="B92" s="32">
        <f t="shared" si="20"/>
        <v>0.70833333333333293</v>
      </c>
      <c r="C92" s="26"/>
      <c r="D92" s="59"/>
      <c r="E92" s="59"/>
      <c r="F92" s="27"/>
      <c r="G92" s="34" t="str">
        <f t="shared" si="18"/>
        <v/>
      </c>
      <c r="H92" s="26"/>
      <c r="I92" s="26"/>
      <c r="J92" s="26"/>
      <c r="K92" s="29"/>
      <c r="L92" s="29"/>
      <c r="M92" s="35" t="str">
        <f t="shared" ca="1" si="19"/>
        <v/>
      </c>
      <c r="N92" s="27"/>
      <c r="O92" s="60"/>
    </row>
    <row r="93" spans="1:15" ht="15" customHeight="1" x14ac:dyDescent="0.25">
      <c r="A93" s="69">
        <v>46207</v>
      </c>
      <c r="B93" s="25">
        <f t="shared" si="20"/>
        <v>0.74999999999999956</v>
      </c>
      <c r="C93" s="26"/>
      <c r="D93" s="59"/>
      <c r="E93" s="59"/>
      <c r="F93" s="27"/>
      <c r="G93" s="28" t="str">
        <f t="shared" si="18"/>
        <v/>
      </c>
      <c r="H93" s="33"/>
      <c r="I93" s="33"/>
      <c r="J93" s="33"/>
      <c r="K93" s="29"/>
      <c r="L93" s="29"/>
      <c r="M93" s="30" t="str">
        <f t="shared" ca="1" si="19"/>
        <v/>
      </c>
      <c r="N93" s="27"/>
      <c r="O93" s="60"/>
    </row>
    <row r="94" spans="1:15" ht="15" customHeight="1" x14ac:dyDescent="0.25">
      <c r="A94" s="70">
        <v>46207</v>
      </c>
      <c r="B94" s="32">
        <f t="shared" si="20"/>
        <v>0.79166666666666619</v>
      </c>
      <c r="C94" s="26"/>
      <c r="D94" s="59"/>
      <c r="E94" s="59"/>
      <c r="F94" s="27"/>
      <c r="G94" s="34" t="str">
        <f t="shared" si="18"/>
        <v/>
      </c>
      <c r="H94" s="26"/>
      <c r="I94" s="26"/>
      <c r="J94" s="26"/>
      <c r="K94" s="29"/>
      <c r="L94" s="29"/>
      <c r="M94" s="35" t="str">
        <f t="shared" ca="1" si="19"/>
        <v/>
      </c>
      <c r="N94" s="27"/>
      <c r="O94" s="60"/>
    </row>
    <row r="95" spans="1:15" ht="15.75" customHeight="1" x14ac:dyDescent="0.25">
      <c r="A95" s="79" t="s">
        <v>190</v>
      </c>
      <c r="B95" s="80"/>
      <c r="C95" s="80"/>
      <c r="D95" s="80"/>
      <c r="E95" s="81">
        <f>SUM(E83:E94)</f>
        <v>0</v>
      </c>
      <c r="F95" s="36">
        <f>SUM(F83:F94)</f>
        <v>0</v>
      </c>
      <c r="G95" s="36">
        <f>SUM(G83:G94)</f>
        <v>0</v>
      </c>
      <c r="H95" s="37"/>
      <c r="I95" s="37"/>
      <c r="J95" s="37"/>
      <c r="K95" s="61"/>
      <c r="L95" s="61"/>
      <c r="M95" s="38">
        <f ca="1">IFERROR(SUM(M83:M94),"")</f>
        <v>0</v>
      </c>
      <c r="N95" s="36" t="s">
        <v>191</v>
      </c>
      <c r="O95" s="39"/>
    </row>
    <row r="96" spans="1:15" ht="15" customHeight="1" x14ac:dyDescent="0.25">
      <c r="A96" s="70">
        <v>46207</v>
      </c>
      <c r="B96" s="32">
        <v>0.83333333333333304</v>
      </c>
      <c r="C96" s="33"/>
      <c r="D96" s="62"/>
      <c r="E96" s="62"/>
      <c r="F96" s="27"/>
      <c r="G96" s="34" t="str">
        <f t="shared" ref="G96:G107" si="21">IF(F96="","",IF(E96="PC 17",F96*4.2,IF(E96="PC 19",F96*5,"")))</f>
        <v/>
      </c>
      <c r="H96" s="26"/>
      <c r="I96" s="26"/>
      <c r="J96" s="26"/>
      <c r="K96" s="29"/>
      <c r="L96" s="29"/>
      <c r="M96" s="35" t="str">
        <f t="shared" ref="M96:M107" ca="1" si="22">IFERROR(IF(K96="","",IF(L96="",MOD(NOW()-K96,1),IF(L96&gt;=K96,L96-K96,L96+1-K96))),"")</f>
        <v/>
      </c>
      <c r="N96" s="27"/>
      <c r="O96" s="60"/>
    </row>
    <row r="97" spans="1:15" ht="15" customHeight="1" x14ac:dyDescent="0.25">
      <c r="A97" s="69">
        <v>46207</v>
      </c>
      <c r="B97" s="25">
        <f t="shared" ref="B97:B107" si="23">B96+TIME(0,60,0)</f>
        <v>0.87499999999999967</v>
      </c>
      <c r="C97" s="33"/>
      <c r="D97" s="62"/>
      <c r="E97" s="62"/>
      <c r="F97" s="27"/>
      <c r="G97" s="28" t="str">
        <f t="shared" si="21"/>
        <v/>
      </c>
      <c r="H97" s="33"/>
      <c r="I97" s="33"/>
      <c r="J97" s="33"/>
      <c r="K97" s="29"/>
      <c r="L97" s="29"/>
      <c r="M97" s="30" t="str">
        <f t="shared" ca="1" si="22"/>
        <v/>
      </c>
      <c r="N97" s="27"/>
      <c r="O97" s="60"/>
    </row>
    <row r="98" spans="1:15" ht="15" customHeight="1" x14ac:dyDescent="0.25">
      <c r="A98" s="70">
        <v>46207</v>
      </c>
      <c r="B98" s="32">
        <f t="shared" si="23"/>
        <v>0.9166666666666663</v>
      </c>
      <c r="C98" s="33"/>
      <c r="D98" s="62"/>
      <c r="E98" s="62"/>
      <c r="F98" s="27"/>
      <c r="G98" s="34" t="str">
        <f t="shared" si="21"/>
        <v/>
      </c>
      <c r="H98" s="26"/>
      <c r="I98" s="26"/>
      <c r="J98" s="26"/>
      <c r="K98" s="29"/>
      <c r="L98" s="29"/>
      <c r="M98" s="35" t="str">
        <f t="shared" ca="1" si="22"/>
        <v/>
      </c>
      <c r="N98" s="27"/>
      <c r="O98" s="60"/>
    </row>
    <row r="99" spans="1:15" ht="15" customHeight="1" x14ac:dyDescent="0.25">
      <c r="A99" s="69">
        <v>46207</v>
      </c>
      <c r="B99" s="25">
        <f t="shared" si="23"/>
        <v>0.95833333333333293</v>
      </c>
      <c r="C99" s="33"/>
      <c r="D99" s="62"/>
      <c r="E99" s="62"/>
      <c r="F99" s="27"/>
      <c r="G99" s="28" t="str">
        <f t="shared" si="21"/>
        <v/>
      </c>
      <c r="H99" s="33"/>
      <c r="I99" s="33"/>
      <c r="J99" s="33"/>
      <c r="K99" s="29"/>
      <c r="L99" s="29"/>
      <c r="M99" s="30" t="str">
        <f t="shared" ca="1" si="22"/>
        <v/>
      </c>
      <c r="N99" s="27"/>
      <c r="O99" s="60"/>
    </row>
    <row r="100" spans="1:15" ht="15" customHeight="1" x14ac:dyDescent="0.25">
      <c r="A100" s="70">
        <v>46207</v>
      </c>
      <c r="B100" s="32">
        <f t="shared" si="23"/>
        <v>0.99999999999999956</v>
      </c>
      <c r="C100" s="33"/>
      <c r="D100" s="62"/>
      <c r="E100" s="62"/>
      <c r="F100" s="27"/>
      <c r="G100" s="34" t="str">
        <f t="shared" si="21"/>
        <v/>
      </c>
      <c r="H100" s="26"/>
      <c r="I100" s="26"/>
      <c r="J100" s="26"/>
      <c r="K100" s="29"/>
      <c r="L100" s="29"/>
      <c r="M100" s="35" t="str">
        <f t="shared" ca="1" si="22"/>
        <v/>
      </c>
      <c r="N100" s="27"/>
      <c r="O100" s="60"/>
    </row>
    <row r="101" spans="1:15" ht="15" customHeight="1" x14ac:dyDescent="0.25">
      <c r="A101" s="69">
        <v>46207</v>
      </c>
      <c r="B101" s="25">
        <f t="shared" si="23"/>
        <v>1.0416666666666663</v>
      </c>
      <c r="C101" s="33"/>
      <c r="D101" s="62"/>
      <c r="E101" s="62"/>
      <c r="F101" s="27"/>
      <c r="G101" s="28" t="str">
        <f t="shared" si="21"/>
        <v/>
      </c>
      <c r="H101" s="33"/>
      <c r="I101" s="33"/>
      <c r="J101" s="33"/>
      <c r="K101" s="29"/>
      <c r="L101" s="29"/>
      <c r="M101" s="30" t="str">
        <f t="shared" ca="1" si="22"/>
        <v/>
      </c>
      <c r="N101" s="27"/>
      <c r="O101" s="60"/>
    </row>
    <row r="102" spans="1:15" ht="15" customHeight="1" x14ac:dyDescent="0.25">
      <c r="A102" s="70">
        <v>46207</v>
      </c>
      <c r="B102" s="32">
        <f t="shared" si="23"/>
        <v>1.083333333333333</v>
      </c>
      <c r="C102" s="33"/>
      <c r="D102" s="62"/>
      <c r="E102" s="62"/>
      <c r="F102" s="27"/>
      <c r="G102" s="34" t="str">
        <f t="shared" si="21"/>
        <v/>
      </c>
      <c r="H102" s="26"/>
      <c r="I102" s="26"/>
      <c r="J102" s="26"/>
      <c r="K102" s="29"/>
      <c r="L102" s="29"/>
      <c r="M102" s="35" t="str">
        <f t="shared" ca="1" si="22"/>
        <v/>
      </c>
      <c r="N102" s="27"/>
      <c r="O102" s="60"/>
    </row>
    <row r="103" spans="1:15" ht="15" customHeight="1" x14ac:dyDescent="0.25">
      <c r="A103" s="69">
        <v>46207</v>
      </c>
      <c r="B103" s="25">
        <f t="shared" si="23"/>
        <v>1.1249999999999998</v>
      </c>
      <c r="C103" s="33"/>
      <c r="D103" s="62"/>
      <c r="E103" s="62"/>
      <c r="F103" s="27"/>
      <c r="G103" s="28" t="str">
        <f t="shared" si="21"/>
        <v/>
      </c>
      <c r="H103" s="33"/>
      <c r="I103" s="33"/>
      <c r="J103" s="33"/>
      <c r="K103" s="29"/>
      <c r="L103" s="29"/>
      <c r="M103" s="30" t="str">
        <f t="shared" ca="1" si="22"/>
        <v/>
      </c>
      <c r="N103" s="27"/>
      <c r="O103" s="60"/>
    </row>
    <row r="104" spans="1:15" ht="15" customHeight="1" x14ac:dyDescent="0.25">
      <c r="A104" s="70">
        <v>46207</v>
      </c>
      <c r="B104" s="32">
        <f t="shared" si="23"/>
        <v>1.1666666666666665</v>
      </c>
      <c r="C104" s="33"/>
      <c r="D104" s="62"/>
      <c r="E104" s="62"/>
      <c r="F104" s="27"/>
      <c r="G104" s="34" t="str">
        <f t="shared" si="21"/>
        <v/>
      </c>
      <c r="H104" s="26"/>
      <c r="I104" s="26"/>
      <c r="J104" s="26"/>
      <c r="K104" s="29"/>
      <c r="L104" s="29"/>
      <c r="M104" s="35" t="str">
        <f t="shared" ca="1" si="22"/>
        <v/>
      </c>
      <c r="N104" s="27"/>
      <c r="O104" s="60"/>
    </row>
    <row r="105" spans="1:15" ht="15" customHeight="1" x14ac:dyDescent="0.25">
      <c r="A105" s="69">
        <v>46207</v>
      </c>
      <c r="B105" s="25">
        <f t="shared" si="23"/>
        <v>1.2083333333333333</v>
      </c>
      <c r="C105" s="33"/>
      <c r="D105" s="62"/>
      <c r="E105" s="62"/>
      <c r="F105" s="27"/>
      <c r="G105" s="28" t="str">
        <f t="shared" si="21"/>
        <v/>
      </c>
      <c r="H105" s="33"/>
      <c r="I105" s="33"/>
      <c r="J105" s="33"/>
      <c r="K105" s="29"/>
      <c r="L105" s="29"/>
      <c r="M105" s="30" t="str">
        <f t="shared" ca="1" si="22"/>
        <v/>
      </c>
      <c r="N105" s="27"/>
      <c r="O105" s="60"/>
    </row>
    <row r="106" spans="1:15" ht="15" customHeight="1" x14ac:dyDescent="0.25">
      <c r="A106" s="70">
        <v>46207</v>
      </c>
      <c r="B106" s="32">
        <f t="shared" si="23"/>
        <v>1.25</v>
      </c>
      <c r="C106" s="33"/>
      <c r="D106" s="62"/>
      <c r="E106" s="62"/>
      <c r="F106" s="27"/>
      <c r="G106" s="34" t="str">
        <f t="shared" si="21"/>
        <v/>
      </c>
      <c r="H106" s="26"/>
      <c r="I106" s="26"/>
      <c r="J106" s="26"/>
      <c r="K106" s="29"/>
      <c r="L106" s="29"/>
      <c r="M106" s="35" t="str">
        <f t="shared" ca="1" si="22"/>
        <v/>
      </c>
      <c r="N106" s="27"/>
      <c r="O106" s="60"/>
    </row>
    <row r="107" spans="1:15" ht="15" customHeight="1" x14ac:dyDescent="0.25">
      <c r="A107" s="69">
        <v>46207</v>
      </c>
      <c r="B107" s="25">
        <f t="shared" si="23"/>
        <v>1.2916666666666667</v>
      </c>
      <c r="C107" s="33"/>
      <c r="D107" s="62"/>
      <c r="E107" s="62"/>
      <c r="F107" s="27"/>
      <c r="G107" s="28" t="str">
        <f t="shared" si="21"/>
        <v/>
      </c>
      <c r="H107" s="33"/>
      <c r="I107" s="33"/>
      <c r="J107" s="33"/>
      <c r="K107" s="29"/>
      <c r="L107" s="29"/>
      <c r="M107" s="30" t="str">
        <f t="shared" ca="1" si="22"/>
        <v/>
      </c>
      <c r="N107" s="27"/>
      <c r="O107" s="60"/>
    </row>
    <row r="108" spans="1:15" ht="15.75" customHeight="1" x14ac:dyDescent="0.25">
      <c r="A108" s="79" t="s">
        <v>192</v>
      </c>
      <c r="B108" s="80"/>
      <c r="C108" s="80"/>
      <c r="D108" s="80"/>
      <c r="E108" s="81">
        <f>SUM(E96:E107)</f>
        <v>0</v>
      </c>
      <c r="F108" s="36">
        <f>SUM(F96:F107)</f>
        <v>0</v>
      </c>
      <c r="G108" s="36">
        <f>SUM(G96:G107)</f>
        <v>0</v>
      </c>
      <c r="H108" s="37"/>
      <c r="I108" s="37"/>
      <c r="J108" s="37"/>
      <c r="K108" s="61"/>
      <c r="L108" s="61"/>
      <c r="M108" s="38">
        <f ca="1">IFERROR(SUM(M96:M107),"")</f>
        <v>0</v>
      </c>
      <c r="N108" s="36" t="s">
        <v>191</v>
      </c>
      <c r="O108" s="39"/>
    </row>
    <row r="109" spans="1:15" ht="18" customHeight="1" x14ac:dyDescent="0.25">
      <c r="A109" s="82" t="s">
        <v>193</v>
      </c>
      <c r="B109" s="83"/>
      <c r="C109" s="83"/>
      <c r="D109" s="83"/>
      <c r="E109" s="84">
        <f>E95+E108</f>
        <v>0</v>
      </c>
      <c r="F109" s="40">
        <f>F95+F108</f>
        <v>0</v>
      </c>
      <c r="G109" s="40">
        <f>G95+G108</f>
        <v>0</v>
      </c>
      <c r="H109" s="41"/>
      <c r="I109" s="41"/>
      <c r="J109" s="41"/>
      <c r="K109" s="63"/>
      <c r="L109" s="63"/>
      <c r="M109" s="42">
        <f ca="1">IFERROR(M95+M108,"")</f>
        <v>0</v>
      </c>
      <c r="N109" s="40" t="s">
        <v>194</v>
      </c>
      <c r="O109" s="48">
        <f>IFERROR(O95+O108,"")</f>
        <v>0</v>
      </c>
    </row>
    <row r="110" spans="1:15" ht="15" customHeight="1" x14ac:dyDescent="0.25">
      <c r="A110" s="69">
        <v>46208</v>
      </c>
      <c r="B110" s="25">
        <v>0.33333333333333298</v>
      </c>
      <c r="C110" s="26"/>
      <c r="D110" s="59"/>
      <c r="E110" s="59"/>
      <c r="F110" s="27"/>
      <c r="G110" s="28" t="str">
        <f t="shared" ref="G110:G121" si="24">IF(F110="","",IF(E110="PC 17",F110*4.2,IF(E110="PC 19",F110*5,"")))</f>
        <v/>
      </c>
      <c r="H110" s="26"/>
      <c r="I110" s="26"/>
      <c r="J110" s="26"/>
      <c r="K110" s="29"/>
      <c r="L110" s="29"/>
      <c r="M110" s="30" t="str">
        <f t="shared" ref="M110:M121" ca="1" si="25">IFERROR(IF(K110="","",IF(L110="",MOD(NOW()-K110,1),IF(L110&gt;=K110,L110-K110,L110+1-K110))),"")</f>
        <v/>
      </c>
      <c r="N110" s="27"/>
      <c r="O110" s="60"/>
    </row>
    <row r="111" spans="1:15" ht="15" customHeight="1" x14ac:dyDescent="0.25">
      <c r="A111" s="70">
        <v>46208</v>
      </c>
      <c r="B111" s="32">
        <f t="shared" ref="B111:B121" si="26">B110+TIME(0,60,0)</f>
        <v>0.37499999999999967</v>
      </c>
      <c r="C111" s="26"/>
      <c r="D111" s="59"/>
      <c r="E111" s="59"/>
      <c r="F111" s="27"/>
      <c r="G111" s="34" t="str">
        <f t="shared" si="24"/>
        <v/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60"/>
    </row>
    <row r="112" spans="1:15" ht="15" customHeight="1" x14ac:dyDescent="0.25">
      <c r="A112" s="69">
        <v>46208</v>
      </c>
      <c r="B112" s="25">
        <f t="shared" si="26"/>
        <v>0.41666666666666635</v>
      </c>
      <c r="C112" s="26"/>
      <c r="D112" s="59"/>
      <c r="E112" s="59"/>
      <c r="F112" s="27"/>
      <c r="G112" s="28" t="str">
        <f t="shared" si="24"/>
        <v/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60"/>
    </row>
    <row r="113" spans="1:15" ht="15" customHeight="1" x14ac:dyDescent="0.25">
      <c r="A113" s="70">
        <v>46208</v>
      </c>
      <c r="B113" s="32">
        <f t="shared" si="26"/>
        <v>0.45833333333333304</v>
      </c>
      <c r="C113" s="26"/>
      <c r="D113" s="59"/>
      <c r="E113" s="59"/>
      <c r="F113" s="27"/>
      <c r="G113" s="34" t="str">
        <f t="shared" si="24"/>
        <v/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60"/>
    </row>
    <row r="114" spans="1:15" ht="15" customHeight="1" x14ac:dyDescent="0.25">
      <c r="A114" s="69">
        <v>46208</v>
      </c>
      <c r="B114" s="25">
        <f t="shared" si="26"/>
        <v>0.49999999999999972</v>
      </c>
      <c r="C114" s="26"/>
      <c r="D114" s="59"/>
      <c r="E114" s="59"/>
      <c r="F114" s="27"/>
      <c r="G114" s="28" t="str">
        <f t="shared" si="24"/>
        <v/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60"/>
    </row>
    <row r="115" spans="1:15" ht="15" customHeight="1" x14ac:dyDescent="0.25">
      <c r="A115" s="70">
        <v>46208</v>
      </c>
      <c r="B115" s="32">
        <f t="shared" si="26"/>
        <v>0.54166666666666641</v>
      </c>
      <c r="C115" s="26"/>
      <c r="D115" s="59"/>
      <c r="E115" s="59"/>
      <c r="F115" s="27"/>
      <c r="G115" s="34" t="str">
        <f t="shared" si="24"/>
        <v/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60"/>
    </row>
    <row r="116" spans="1:15" ht="15" customHeight="1" x14ac:dyDescent="0.25">
      <c r="A116" s="69">
        <v>46208</v>
      </c>
      <c r="B116" s="25">
        <f t="shared" si="26"/>
        <v>0.58333333333333304</v>
      </c>
      <c r="C116" s="26"/>
      <c r="D116" s="59"/>
      <c r="E116" s="59"/>
      <c r="F116" s="27"/>
      <c r="G116" s="28" t="str">
        <f t="shared" si="24"/>
        <v/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60"/>
    </row>
    <row r="117" spans="1:15" ht="15" customHeight="1" x14ac:dyDescent="0.25">
      <c r="A117" s="70">
        <v>46208</v>
      </c>
      <c r="B117" s="32">
        <f t="shared" si="26"/>
        <v>0.62499999999999967</v>
      </c>
      <c r="C117" s="26"/>
      <c r="D117" s="59"/>
      <c r="E117" s="59"/>
      <c r="F117" s="27"/>
      <c r="G117" s="34" t="str">
        <f t="shared" si="24"/>
        <v/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60"/>
    </row>
    <row r="118" spans="1:15" ht="15" customHeight="1" x14ac:dyDescent="0.25">
      <c r="A118" s="69">
        <v>46208</v>
      </c>
      <c r="B118" s="25">
        <f t="shared" si="26"/>
        <v>0.6666666666666663</v>
      </c>
      <c r="C118" s="26"/>
      <c r="D118" s="59"/>
      <c r="E118" s="59"/>
      <c r="F118" s="27"/>
      <c r="G118" s="28" t="str">
        <f t="shared" si="24"/>
        <v/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60"/>
    </row>
    <row r="119" spans="1:15" ht="15" customHeight="1" x14ac:dyDescent="0.25">
      <c r="A119" s="70">
        <v>46208</v>
      </c>
      <c r="B119" s="32">
        <f t="shared" si="26"/>
        <v>0.70833333333333293</v>
      </c>
      <c r="C119" s="26"/>
      <c r="D119" s="59"/>
      <c r="E119" s="59"/>
      <c r="F119" s="27"/>
      <c r="G119" s="34" t="str">
        <f t="shared" si="24"/>
        <v/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60"/>
    </row>
    <row r="120" spans="1:15" ht="15" customHeight="1" x14ac:dyDescent="0.25">
      <c r="A120" s="69">
        <v>46208</v>
      </c>
      <c r="B120" s="25">
        <f t="shared" si="26"/>
        <v>0.74999999999999956</v>
      </c>
      <c r="C120" s="26"/>
      <c r="D120" s="59"/>
      <c r="E120" s="59"/>
      <c r="F120" s="27"/>
      <c r="G120" s="28" t="str">
        <f t="shared" si="24"/>
        <v/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60"/>
    </row>
    <row r="121" spans="1:15" ht="15" customHeight="1" x14ac:dyDescent="0.25">
      <c r="A121" s="70">
        <v>46208</v>
      </c>
      <c r="B121" s="32">
        <f t="shared" si="26"/>
        <v>0.79166666666666619</v>
      </c>
      <c r="C121" s="26"/>
      <c r="D121" s="59"/>
      <c r="E121" s="59"/>
      <c r="F121" s="27"/>
      <c r="G121" s="34" t="str">
        <f t="shared" si="24"/>
        <v/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60"/>
    </row>
    <row r="122" spans="1:15" ht="15.75" customHeight="1" x14ac:dyDescent="0.25">
      <c r="A122" s="79" t="s">
        <v>190</v>
      </c>
      <c r="B122" s="80"/>
      <c r="C122" s="80"/>
      <c r="D122" s="80"/>
      <c r="E122" s="81">
        <f>SUM(E110:E121)</f>
        <v>0</v>
      </c>
      <c r="F122" s="36">
        <f>SUM(F110:F121)</f>
        <v>0</v>
      </c>
      <c r="G122" s="36">
        <f>SUM(G110:G121)</f>
        <v>0</v>
      </c>
      <c r="H122" s="37"/>
      <c r="I122" s="37"/>
      <c r="J122" s="37"/>
      <c r="K122" s="61"/>
      <c r="L122" s="61"/>
      <c r="M122" s="38">
        <f ca="1">IFERROR(SUM(M110:M121),"")</f>
        <v>0</v>
      </c>
      <c r="N122" s="36" t="s">
        <v>191</v>
      </c>
      <c r="O122" s="39"/>
    </row>
    <row r="123" spans="1:15" ht="15" customHeight="1" x14ac:dyDescent="0.25">
      <c r="A123" s="70">
        <v>46208</v>
      </c>
      <c r="B123" s="32">
        <v>0.83333333333333304</v>
      </c>
      <c r="C123" s="33"/>
      <c r="D123" s="62"/>
      <c r="E123" s="62"/>
      <c r="F123" s="27"/>
      <c r="G123" s="34" t="str">
        <f t="shared" ref="G123:G134" si="27">IF(F123="","",IF(E123="PC 17",F123*4.2,IF(E123="PC 19",F123*5,"")))</f>
        <v/>
      </c>
      <c r="H123" s="33"/>
      <c r="I123" s="33"/>
      <c r="J123" s="33"/>
      <c r="K123" s="29"/>
      <c r="L123" s="29"/>
      <c r="M123" s="35" t="str">
        <f t="shared" ref="M123:M134" ca="1" si="28">IFERROR(IF(K123="","",IF(L123="",MOD(NOW()-K123,1),IF(L123&gt;=K123,L123-K123,L123+1-K123))),"")</f>
        <v/>
      </c>
      <c r="N123" s="27"/>
      <c r="O123" s="60"/>
    </row>
    <row r="124" spans="1:15" ht="15" customHeight="1" x14ac:dyDescent="0.25">
      <c r="A124" s="69">
        <v>46208</v>
      </c>
      <c r="B124" s="25">
        <f t="shared" ref="B124:B134" si="29">B123+TIME(0,60,0)</f>
        <v>0.87499999999999967</v>
      </c>
      <c r="C124" s="33"/>
      <c r="D124" s="62"/>
      <c r="E124" s="62"/>
      <c r="F124" s="27"/>
      <c r="G124" s="28" t="str">
        <f t="shared" si="27"/>
        <v/>
      </c>
      <c r="H124" s="26"/>
      <c r="I124" s="26"/>
      <c r="J124" s="26"/>
      <c r="K124" s="29"/>
      <c r="L124" s="29"/>
      <c r="M124" s="30" t="str">
        <f t="shared" ca="1" si="28"/>
        <v/>
      </c>
      <c r="N124" s="27"/>
      <c r="O124" s="60"/>
    </row>
    <row r="125" spans="1:15" ht="15" customHeight="1" x14ac:dyDescent="0.25">
      <c r="A125" s="70">
        <v>46208</v>
      </c>
      <c r="B125" s="32">
        <f t="shared" si="29"/>
        <v>0.9166666666666663</v>
      </c>
      <c r="C125" s="33"/>
      <c r="D125" s="62"/>
      <c r="E125" s="62"/>
      <c r="F125" s="27"/>
      <c r="G125" s="34" t="str">
        <f t="shared" si="27"/>
        <v/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60"/>
    </row>
    <row r="126" spans="1:15" ht="15" customHeight="1" x14ac:dyDescent="0.25">
      <c r="A126" s="69">
        <v>46208</v>
      </c>
      <c r="B126" s="25">
        <f t="shared" si="29"/>
        <v>0.95833333333333293</v>
      </c>
      <c r="C126" s="33"/>
      <c r="D126" s="62"/>
      <c r="E126" s="62"/>
      <c r="F126" s="27"/>
      <c r="G126" s="28" t="str">
        <f t="shared" si="27"/>
        <v/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60"/>
    </row>
    <row r="127" spans="1:15" ht="15" customHeight="1" x14ac:dyDescent="0.25">
      <c r="A127" s="70">
        <v>46208</v>
      </c>
      <c r="B127" s="32">
        <f t="shared" si="29"/>
        <v>0.99999999999999956</v>
      </c>
      <c r="C127" s="33"/>
      <c r="D127" s="62"/>
      <c r="E127" s="62"/>
      <c r="F127" s="27"/>
      <c r="G127" s="34" t="str">
        <f t="shared" si="27"/>
        <v/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60"/>
    </row>
    <row r="128" spans="1:15" ht="15" customHeight="1" x14ac:dyDescent="0.25">
      <c r="A128" s="69">
        <v>46208</v>
      </c>
      <c r="B128" s="25">
        <f t="shared" si="29"/>
        <v>1.0416666666666663</v>
      </c>
      <c r="C128" s="33"/>
      <c r="D128" s="62"/>
      <c r="E128" s="62"/>
      <c r="F128" s="27"/>
      <c r="G128" s="28" t="str">
        <f t="shared" si="27"/>
        <v/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60"/>
    </row>
    <row r="129" spans="1:15" ht="15" customHeight="1" x14ac:dyDescent="0.25">
      <c r="A129" s="70">
        <v>46208</v>
      </c>
      <c r="B129" s="32">
        <f t="shared" si="29"/>
        <v>1.083333333333333</v>
      </c>
      <c r="C129" s="33"/>
      <c r="D129" s="62"/>
      <c r="E129" s="62"/>
      <c r="F129" s="27"/>
      <c r="G129" s="34" t="str">
        <f t="shared" si="27"/>
        <v/>
      </c>
      <c r="H129" s="33"/>
      <c r="I129" s="33"/>
      <c r="J129" s="33"/>
      <c r="K129" s="29"/>
      <c r="L129" s="29"/>
      <c r="M129" s="35" t="str">
        <f t="shared" ca="1" si="28"/>
        <v/>
      </c>
      <c r="N129" s="27"/>
      <c r="O129" s="60"/>
    </row>
    <row r="130" spans="1:15" ht="15" customHeight="1" x14ac:dyDescent="0.25">
      <c r="A130" s="69">
        <v>46208</v>
      </c>
      <c r="B130" s="25">
        <f t="shared" si="29"/>
        <v>1.1249999999999998</v>
      </c>
      <c r="C130" s="33"/>
      <c r="D130" s="62"/>
      <c r="E130" s="62"/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60"/>
    </row>
    <row r="131" spans="1:15" ht="15" customHeight="1" x14ac:dyDescent="0.25">
      <c r="A131" s="70">
        <v>46208</v>
      </c>
      <c r="B131" s="32">
        <f t="shared" si="29"/>
        <v>1.1666666666666665</v>
      </c>
      <c r="C131" s="33"/>
      <c r="D131" s="62"/>
      <c r="E131" s="62"/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60"/>
    </row>
    <row r="132" spans="1:15" ht="15" customHeight="1" x14ac:dyDescent="0.25">
      <c r="A132" s="69">
        <v>46208</v>
      </c>
      <c r="B132" s="25">
        <f t="shared" si="29"/>
        <v>1.2083333333333333</v>
      </c>
      <c r="C132" s="33"/>
      <c r="D132" s="62"/>
      <c r="E132" s="62"/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60"/>
    </row>
    <row r="133" spans="1:15" ht="15" customHeight="1" x14ac:dyDescent="0.25">
      <c r="A133" s="70">
        <v>46208</v>
      </c>
      <c r="B133" s="32">
        <f t="shared" si="29"/>
        <v>1.25</v>
      </c>
      <c r="C133" s="33"/>
      <c r="D133" s="62"/>
      <c r="E133" s="62"/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60"/>
    </row>
    <row r="134" spans="1:15" ht="15" customHeight="1" x14ac:dyDescent="0.25">
      <c r="A134" s="69">
        <v>46208</v>
      </c>
      <c r="B134" s="25">
        <f t="shared" si="29"/>
        <v>1.2916666666666667</v>
      </c>
      <c r="C134" s="33"/>
      <c r="D134" s="62"/>
      <c r="E134" s="62"/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60"/>
    </row>
    <row r="135" spans="1:15" ht="15.75" customHeight="1" x14ac:dyDescent="0.25">
      <c r="A135" s="79" t="s">
        <v>192</v>
      </c>
      <c r="B135" s="80"/>
      <c r="C135" s="80"/>
      <c r="D135" s="80"/>
      <c r="E135" s="81">
        <f>SUM(E123:E134)</f>
        <v>0</v>
      </c>
      <c r="F135" s="36">
        <f>SUM(F123:F134)</f>
        <v>0</v>
      </c>
      <c r="G135" s="36">
        <f>SUM(G123:G134)</f>
        <v>0</v>
      </c>
      <c r="H135" s="37"/>
      <c r="I135" s="37"/>
      <c r="J135" s="37"/>
      <c r="K135" s="61"/>
      <c r="L135" s="61"/>
      <c r="M135" s="38">
        <f ca="1">IFERROR(SUM(M123:M134),"")</f>
        <v>0</v>
      </c>
      <c r="N135" s="36" t="s">
        <v>191</v>
      </c>
      <c r="O135" s="39"/>
    </row>
    <row r="136" spans="1:15" ht="18" customHeight="1" x14ac:dyDescent="0.25">
      <c r="A136" s="82" t="s">
        <v>193</v>
      </c>
      <c r="B136" s="83"/>
      <c r="C136" s="83"/>
      <c r="D136" s="83"/>
      <c r="E136" s="84">
        <f>E122+E135</f>
        <v>0</v>
      </c>
      <c r="F136" s="40">
        <f>F122+F135</f>
        <v>0</v>
      </c>
      <c r="G136" s="40">
        <f>G122+G135</f>
        <v>0</v>
      </c>
      <c r="H136" s="41"/>
      <c r="I136" s="41"/>
      <c r="J136" s="41"/>
      <c r="K136" s="63"/>
      <c r="L136" s="63"/>
      <c r="M136" s="42">
        <f ca="1">IFERROR(M122+M135,"")</f>
        <v>0</v>
      </c>
      <c r="N136" s="40" t="s">
        <v>194</v>
      </c>
      <c r="O136" s="48">
        <f>IFERROR(O122+O135,"")</f>
        <v>0</v>
      </c>
    </row>
    <row r="137" spans="1:15" ht="15" customHeight="1" x14ac:dyDescent="0.25">
      <c r="A137" s="70">
        <v>46209</v>
      </c>
      <c r="B137" s="32">
        <v>0.33333333333333298</v>
      </c>
      <c r="C137" s="33"/>
      <c r="D137" s="62"/>
      <c r="E137" s="62"/>
      <c r="F137" s="27"/>
      <c r="G137" s="34" t="str">
        <f t="shared" ref="G137:G148" si="30">IF(F137="","",IF(E137="PC 17",F137*4.2,IF(E137="PC 19",F137*5,"")))</f>
        <v/>
      </c>
      <c r="H137" s="33"/>
      <c r="I137" s="33"/>
      <c r="J137" s="33"/>
      <c r="K137" s="29"/>
      <c r="L137" s="29"/>
      <c r="M137" s="35" t="str">
        <f t="shared" ref="M137:M148" ca="1" si="31">IFERROR(IF(K137="","",IF(L137="",MOD(NOW()-K137,1),IF(L137&gt;=K137,L137-K137,L137+1-K137))),"")</f>
        <v/>
      </c>
      <c r="N137" s="27"/>
      <c r="O137" s="31"/>
    </row>
    <row r="138" spans="1:15" ht="15" customHeight="1" x14ac:dyDescent="0.25">
      <c r="A138" s="69">
        <v>46209</v>
      </c>
      <c r="B138" s="25">
        <f t="shared" ref="B138:B148" si="32">B137+TIME(0,60,0)</f>
        <v>0.37499999999999967</v>
      </c>
      <c r="C138" s="33"/>
      <c r="D138" s="62"/>
      <c r="E138" s="62"/>
      <c r="F138" s="27"/>
      <c r="G138" s="28" t="str">
        <f t="shared" si="30"/>
        <v/>
      </c>
      <c r="H138" s="26"/>
      <c r="I138" s="26"/>
      <c r="J138" s="26"/>
      <c r="K138" s="29"/>
      <c r="L138" s="29"/>
      <c r="M138" s="30" t="str">
        <f t="shared" ca="1" si="31"/>
        <v/>
      </c>
      <c r="N138" s="27"/>
      <c r="O138" s="31"/>
    </row>
    <row r="139" spans="1:15" ht="15" customHeight="1" x14ac:dyDescent="0.25">
      <c r="A139" s="70">
        <v>46209</v>
      </c>
      <c r="B139" s="32">
        <f t="shared" si="32"/>
        <v>0.41666666666666635</v>
      </c>
      <c r="C139" s="33"/>
      <c r="D139" s="62"/>
      <c r="E139" s="62"/>
      <c r="F139" s="27"/>
      <c r="G139" s="34" t="str">
        <f t="shared" si="30"/>
        <v/>
      </c>
      <c r="H139" s="33"/>
      <c r="I139" s="33"/>
      <c r="J139" s="33"/>
      <c r="K139" s="29"/>
      <c r="L139" s="29"/>
      <c r="M139" s="35" t="str">
        <f t="shared" ca="1" si="31"/>
        <v/>
      </c>
      <c r="N139" s="27"/>
      <c r="O139" s="31"/>
    </row>
    <row r="140" spans="1:15" ht="15" customHeight="1" x14ac:dyDescent="0.25">
      <c r="A140" s="69">
        <v>46209</v>
      </c>
      <c r="B140" s="25">
        <f t="shared" si="32"/>
        <v>0.45833333333333304</v>
      </c>
      <c r="C140" s="33"/>
      <c r="D140" s="62"/>
      <c r="E140" s="62"/>
      <c r="F140" s="27"/>
      <c r="G140" s="28" t="str">
        <f t="shared" si="30"/>
        <v/>
      </c>
      <c r="H140" s="26"/>
      <c r="I140" s="26"/>
      <c r="J140" s="26"/>
      <c r="K140" s="29"/>
      <c r="L140" s="29"/>
      <c r="M140" s="30" t="str">
        <f t="shared" ca="1" si="31"/>
        <v/>
      </c>
      <c r="N140" s="27"/>
      <c r="O140" s="31"/>
    </row>
    <row r="141" spans="1:15" ht="15" customHeight="1" x14ac:dyDescent="0.25">
      <c r="A141" s="70">
        <v>46209</v>
      </c>
      <c r="B141" s="32">
        <f t="shared" si="32"/>
        <v>0.49999999999999972</v>
      </c>
      <c r="C141" s="33"/>
      <c r="D141" s="62"/>
      <c r="E141" s="62"/>
      <c r="F141" s="27"/>
      <c r="G141" s="34" t="str">
        <f t="shared" si="30"/>
        <v/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5" ht="15" customHeight="1" x14ac:dyDescent="0.25">
      <c r="A142" s="69">
        <v>46209</v>
      </c>
      <c r="B142" s="25">
        <f t="shared" si="32"/>
        <v>0.54166666666666641</v>
      </c>
      <c r="C142" s="33"/>
      <c r="D142" s="62"/>
      <c r="E142" s="62"/>
      <c r="F142" s="27"/>
      <c r="G142" s="28" t="str">
        <f t="shared" si="30"/>
        <v/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 x14ac:dyDescent="0.25">
      <c r="A143" s="70">
        <v>46209</v>
      </c>
      <c r="B143" s="32">
        <f t="shared" si="32"/>
        <v>0.58333333333333304</v>
      </c>
      <c r="C143" s="33"/>
      <c r="D143" s="62"/>
      <c r="E143" s="62"/>
      <c r="F143" s="27"/>
      <c r="G143" s="34" t="str">
        <f t="shared" si="30"/>
        <v/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 x14ac:dyDescent="0.25">
      <c r="A144" s="69">
        <v>46209</v>
      </c>
      <c r="B144" s="25">
        <f t="shared" si="32"/>
        <v>0.62499999999999967</v>
      </c>
      <c r="C144" s="33"/>
      <c r="D144" s="62"/>
      <c r="E144" s="62"/>
      <c r="F144" s="27"/>
      <c r="G144" s="28" t="str">
        <f t="shared" si="30"/>
        <v/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 x14ac:dyDescent="0.25">
      <c r="A145" s="70">
        <v>46209</v>
      </c>
      <c r="B145" s="32">
        <f t="shared" si="32"/>
        <v>0.6666666666666663</v>
      </c>
      <c r="C145" s="33"/>
      <c r="D145" s="62"/>
      <c r="E145" s="62"/>
      <c r="F145" s="27"/>
      <c r="G145" s="34" t="str">
        <f t="shared" si="30"/>
        <v/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 x14ac:dyDescent="0.25">
      <c r="A146" s="69">
        <v>46209</v>
      </c>
      <c r="B146" s="25">
        <f t="shared" si="32"/>
        <v>0.70833333333333293</v>
      </c>
      <c r="C146" s="33"/>
      <c r="D146" s="62"/>
      <c r="E146" s="62"/>
      <c r="F146" s="27"/>
      <c r="G146" s="28" t="str">
        <f t="shared" si="30"/>
        <v/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 x14ac:dyDescent="0.25">
      <c r="A147" s="70">
        <v>46209</v>
      </c>
      <c r="B147" s="32">
        <f t="shared" si="32"/>
        <v>0.74999999999999956</v>
      </c>
      <c r="C147" s="33"/>
      <c r="D147" s="62"/>
      <c r="E147" s="62"/>
      <c r="F147" s="27"/>
      <c r="G147" s="34" t="str">
        <f t="shared" si="30"/>
        <v/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 x14ac:dyDescent="0.25">
      <c r="A148" s="69">
        <v>46209</v>
      </c>
      <c r="B148" s="25">
        <f t="shared" si="32"/>
        <v>0.79166666666666619</v>
      </c>
      <c r="C148" s="33"/>
      <c r="D148" s="62"/>
      <c r="E148" s="62"/>
      <c r="F148" s="27"/>
      <c r="G148" s="28" t="str">
        <f t="shared" si="30"/>
        <v/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 x14ac:dyDescent="0.25">
      <c r="A149" s="79" t="s">
        <v>190</v>
      </c>
      <c r="B149" s="80"/>
      <c r="C149" s="80"/>
      <c r="D149" s="80"/>
      <c r="E149" s="81">
        <f>SUM(E137:E148)</f>
        <v>0</v>
      </c>
      <c r="F149" s="36">
        <f>SUM(F137:F148)</f>
        <v>0</v>
      </c>
      <c r="G149" s="36">
        <f>SUM(G137:G148)</f>
        <v>0</v>
      </c>
      <c r="H149" s="37"/>
      <c r="I149" s="37"/>
      <c r="J149" s="37"/>
      <c r="K149" s="61"/>
      <c r="L149" s="61"/>
      <c r="M149" s="38">
        <f ca="1">IFERROR(SUM(M137:M148),"")</f>
        <v>0</v>
      </c>
      <c r="N149" s="36" t="s">
        <v>191</v>
      </c>
      <c r="O149" s="39"/>
    </row>
    <row r="150" spans="1:15" ht="15" customHeight="1" x14ac:dyDescent="0.25">
      <c r="A150" s="69">
        <v>46209</v>
      </c>
      <c r="B150" s="25">
        <v>0.83333333333333304</v>
      </c>
      <c r="C150" s="26"/>
      <c r="D150" s="59"/>
      <c r="E150" s="59"/>
      <c r="F150" s="27"/>
      <c r="G150" s="28" t="str">
        <f t="shared" ref="G150:G161" si="33">IF(F150="","",IF(E150="PC 17",F150*4.2,IF(E150="PC 19",F150*5,"")))</f>
        <v/>
      </c>
      <c r="H150" s="26"/>
      <c r="I150" s="26"/>
      <c r="J150" s="26"/>
      <c r="K150" s="29"/>
      <c r="L150" s="29"/>
      <c r="M150" s="30" t="str">
        <f t="shared" ref="M150:M161" ca="1" si="34">IFERROR(IF(K150="","",IF(L150="",MOD(NOW()-K150,1),IF(L150&gt;=K150,L150-K150,L150+1-K150))),"")</f>
        <v/>
      </c>
      <c r="N150" s="27"/>
      <c r="O150" s="31"/>
    </row>
    <row r="151" spans="1:15" ht="15" customHeight="1" x14ac:dyDescent="0.25">
      <c r="A151" s="70">
        <v>46209</v>
      </c>
      <c r="B151" s="32">
        <f t="shared" ref="B151:B161" si="35">B150+TIME(0,60,0)</f>
        <v>0.87499999999999967</v>
      </c>
      <c r="C151" s="26"/>
      <c r="D151" s="59"/>
      <c r="E151" s="59"/>
      <c r="F151" s="27"/>
      <c r="G151" s="34" t="str">
        <f t="shared" si="33"/>
        <v/>
      </c>
      <c r="H151" s="33"/>
      <c r="I151" s="33"/>
      <c r="J151" s="33"/>
      <c r="K151" s="29"/>
      <c r="L151" s="29"/>
      <c r="M151" s="35" t="str">
        <f t="shared" ca="1" si="34"/>
        <v/>
      </c>
      <c r="N151" s="27"/>
      <c r="O151" s="31"/>
    </row>
    <row r="152" spans="1:15" ht="15" customHeight="1" x14ac:dyDescent="0.25">
      <c r="A152" s="69">
        <v>46209</v>
      </c>
      <c r="B152" s="25">
        <f t="shared" si="35"/>
        <v>0.9166666666666663</v>
      </c>
      <c r="C152" s="26"/>
      <c r="D152" s="59"/>
      <c r="E152" s="59"/>
      <c r="F152" s="27"/>
      <c r="G152" s="28" t="str">
        <f t="shared" si="33"/>
        <v/>
      </c>
      <c r="H152" s="26"/>
      <c r="I152" s="26"/>
      <c r="J152" s="26"/>
      <c r="K152" s="29"/>
      <c r="L152" s="29"/>
      <c r="M152" s="30" t="str">
        <f t="shared" ca="1" si="34"/>
        <v/>
      </c>
      <c r="N152" s="27"/>
      <c r="O152" s="31"/>
    </row>
    <row r="153" spans="1:15" ht="15" customHeight="1" x14ac:dyDescent="0.25">
      <c r="A153" s="70">
        <v>46209</v>
      </c>
      <c r="B153" s="32">
        <f t="shared" si="35"/>
        <v>0.95833333333333293</v>
      </c>
      <c r="C153" s="26"/>
      <c r="D153" s="59"/>
      <c r="E153" s="59"/>
      <c r="F153" s="27"/>
      <c r="G153" s="34" t="str">
        <f t="shared" si="33"/>
        <v/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 x14ac:dyDescent="0.25">
      <c r="A154" s="69">
        <v>46209</v>
      </c>
      <c r="B154" s="25">
        <f t="shared" si="35"/>
        <v>0.99999999999999956</v>
      </c>
      <c r="C154" s="26"/>
      <c r="D154" s="59"/>
      <c r="E154" s="59"/>
      <c r="F154" s="27"/>
      <c r="G154" s="28" t="str">
        <f t="shared" si="33"/>
        <v/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 x14ac:dyDescent="0.25">
      <c r="A155" s="70">
        <v>46209</v>
      </c>
      <c r="B155" s="32">
        <f t="shared" si="35"/>
        <v>1.0416666666666663</v>
      </c>
      <c r="C155" s="26"/>
      <c r="D155" s="59"/>
      <c r="E155" s="59"/>
      <c r="F155" s="27"/>
      <c r="G155" s="34" t="str">
        <f t="shared" si="33"/>
        <v/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 x14ac:dyDescent="0.25">
      <c r="A156" s="69">
        <v>46209</v>
      </c>
      <c r="B156" s="25">
        <f t="shared" si="35"/>
        <v>1.083333333333333</v>
      </c>
      <c r="C156" s="26"/>
      <c r="D156" s="59"/>
      <c r="E156" s="59"/>
      <c r="F156" s="27"/>
      <c r="G156" s="28" t="str">
        <f t="shared" si="33"/>
        <v/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 x14ac:dyDescent="0.25">
      <c r="A157" s="70">
        <v>46209</v>
      </c>
      <c r="B157" s="32">
        <f t="shared" si="35"/>
        <v>1.1249999999999998</v>
      </c>
      <c r="C157" s="26"/>
      <c r="D157" s="59"/>
      <c r="E157" s="59"/>
      <c r="F157" s="27"/>
      <c r="G157" s="34" t="str">
        <f t="shared" si="33"/>
        <v/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 x14ac:dyDescent="0.25">
      <c r="A158" s="69">
        <v>46209</v>
      </c>
      <c r="B158" s="25">
        <f t="shared" si="35"/>
        <v>1.1666666666666665</v>
      </c>
      <c r="C158" s="26"/>
      <c r="D158" s="59"/>
      <c r="E158" s="59"/>
      <c r="F158" s="27"/>
      <c r="G158" s="28" t="str">
        <f t="shared" si="33"/>
        <v/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 x14ac:dyDescent="0.25">
      <c r="A159" s="70">
        <v>46209</v>
      </c>
      <c r="B159" s="32">
        <f t="shared" si="35"/>
        <v>1.2083333333333333</v>
      </c>
      <c r="C159" s="26"/>
      <c r="D159" s="59"/>
      <c r="E159" s="59"/>
      <c r="F159" s="27"/>
      <c r="G159" s="34" t="str">
        <f t="shared" si="33"/>
        <v/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 x14ac:dyDescent="0.25">
      <c r="A160" s="69">
        <v>46209</v>
      </c>
      <c r="B160" s="25">
        <f t="shared" si="35"/>
        <v>1.25</v>
      </c>
      <c r="C160" s="26"/>
      <c r="D160" s="59"/>
      <c r="E160" s="59"/>
      <c r="F160" s="27"/>
      <c r="G160" s="28" t="str">
        <f t="shared" si="33"/>
        <v/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 x14ac:dyDescent="0.25">
      <c r="A161" s="70">
        <v>46209</v>
      </c>
      <c r="B161" s="32">
        <f t="shared" si="35"/>
        <v>1.2916666666666667</v>
      </c>
      <c r="C161" s="26"/>
      <c r="D161" s="59"/>
      <c r="E161" s="59"/>
      <c r="F161" s="27"/>
      <c r="G161" s="34" t="str">
        <f t="shared" si="33"/>
        <v/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 x14ac:dyDescent="0.25">
      <c r="A162" s="79" t="s">
        <v>192</v>
      </c>
      <c r="B162" s="80"/>
      <c r="C162" s="80"/>
      <c r="D162" s="80"/>
      <c r="E162" s="81">
        <f>SUM(E150:E161)</f>
        <v>0</v>
      </c>
      <c r="F162" s="36">
        <f>SUM(F150:F161)</f>
        <v>0</v>
      </c>
      <c r="G162" s="36">
        <f>SUM(G150:G161)</f>
        <v>0</v>
      </c>
      <c r="H162" s="37"/>
      <c r="I162" s="37"/>
      <c r="J162" s="37"/>
      <c r="K162" s="61"/>
      <c r="L162" s="61"/>
      <c r="M162" s="38">
        <f ca="1">IFERROR(SUM(M150:M161),"")</f>
        <v>0</v>
      </c>
      <c r="N162" s="36" t="s">
        <v>191</v>
      </c>
      <c r="O162" s="39"/>
    </row>
    <row r="163" spans="1:15" ht="18" customHeight="1" x14ac:dyDescent="0.25">
      <c r="A163" s="82" t="s">
        <v>193</v>
      </c>
      <c r="B163" s="83"/>
      <c r="C163" s="83"/>
      <c r="D163" s="83"/>
      <c r="E163" s="84">
        <f>E149+E162</f>
        <v>0</v>
      </c>
      <c r="F163" s="40">
        <f>F149+F162</f>
        <v>0</v>
      </c>
      <c r="G163" s="40">
        <f>G149+G162</f>
        <v>0</v>
      </c>
      <c r="H163" s="41"/>
      <c r="I163" s="41"/>
      <c r="J163" s="41"/>
      <c r="K163" s="63"/>
      <c r="L163" s="63"/>
      <c r="M163" s="42">
        <f ca="1">IFERROR(M149+M162,"")</f>
        <v>0</v>
      </c>
      <c r="N163" s="40" t="s">
        <v>194</v>
      </c>
      <c r="O163" s="43">
        <f>IFERROR(O149+O162,"")</f>
        <v>0</v>
      </c>
    </row>
    <row r="164" spans="1:15" ht="15" customHeight="1" x14ac:dyDescent="0.25">
      <c r="A164" s="69">
        <v>46210</v>
      </c>
      <c r="B164" s="25">
        <v>0.33333333333333298</v>
      </c>
      <c r="C164" s="26"/>
      <c r="D164" s="59"/>
      <c r="E164" s="59"/>
      <c r="F164" s="27"/>
      <c r="G164" s="28" t="str">
        <f t="shared" ref="G164:G175" si="36">IF(F164="","",IF(E164="PC 17",F164*4.2,IF(E164="PC 19",F164*5,"")))</f>
        <v/>
      </c>
      <c r="H164" s="26"/>
      <c r="I164" s="26"/>
      <c r="J164" s="26"/>
      <c r="K164" s="29"/>
      <c r="L164" s="29"/>
      <c r="M164" s="30" t="str">
        <f t="shared" ref="M164:M175" ca="1" si="37">IFERROR(IF(K164="","",IF(L164="",MOD(NOW()-K164,1),IF(L164&gt;=K164,L164-K164,L164+1-K164))),"")</f>
        <v/>
      </c>
      <c r="N164" s="27"/>
      <c r="O164" s="31"/>
    </row>
    <row r="165" spans="1:15" ht="15" customHeight="1" x14ac:dyDescent="0.25">
      <c r="A165" s="70">
        <v>46210</v>
      </c>
      <c r="B165" s="32">
        <f t="shared" ref="B165:B175" si="38">B164+TIME(0,60,0)</f>
        <v>0.37499999999999967</v>
      </c>
      <c r="C165" s="33"/>
      <c r="D165" s="62"/>
      <c r="E165" s="62"/>
      <c r="F165" s="27"/>
      <c r="G165" s="34" t="str">
        <f t="shared" si="36"/>
        <v/>
      </c>
      <c r="H165" s="33"/>
      <c r="I165" s="33"/>
      <c r="J165" s="33"/>
      <c r="K165" s="29"/>
      <c r="L165" s="29"/>
      <c r="M165" s="35" t="str">
        <f t="shared" ca="1" si="37"/>
        <v/>
      </c>
      <c r="N165" s="27"/>
      <c r="O165" s="31"/>
    </row>
    <row r="166" spans="1:15" ht="15" customHeight="1" x14ac:dyDescent="0.25">
      <c r="A166" s="69">
        <v>46210</v>
      </c>
      <c r="B166" s="25">
        <f t="shared" si="38"/>
        <v>0.41666666666666635</v>
      </c>
      <c r="C166" s="26"/>
      <c r="D166" s="59"/>
      <c r="E166" s="59"/>
      <c r="F166" s="27"/>
      <c r="G166" s="28" t="str">
        <f t="shared" si="36"/>
        <v/>
      </c>
      <c r="H166" s="26"/>
      <c r="I166" s="26"/>
      <c r="J166" s="26"/>
      <c r="K166" s="29"/>
      <c r="L166" s="29"/>
      <c r="M166" s="30" t="str">
        <f t="shared" ca="1" si="37"/>
        <v/>
      </c>
      <c r="N166" s="27"/>
      <c r="O166" s="31"/>
    </row>
    <row r="167" spans="1:15" ht="15" customHeight="1" x14ac:dyDescent="0.25">
      <c r="A167" s="70">
        <v>46210</v>
      </c>
      <c r="B167" s="32">
        <f t="shared" si="38"/>
        <v>0.45833333333333304</v>
      </c>
      <c r="C167" s="33"/>
      <c r="D167" s="62"/>
      <c r="E167" s="62"/>
      <c r="F167" s="27"/>
      <c r="G167" s="34" t="str">
        <f t="shared" si="36"/>
        <v/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 x14ac:dyDescent="0.25">
      <c r="A168" s="69">
        <v>46210</v>
      </c>
      <c r="B168" s="25">
        <f t="shared" si="38"/>
        <v>0.49999999999999972</v>
      </c>
      <c r="C168" s="26"/>
      <c r="D168" s="59"/>
      <c r="E168" s="59"/>
      <c r="F168" s="27"/>
      <c r="G168" s="28" t="str">
        <f t="shared" si="36"/>
        <v/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 x14ac:dyDescent="0.25">
      <c r="A169" s="70">
        <v>46210</v>
      </c>
      <c r="B169" s="32">
        <f t="shared" si="38"/>
        <v>0.54166666666666641</v>
      </c>
      <c r="C169" s="33"/>
      <c r="D169" s="62"/>
      <c r="E169" s="62"/>
      <c r="F169" s="27"/>
      <c r="G169" s="34" t="str">
        <f t="shared" si="36"/>
        <v/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 x14ac:dyDescent="0.25">
      <c r="A170" s="69">
        <v>46210</v>
      </c>
      <c r="B170" s="25">
        <f t="shared" si="38"/>
        <v>0.58333333333333304</v>
      </c>
      <c r="C170" s="26"/>
      <c r="D170" s="59"/>
      <c r="E170" s="59"/>
      <c r="F170" s="27"/>
      <c r="G170" s="28" t="str">
        <f t="shared" si="36"/>
        <v/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 x14ac:dyDescent="0.25">
      <c r="A171" s="70">
        <v>46210</v>
      </c>
      <c r="B171" s="32">
        <f t="shared" si="38"/>
        <v>0.62499999999999967</v>
      </c>
      <c r="C171" s="33"/>
      <c r="D171" s="62"/>
      <c r="E171" s="62"/>
      <c r="F171" s="27"/>
      <c r="G171" s="34" t="str">
        <f t="shared" si="36"/>
        <v/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 x14ac:dyDescent="0.25">
      <c r="A172" s="69">
        <v>46210</v>
      </c>
      <c r="B172" s="25">
        <f t="shared" si="38"/>
        <v>0.6666666666666663</v>
      </c>
      <c r="C172" s="26"/>
      <c r="D172" s="59"/>
      <c r="E172" s="59"/>
      <c r="F172" s="27"/>
      <c r="G172" s="28" t="str">
        <f t="shared" si="36"/>
        <v/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 x14ac:dyDescent="0.25">
      <c r="A173" s="70">
        <v>46210</v>
      </c>
      <c r="B173" s="32">
        <f t="shared" si="38"/>
        <v>0.70833333333333293</v>
      </c>
      <c r="C173" s="33"/>
      <c r="D173" s="62"/>
      <c r="E173" s="62"/>
      <c r="F173" s="27"/>
      <c r="G173" s="34" t="str">
        <f t="shared" si="36"/>
        <v/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 x14ac:dyDescent="0.25">
      <c r="A174" s="69">
        <v>46210</v>
      </c>
      <c r="B174" s="25">
        <f t="shared" si="38"/>
        <v>0.74999999999999956</v>
      </c>
      <c r="C174" s="26"/>
      <c r="D174" s="59"/>
      <c r="E174" s="59"/>
      <c r="F174" s="27"/>
      <c r="G174" s="28" t="str">
        <f t="shared" si="36"/>
        <v/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 x14ac:dyDescent="0.25">
      <c r="A175" s="70">
        <v>46210</v>
      </c>
      <c r="B175" s="32">
        <f t="shared" si="38"/>
        <v>0.79166666666666619</v>
      </c>
      <c r="C175" s="33"/>
      <c r="D175" s="62"/>
      <c r="E175" s="62"/>
      <c r="F175" s="27"/>
      <c r="G175" s="34" t="str">
        <f t="shared" si="36"/>
        <v/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 x14ac:dyDescent="0.25">
      <c r="A176" s="79" t="s">
        <v>190</v>
      </c>
      <c r="B176" s="80"/>
      <c r="C176" s="80"/>
      <c r="D176" s="80"/>
      <c r="E176" s="81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61"/>
      <c r="L176" s="61"/>
      <c r="M176" s="38">
        <f ca="1">IFERROR(SUM(M164:M175),"")</f>
        <v>0</v>
      </c>
      <c r="N176" s="36" t="s">
        <v>191</v>
      </c>
      <c r="O176" s="39"/>
    </row>
    <row r="177" spans="1:15" ht="15" customHeight="1" x14ac:dyDescent="0.25">
      <c r="A177" s="70">
        <v>46210</v>
      </c>
      <c r="B177" s="32">
        <v>0.83333333333333304</v>
      </c>
      <c r="C177" s="33"/>
      <c r="D177" s="62"/>
      <c r="E177" s="62"/>
      <c r="F177" s="27"/>
      <c r="G177" s="34" t="str">
        <f t="shared" ref="G177:G188" si="39">IF(F177="","",IF(E177="PC 17",F177*4.2,IF(E177="PC 19",F177*5,"")))</f>
        <v/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27"/>
      <c r="O177" s="31"/>
    </row>
    <row r="178" spans="1:15" ht="15" customHeight="1" x14ac:dyDescent="0.25">
      <c r="A178" s="69">
        <v>46210</v>
      </c>
      <c r="B178" s="25">
        <f t="shared" ref="B178:B188" si="41">B177+TIME(0,60,0)</f>
        <v>0.87499999999999967</v>
      </c>
      <c r="C178" s="26"/>
      <c r="D178" s="59"/>
      <c r="E178" s="59"/>
      <c r="F178" s="27"/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 x14ac:dyDescent="0.25">
      <c r="A179" s="70">
        <v>46210</v>
      </c>
      <c r="B179" s="32">
        <f t="shared" si="41"/>
        <v>0.9166666666666663</v>
      </c>
      <c r="C179" s="33"/>
      <c r="D179" s="62"/>
      <c r="E179" s="62"/>
      <c r="F179" s="27"/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 x14ac:dyDescent="0.25">
      <c r="A180" s="69">
        <v>46210</v>
      </c>
      <c r="B180" s="25">
        <f t="shared" si="41"/>
        <v>0.95833333333333293</v>
      </c>
      <c r="C180" s="26"/>
      <c r="D180" s="59"/>
      <c r="E180" s="59"/>
      <c r="F180" s="27"/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 x14ac:dyDescent="0.25">
      <c r="A181" s="70">
        <v>46210</v>
      </c>
      <c r="B181" s="32">
        <f t="shared" si="41"/>
        <v>0.99999999999999956</v>
      </c>
      <c r="C181" s="33"/>
      <c r="D181" s="62"/>
      <c r="E181" s="62"/>
      <c r="F181" s="27"/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 x14ac:dyDescent="0.25">
      <c r="A182" s="69">
        <v>46210</v>
      </c>
      <c r="B182" s="25">
        <f t="shared" si="41"/>
        <v>1.0416666666666663</v>
      </c>
      <c r="C182" s="26"/>
      <c r="D182" s="59"/>
      <c r="E182" s="59"/>
      <c r="F182" s="27"/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 x14ac:dyDescent="0.25">
      <c r="A183" s="70">
        <v>46210</v>
      </c>
      <c r="B183" s="32">
        <f t="shared" si="41"/>
        <v>1.083333333333333</v>
      </c>
      <c r="C183" s="33"/>
      <c r="D183" s="62"/>
      <c r="E183" s="62"/>
      <c r="F183" s="27"/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 x14ac:dyDescent="0.25">
      <c r="A184" s="69">
        <v>46210</v>
      </c>
      <c r="B184" s="25">
        <f t="shared" si="41"/>
        <v>1.1249999999999998</v>
      </c>
      <c r="C184" s="26"/>
      <c r="D184" s="59"/>
      <c r="E184" s="59"/>
      <c r="F184" s="27"/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 x14ac:dyDescent="0.25">
      <c r="A185" s="70">
        <v>46210</v>
      </c>
      <c r="B185" s="32">
        <f t="shared" si="41"/>
        <v>1.1666666666666665</v>
      </c>
      <c r="C185" s="33"/>
      <c r="D185" s="62"/>
      <c r="E185" s="62"/>
      <c r="F185" s="27"/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 x14ac:dyDescent="0.25">
      <c r="A186" s="69">
        <v>46210</v>
      </c>
      <c r="B186" s="25">
        <f t="shared" si="41"/>
        <v>1.2083333333333333</v>
      </c>
      <c r="C186" s="26"/>
      <c r="D186" s="59"/>
      <c r="E186" s="59"/>
      <c r="F186" s="27"/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 x14ac:dyDescent="0.25">
      <c r="A187" s="70">
        <v>46210</v>
      </c>
      <c r="B187" s="32">
        <f t="shared" si="41"/>
        <v>1.25</v>
      </c>
      <c r="C187" s="33"/>
      <c r="D187" s="62"/>
      <c r="E187" s="62"/>
      <c r="F187" s="27"/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 x14ac:dyDescent="0.25">
      <c r="A188" s="69">
        <v>46210</v>
      </c>
      <c r="B188" s="25">
        <f t="shared" si="41"/>
        <v>1.2916666666666667</v>
      </c>
      <c r="C188" s="26"/>
      <c r="D188" s="59"/>
      <c r="E188" s="59"/>
      <c r="F188" s="27"/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 x14ac:dyDescent="0.25">
      <c r="A189" s="79" t="s">
        <v>192</v>
      </c>
      <c r="B189" s="80"/>
      <c r="C189" s="80"/>
      <c r="D189" s="80"/>
      <c r="E189" s="81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61"/>
      <c r="L189" s="61"/>
      <c r="M189" s="38">
        <f ca="1">IFERROR(SUM(M177:M188),"")</f>
        <v>0</v>
      </c>
      <c r="N189" s="36" t="s">
        <v>191</v>
      </c>
      <c r="O189" s="39"/>
    </row>
    <row r="190" spans="1:15" ht="18" customHeight="1" x14ac:dyDescent="0.25">
      <c r="A190" s="82" t="s">
        <v>193</v>
      </c>
      <c r="B190" s="83"/>
      <c r="C190" s="83"/>
      <c r="D190" s="83"/>
      <c r="E190" s="84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63"/>
      <c r="L190" s="63"/>
      <c r="M190" s="42">
        <f ca="1">IFERROR(M176+M189,"")</f>
        <v>0</v>
      </c>
      <c r="N190" s="40" t="s">
        <v>194</v>
      </c>
      <c r="O190" s="43">
        <f>IFERROR(O176+O189,"")</f>
        <v>0</v>
      </c>
    </row>
    <row r="191" spans="1:15" ht="15" customHeight="1" x14ac:dyDescent="0.25">
      <c r="A191" s="70">
        <v>46211</v>
      </c>
      <c r="B191" s="32">
        <v>0.33333333333333298</v>
      </c>
      <c r="C191" s="33"/>
      <c r="D191" s="62"/>
      <c r="E191" s="62"/>
      <c r="F191" s="27"/>
      <c r="G191" s="34" t="str">
        <f t="shared" ref="G191:G202" si="42">IF(F191="","",IF(E191="PC 17",F191*4.2,IF(E191="PC 19",F191*5,"")))</f>
        <v/>
      </c>
      <c r="H191" s="33"/>
      <c r="I191" s="33"/>
      <c r="J191" s="33"/>
      <c r="K191" s="29"/>
      <c r="L191" s="29"/>
      <c r="M191" s="35" t="str">
        <f t="shared" ref="M191:M202" ca="1" si="43">IFERROR(IF(K191="","",IF(L191="",MOD(NOW()-K191,1),IF(L191&gt;=K191,L191-K191,L191+1-K191))),"")</f>
        <v/>
      </c>
      <c r="N191" s="27"/>
      <c r="O191" s="31"/>
    </row>
    <row r="192" spans="1:15" ht="15" customHeight="1" x14ac:dyDescent="0.25">
      <c r="A192" s="69">
        <v>46211</v>
      </c>
      <c r="B192" s="25">
        <f t="shared" ref="B192:B202" si="44">B191+TIME(0,60,0)</f>
        <v>0.37499999999999967</v>
      </c>
      <c r="C192" s="33"/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27"/>
      <c r="O192" s="31"/>
    </row>
    <row r="193" spans="1:15" ht="15" customHeight="1" x14ac:dyDescent="0.25">
      <c r="A193" s="70">
        <v>46211</v>
      </c>
      <c r="B193" s="32">
        <f t="shared" si="44"/>
        <v>0.41666666666666635</v>
      </c>
      <c r="C193" s="33"/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27"/>
      <c r="O193" s="31"/>
    </row>
    <row r="194" spans="1:15" ht="15" customHeight="1" x14ac:dyDescent="0.25">
      <c r="A194" s="69">
        <v>46211</v>
      </c>
      <c r="B194" s="25">
        <f t="shared" si="44"/>
        <v>0.45833333333333304</v>
      </c>
      <c r="C194" s="33"/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 x14ac:dyDescent="0.25">
      <c r="A195" s="70">
        <v>46211</v>
      </c>
      <c r="B195" s="32">
        <f t="shared" si="44"/>
        <v>0.49999999999999972</v>
      </c>
      <c r="C195" s="33"/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 x14ac:dyDescent="0.25">
      <c r="A196" s="69">
        <v>46211</v>
      </c>
      <c r="B196" s="25">
        <f t="shared" si="44"/>
        <v>0.54166666666666641</v>
      </c>
      <c r="C196" s="33"/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 x14ac:dyDescent="0.25">
      <c r="A197" s="70">
        <v>46211</v>
      </c>
      <c r="B197" s="32">
        <f t="shared" si="44"/>
        <v>0.58333333333333304</v>
      </c>
      <c r="C197" s="33"/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 x14ac:dyDescent="0.25">
      <c r="A198" s="69">
        <v>46211</v>
      </c>
      <c r="B198" s="25">
        <f t="shared" si="44"/>
        <v>0.62499999999999967</v>
      </c>
      <c r="C198" s="33"/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 x14ac:dyDescent="0.25">
      <c r="A199" s="70">
        <v>46211</v>
      </c>
      <c r="B199" s="32">
        <f t="shared" si="44"/>
        <v>0.6666666666666663</v>
      </c>
      <c r="C199" s="33"/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 x14ac:dyDescent="0.25">
      <c r="A200" s="69">
        <v>46211</v>
      </c>
      <c r="B200" s="25">
        <f t="shared" si="44"/>
        <v>0.70833333333333293</v>
      </c>
      <c r="C200" s="33"/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 x14ac:dyDescent="0.25">
      <c r="A201" s="70">
        <v>46211</v>
      </c>
      <c r="B201" s="32">
        <f t="shared" si="44"/>
        <v>0.74999999999999956</v>
      </c>
      <c r="C201" s="33"/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 x14ac:dyDescent="0.25">
      <c r="A202" s="69">
        <v>46211</v>
      </c>
      <c r="B202" s="25">
        <f t="shared" si="44"/>
        <v>0.79166666666666619</v>
      </c>
      <c r="C202" s="33"/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 x14ac:dyDescent="0.25">
      <c r="A203" s="79" t="s">
        <v>190</v>
      </c>
      <c r="B203" s="80"/>
      <c r="C203" s="80"/>
      <c r="D203" s="80"/>
      <c r="E203" s="81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61"/>
      <c r="L203" s="61"/>
      <c r="M203" s="38">
        <f ca="1">IFERROR(SUM(M191:M202),"")</f>
        <v>0</v>
      </c>
      <c r="N203" s="36" t="s">
        <v>191</v>
      </c>
      <c r="O203" s="45"/>
    </row>
    <row r="204" spans="1:15" ht="15" customHeight="1" x14ac:dyDescent="0.25">
      <c r="A204" s="69">
        <v>46211</v>
      </c>
      <c r="B204" s="25">
        <v>0.83333333333333304</v>
      </c>
      <c r="C204" s="26"/>
      <c r="D204" s="59"/>
      <c r="E204" s="59"/>
      <c r="F204" s="27"/>
      <c r="G204" s="28" t="str">
        <f t="shared" ref="G204:G215" si="45">IF(F204="","",IF(E204="PC 17",F204*4.2,IF(E204="PC 19",F204*5,"")))</f>
        <v/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27"/>
      <c r="O204" s="60"/>
    </row>
    <row r="205" spans="1:15" ht="15" customHeight="1" x14ac:dyDescent="0.25">
      <c r="A205" s="70">
        <v>46211</v>
      </c>
      <c r="B205" s="32">
        <f t="shared" ref="B205:B215" si="47">B204+TIME(0,60,0)</f>
        <v>0.87499999999999967</v>
      </c>
      <c r="C205" s="26"/>
      <c r="D205" s="59"/>
      <c r="E205" s="59"/>
      <c r="F205" s="27"/>
      <c r="G205" s="34" t="str">
        <f t="shared" si="45"/>
        <v/>
      </c>
      <c r="H205" s="33"/>
      <c r="I205" s="33"/>
      <c r="J205" s="33"/>
      <c r="K205" s="29"/>
      <c r="L205" s="29"/>
      <c r="M205" s="35" t="str">
        <f t="shared" ca="1" si="46"/>
        <v/>
      </c>
      <c r="N205" s="27"/>
      <c r="O205" s="60"/>
    </row>
    <row r="206" spans="1:15" ht="15" customHeight="1" x14ac:dyDescent="0.25">
      <c r="A206" s="69">
        <v>46211</v>
      </c>
      <c r="B206" s="25">
        <f t="shared" si="47"/>
        <v>0.9166666666666663</v>
      </c>
      <c r="C206" s="26"/>
      <c r="D206" s="59"/>
      <c r="E206" s="59"/>
      <c r="F206" s="27"/>
      <c r="G206" s="28" t="str">
        <f t="shared" si="45"/>
        <v/>
      </c>
      <c r="H206" s="26"/>
      <c r="I206" s="26"/>
      <c r="J206" s="26"/>
      <c r="K206" s="29"/>
      <c r="L206" s="29"/>
      <c r="M206" s="30" t="str">
        <f t="shared" ca="1" si="46"/>
        <v/>
      </c>
      <c r="N206" s="27"/>
      <c r="O206" s="60"/>
    </row>
    <row r="207" spans="1:15" ht="15" customHeight="1" x14ac:dyDescent="0.25">
      <c r="A207" s="70">
        <v>46211</v>
      </c>
      <c r="B207" s="32">
        <f t="shared" si="47"/>
        <v>0.95833333333333293</v>
      </c>
      <c r="C207" s="26"/>
      <c r="D207" s="59"/>
      <c r="E207" s="59"/>
      <c r="F207" s="27"/>
      <c r="G207" s="34" t="str">
        <f t="shared" si="45"/>
        <v/>
      </c>
      <c r="H207" s="33"/>
      <c r="I207" s="33"/>
      <c r="J207" s="33"/>
      <c r="K207" s="29"/>
      <c r="L207" s="29"/>
      <c r="M207" s="35" t="str">
        <f t="shared" ca="1" si="46"/>
        <v/>
      </c>
      <c r="N207" s="27"/>
      <c r="O207" s="60"/>
    </row>
    <row r="208" spans="1:15" ht="15" customHeight="1" x14ac:dyDescent="0.25">
      <c r="A208" s="69">
        <v>46211</v>
      </c>
      <c r="B208" s="25">
        <f t="shared" si="47"/>
        <v>0.99999999999999956</v>
      </c>
      <c r="C208" s="26"/>
      <c r="D208" s="59"/>
      <c r="E208" s="59"/>
      <c r="F208" s="27"/>
      <c r="G208" s="28" t="str">
        <f t="shared" si="45"/>
        <v/>
      </c>
      <c r="H208" s="26"/>
      <c r="I208" s="26"/>
      <c r="J208" s="26"/>
      <c r="K208" s="29"/>
      <c r="L208" s="29"/>
      <c r="M208" s="30" t="str">
        <f t="shared" ca="1" si="46"/>
        <v/>
      </c>
      <c r="N208" s="27"/>
      <c r="O208" s="60"/>
    </row>
    <row r="209" spans="1:15" ht="15" customHeight="1" x14ac:dyDescent="0.25">
      <c r="A209" s="70">
        <v>46211</v>
      </c>
      <c r="B209" s="32">
        <f t="shared" si="47"/>
        <v>1.0416666666666663</v>
      </c>
      <c r="C209" s="26"/>
      <c r="D209" s="59"/>
      <c r="E209" s="59"/>
      <c r="F209" s="27"/>
      <c r="G209" s="34" t="str">
        <f t="shared" si="45"/>
        <v/>
      </c>
      <c r="H209" s="33"/>
      <c r="I209" s="33"/>
      <c r="J209" s="33"/>
      <c r="K209" s="29"/>
      <c r="L209" s="29"/>
      <c r="M209" s="35" t="str">
        <f t="shared" ca="1" si="46"/>
        <v/>
      </c>
      <c r="N209" s="27"/>
      <c r="O209" s="60"/>
    </row>
    <row r="210" spans="1:15" ht="15" customHeight="1" x14ac:dyDescent="0.25">
      <c r="A210" s="69">
        <v>46211</v>
      </c>
      <c r="B210" s="25">
        <f t="shared" si="47"/>
        <v>1.083333333333333</v>
      </c>
      <c r="C210" s="26"/>
      <c r="D210" s="59"/>
      <c r="E210" s="59"/>
      <c r="F210" s="27"/>
      <c r="G210" s="28" t="str">
        <f t="shared" si="45"/>
        <v/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60"/>
    </row>
    <row r="211" spans="1:15" ht="15" customHeight="1" x14ac:dyDescent="0.25">
      <c r="A211" s="70">
        <v>46211</v>
      </c>
      <c r="B211" s="32">
        <f t="shared" si="47"/>
        <v>1.1249999999999998</v>
      </c>
      <c r="C211" s="26"/>
      <c r="D211" s="59"/>
      <c r="E211" s="59"/>
      <c r="F211" s="27"/>
      <c r="G211" s="34" t="str">
        <f t="shared" si="45"/>
        <v/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60"/>
    </row>
    <row r="212" spans="1:15" ht="15" customHeight="1" x14ac:dyDescent="0.25">
      <c r="A212" s="69">
        <v>46211</v>
      </c>
      <c r="B212" s="25">
        <f t="shared" si="47"/>
        <v>1.1666666666666665</v>
      </c>
      <c r="C212" s="26"/>
      <c r="D212" s="59"/>
      <c r="E212" s="59"/>
      <c r="F212" s="27"/>
      <c r="G212" s="28" t="str">
        <f t="shared" si="45"/>
        <v/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60"/>
    </row>
    <row r="213" spans="1:15" ht="15" customHeight="1" x14ac:dyDescent="0.25">
      <c r="A213" s="70">
        <v>46211</v>
      </c>
      <c r="B213" s="32">
        <f t="shared" si="47"/>
        <v>1.2083333333333333</v>
      </c>
      <c r="C213" s="26"/>
      <c r="D213" s="59"/>
      <c r="E213" s="59"/>
      <c r="F213" s="27"/>
      <c r="G213" s="34" t="str">
        <f t="shared" si="45"/>
        <v/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60"/>
    </row>
    <row r="214" spans="1:15" ht="15" customHeight="1" x14ac:dyDescent="0.25">
      <c r="A214" s="69">
        <v>46211</v>
      </c>
      <c r="B214" s="25">
        <f t="shared" si="47"/>
        <v>1.25</v>
      </c>
      <c r="C214" s="26"/>
      <c r="D214" s="59"/>
      <c r="E214" s="59"/>
      <c r="F214" s="27"/>
      <c r="G214" s="28" t="str">
        <f t="shared" si="45"/>
        <v/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60"/>
    </row>
    <row r="215" spans="1:15" ht="15" customHeight="1" x14ac:dyDescent="0.25">
      <c r="A215" s="70">
        <v>46211</v>
      </c>
      <c r="B215" s="32">
        <f t="shared" si="47"/>
        <v>1.2916666666666667</v>
      </c>
      <c r="C215" s="26"/>
      <c r="D215" s="59"/>
      <c r="E215" s="59"/>
      <c r="F215" s="27"/>
      <c r="G215" s="34" t="str">
        <f t="shared" si="45"/>
        <v/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60"/>
    </row>
    <row r="216" spans="1:15" ht="15.75" customHeight="1" x14ac:dyDescent="0.25">
      <c r="A216" s="79" t="s">
        <v>192</v>
      </c>
      <c r="B216" s="80"/>
      <c r="C216" s="80"/>
      <c r="D216" s="80"/>
      <c r="E216" s="81">
        <f>SUM(E204:E215)</f>
        <v>0</v>
      </c>
      <c r="F216" s="36">
        <f>SUM(F204:F215)</f>
        <v>0</v>
      </c>
      <c r="G216" s="36">
        <f>SUM(G204:G215)</f>
        <v>0</v>
      </c>
      <c r="H216" s="37"/>
      <c r="I216" s="37"/>
      <c r="J216" s="37"/>
      <c r="K216" s="61"/>
      <c r="L216" s="61"/>
      <c r="M216" s="38">
        <f ca="1">IFERROR(SUM(M204:M215),"")</f>
        <v>0</v>
      </c>
      <c r="N216" s="36" t="s">
        <v>191</v>
      </c>
      <c r="O216" s="45"/>
    </row>
    <row r="217" spans="1:15" ht="18" customHeight="1" x14ac:dyDescent="0.25">
      <c r="A217" s="82" t="s">
        <v>193</v>
      </c>
      <c r="B217" s="83"/>
      <c r="C217" s="83"/>
      <c r="D217" s="83"/>
      <c r="E217" s="84">
        <f>E203+E216</f>
        <v>0</v>
      </c>
      <c r="F217" s="40">
        <f>F203+F216</f>
        <v>0</v>
      </c>
      <c r="G217" s="40">
        <f>G203+G216</f>
        <v>0</v>
      </c>
      <c r="H217" s="41"/>
      <c r="I217" s="41"/>
      <c r="J217" s="41"/>
      <c r="K217" s="63"/>
      <c r="L217" s="63"/>
      <c r="M217" s="42">
        <f ca="1">IFERROR(M203+M216,"")</f>
        <v>0</v>
      </c>
      <c r="N217" s="40" t="s">
        <v>194</v>
      </c>
      <c r="O217" s="48">
        <f>IFERROR(O203+O216,"")</f>
        <v>0</v>
      </c>
    </row>
    <row r="218" spans="1:15" ht="15" customHeight="1" x14ac:dyDescent="0.25">
      <c r="A218" s="69">
        <v>46212</v>
      </c>
      <c r="B218" s="25">
        <v>0.33333333333333298</v>
      </c>
      <c r="C218" s="26"/>
      <c r="D218" s="59"/>
      <c r="E218" s="59"/>
      <c r="F218" s="27"/>
      <c r="G218" s="28" t="str">
        <f t="shared" ref="G218:G229" si="48">IF(F218="","",IF(E218="PC 17",F218*4.2,IF(E218="PC 19",F218*5,"")))</f>
        <v/>
      </c>
      <c r="H218" s="26"/>
      <c r="I218" s="26"/>
      <c r="J218" s="26"/>
      <c r="K218" s="29"/>
      <c r="L218" s="29"/>
      <c r="M218" s="30" t="str">
        <f t="shared" ref="M218:M229" ca="1" si="49">IFERROR(IF(K218="","",IF(L218="",MOD(NOW()-K218,1),IF(L218&gt;=K218,L218-K218,L218+1-K218))),"")</f>
        <v/>
      </c>
      <c r="N218" s="27"/>
      <c r="O218" s="60"/>
    </row>
    <row r="219" spans="1:15" ht="15" customHeight="1" x14ac:dyDescent="0.25">
      <c r="A219" s="70">
        <v>46212</v>
      </c>
      <c r="B219" s="32">
        <f t="shared" ref="B219:B229" si="50">B218+TIME(0,60,0)</f>
        <v>0.37499999999999967</v>
      </c>
      <c r="C219" s="26"/>
      <c r="D219" s="59"/>
      <c r="E219" s="59"/>
      <c r="F219" s="27"/>
      <c r="G219" s="34" t="str">
        <f t="shared" si="48"/>
        <v/>
      </c>
      <c r="H219" s="33"/>
      <c r="I219" s="33"/>
      <c r="J219" s="33"/>
      <c r="K219" s="29"/>
      <c r="L219" s="29"/>
      <c r="M219" s="35" t="str">
        <f t="shared" ca="1" si="49"/>
        <v/>
      </c>
      <c r="N219" s="27"/>
      <c r="O219" s="60"/>
    </row>
    <row r="220" spans="1:15" ht="15" customHeight="1" x14ac:dyDescent="0.25">
      <c r="A220" s="69">
        <v>46212</v>
      </c>
      <c r="B220" s="25">
        <f t="shared" si="50"/>
        <v>0.41666666666666635</v>
      </c>
      <c r="C220" s="26"/>
      <c r="D220" s="59"/>
      <c r="E220" s="59"/>
      <c r="F220" s="27"/>
      <c r="G220" s="28" t="str">
        <f t="shared" si="48"/>
        <v/>
      </c>
      <c r="H220" s="26"/>
      <c r="I220" s="26"/>
      <c r="J220" s="26"/>
      <c r="K220" s="29"/>
      <c r="L220" s="29"/>
      <c r="M220" s="30" t="str">
        <f t="shared" ca="1" si="49"/>
        <v/>
      </c>
      <c r="N220" s="27"/>
      <c r="O220" s="60"/>
    </row>
    <row r="221" spans="1:15" ht="15" customHeight="1" x14ac:dyDescent="0.25">
      <c r="A221" s="70">
        <v>46212</v>
      </c>
      <c r="B221" s="32">
        <f t="shared" si="50"/>
        <v>0.45833333333333304</v>
      </c>
      <c r="C221" s="26"/>
      <c r="D221" s="59"/>
      <c r="E221" s="59"/>
      <c r="F221" s="27"/>
      <c r="G221" s="34" t="str">
        <f t="shared" si="48"/>
        <v/>
      </c>
      <c r="H221" s="33"/>
      <c r="I221" s="33"/>
      <c r="J221" s="33"/>
      <c r="K221" s="29"/>
      <c r="L221" s="29"/>
      <c r="M221" s="35" t="str">
        <f t="shared" ca="1" si="49"/>
        <v/>
      </c>
      <c r="N221" s="27"/>
      <c r="O221" s="60"/>
    </row>
    <row r="222" spans="1:15" ht="15" customHeight="1" x14ac:dyDescent="0.25">
      <c r="A222" s="69">
        <v>46212</v>
      </c>
      <c r="B222" s="25">
        <f t="shared" si="50"/>
        <v>0.49999999999999972</v>
      </c>
      <c r="C222" s="26"/>
      <c r="D222" s="59"/>
      <c r="E222" s="59"/>
      <c r="F222" s="27"/>
      <c r="G222" s="28" t="str">
        <f t="shared" si="48"/>
        <v/>
      </c>
      <c r="H222" s="26"/>
      <c r="I222" s="26"/>
      <c r="J222" s="26"/>
      <c r="K222" s="29"/>
      <c r="L222" s="29"/>
      <c r="M222" s="30" t="str">
        <f t="shared" ca="1" si="49"/>
        <v/>
      </c>
      <c r="N222" s="27"/>
      <c r="O222" s="60"/>
    </row>
    <row r="223" spans="1:15" ht="15" customHeight="1" x14ac:dyDescent="0.25">
      <c r="A223" s="70">
        <v>46212</v>
      </c>
      <c r="B223" s="32">
        <f t="shared" si="50"/>
        <v>0.54166666666666641</v>
      </c>
      <c r="C223" s="26"/>
      <c r="D223" s="59"/>
      <c r="E223" s="59"/>
      <c r="F223" s="27"/>
      <c r="G223" s="34" t="str">
        <f t="shared" si="48"/>
        <v/>
      </c>
      <c r="H223" s="33"/>
      <c r="I223" s="33"/>
      <c r="J223" s="33"/>
      <c r="K223" s="29"/>
      <c r="L223" s="29"/>
      <c r="M223" s="35" t="str">
        <f t="shared" ca="1" si="49"/>
        <v/>
      </c>
      <c r="N223" s="27"/>
      <c r="O223" s="60"/>
    </row>
    <row r="224" spans="1:15" ht="15" customHeight="1" x14ac:dyDescent="0.25">
      <c r="A224" s="69">
        <v>46212</v>
      </c>
      <c r="B224" s="25">
        <f t="shared" si="50"/>
        <v>0.58333333333333304</v>
      </c>
      <c r="C224" s="26"/>
      <c r="D224" s="59"/>
      <c r="E224" s="59"/>
      <c r="F224" s="27"/>
      <c r="G224" s="28" t="str">
        <f t="shared" si="48"/>
        <v/>
      </c>
      <c r="H224" s="26"/>
      <c r="I224" s="26"/>
      <c r="J224" s="26"/>
      <c r="K224" s="29"/>
      <c r="L224" s="29"/>
      <c r="M224" s="30" t="str">
        <f t="shared" ca="1" si="49"/>
        <v/>
      </c>
      <c r="N224" s="27"/>
      <c r="O224" s="60"/>
    </row>
    <row r="225" spans="1:15" ht="15" customHeight="1" x14ac:dyDescent="0.25">
      <c r="A225" s="70">
        <v>46212</v>
      </c>
      <c r="B225" s="32">
        <f t="shared" si="50"/>
        <v>0.62499999999999967</v>
      </c>
      <c r="C225" s="26"/>
      <c r="D225" s="59"/>
      <c r="E225" s="59"/>
      <c r="F225" s="27"/>
      <c r="G225" s="34" t="str">
        <f t="shared" si="48"/>
        <v/>
      </c>
      <c r="H225" s="33"/>
      <c r="I225" s="33"/>
      <c r="J225" s="33"/>
      <c r="K225" s="29"/>
      <c r="L225" s="29"/>
      <c r="M225" s="35" t="str">
        <f t="shared" ca="1" si="49"/>
        <v/>
      </c>
      <c r="N225" s="27"/>
      <c r="O225" s="60"/>
    </row>
    <row r="226" spans="1:15" ht="15" customHeight="1" x14ac:dyDescent="0.25">
      <c r="A226" s="69">
        <v>46212</v>
      </c>
      <c r="B226" s="25">
        <f t="shared" si="50"/>
        <v>0.6666666666666663</v>
      </c>
      <c r="C226" s="26"/>
      <c r="D226" s="59"/>
      <c r="E226" s="59"/>
      <c r="F226" s="27"/>
      <c r="G226" s="28" t="str">
        <f t="shared" si="48"/>
        <v/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60"/>
    </row>
    <row r="227" spans="1:15" ht="15" customHeight="1" x14ac:dyDescent="0.25">
      <c r="A227" s="70">
        <v>46212</v>
      </c>
      <c r="B227" s="32">
        <f t="shared" si="50"/>
        <v>0.70833333333333293</v>
      </c>
      <c r="C227" s="26"/>
      <c r="D227" s="59"/>
      <c r="E227" s="59"/>
      <c r="F227" s="27"/>
      <c r="G227" s="34" t="str">
        <f t="shared" si="48"/>
        <v/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60"/>
    </row>
    <row r="228" spans="1:15" ht="15" customHeight="1" x14ac:dyDescent="0.25">
      <c r="A228" s="69">
        <v>46212</v>
      </c>
      <c r="B228" s="25">
        <f t="shared" si="50"/>
        <v>0.74999999999999956</v>
      </c>
      <c r="C228" s="26"/>
      <c r="D228" s="59"/>
      <c r="E228" s="59"/>
      <c r="F228" s="27"/>
      <c r="G228" s="28" t="str">
        <f t="shared" si="48"/>
        <v/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60"/>
    </row>
    <row r="229" spans="1:15" ht="15" customHeight="1" x14ac:dyDescent="0.25">
      <c r="A229" s="70">
        <v>46212</v>
      </c>
      <c r="B229" s="32">
        <f t="shared" si="50"/>
        <v>0.79166666666666619</v>
      </c>
      <c r="C229" s="26"/>
      <c r="D229" s="59"/>
      <c r="E229" s="59"/>
      <c r="F229" s="27"/>
      <c r="G229" s="34" t="str">
        <f t="shared" si="48"/>
        <v/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60"/>
    </row>
    <row r="230" spans="1:15" ht="15.75" customHeight="1" x14ac:dyDescent="0.25">
      <c r="A230" s="79" t="s">
        <v>190</v>
      </c>
      <c r="B230" s="80"/>
      <c r="C230" s="80"/>
      <c r="D230" s="80"/>
      <c r="E230" s="81">
        <f>SUM(E218:E229)</f>
        <v>0</v>
      </c>
      <c r="F230" s="36">
        <f>SUM(F218:F229)</f>
        <v>0</v>
      </c>
      <c r="G230" s="36">
        <f>SUM(G218:G229)</f>
        <v>0</v>
      </c>
      <c r="H230" s="37"/>
      <c r="I230" s="37"/>
      <c r="J230" s="37"/>
      <c r="K230" s="61"/>
      <c r="L230" s="61"/>
      <c r="M230" s="38">
        <f ca="1">IFERROR(SUM(M218:M229),"")</f>
        <v>0</v>
      </c>
      <c r="N230" s="36" t="s">
        <v>191</v>
      </c>
      <c r="O230" s="39"/>
    </row>
    <row r="231" spans="1:15" ht="15" customHeight="1" x14ac:dyDescent="0.25">
      <c r="A231" s="70">
        <v>46212</v>
      </c>
      <c r="B231" s="32">
        <v>0.83333333333333304</v>
      </c>
      <c r="C231" s="33"/>
      <c r="D231" s="62"/>
      <c r="E231" s="62"/>
      <c r="F231" s="27"/>
      <c r="G231" s="34" t="str">
        <f t="shared" ref="G231:G242" si="51">IF(F231="","",IF(E231="PC 17",F231*4.2,IF(E231="PC 19",F231*5,"")))</f>
        <v/>
      </c>
      <c r="H231" s="33"/>
      <c r="I231" s="33"/>
      <c r="J231" s="33"/>
      <c r="K231" s="29"/>
      <c r="L231" s="29"/>
      <c r="M231" s="35" t="str">
        <f t="shared" ref="M231:M242" ca="1" si="52">IFERROR(IF(K231="","",IF(L231="",MOD(NOW()-K231,1),IF(L231&gt;=K231,L231-K231,L231+1-K231))),"")</f>
        <v/>
      </c>
      <c r="N231" s="27"/>
      <c r="O231" s="60"/>
    </row>
    <row r="232" spans="1:15" ht="15" customHeight="1" x14ac:dyDescent="0.25">
      <c r="A232" s="69">
        <v>46212</v>
      </c>
      <c r="B232" s="25">
        <f t="shared" ref="B232:B242" si="53">B231+TIME(0,60,0)</f>
        <v>0.87499999999999967</v>
      </c>
      <c r="C232" s="33"/>
      <c r="D232" s="62"/>
      <c r="E232" s="62"/>
      <c r="F232" s="27"/>
      <c r="G232" s="28" t="str">
        <f t="shared" si="51"/>
        <v/>
      </c>
      <c r="H232" s="26"/>
      <c r="I232" s="26"/>
      <c r="J232" s="26"/>
      <c r="K232" s="29"/>
      <c r="L232" s="29"/>
      <c r="M232" s="30" t="str">
        <f t="shared" ca="1" si="52"/>
        <v/>
      </c>
      <c r="N232" s="27"/>
      <c r="O232" s="60"/>
    </row>
    <row r="233" spans="1:15" ht="15" customHeight="1" x14ac:dyDescent="0.25">
      <c r="A233" s="70">
        <v>46212</v>
      </c>
      <c r="B233" s="32">
        <f t="shared" si="53"/>
        <v>0.9166666666666663</v>
      </c>
      <c r="C233" s="33"/>
      <c r="D233" s="62"/>
      <c r="E233" s="62"/>
      <c r="F233" s="27"/>
      <c r="G233" s="34" t="str">
        <f t="shared" si="51"/>
        <v/>
      </c>
      <c r="H233" s="33"/>
      <c r="I233" s="33"/>
      <c r="J233" s="33"/>
      <c r="K233" s="29"/>
      <c r="L233" s="29"/>
      <c r="M233" s="35" t="str">
        <f t="shared" ca="1" si="52"/>
        <v/>
      </c>
      <c r="N233" s="27"/>
      <c r="O233" s="60"/>
    </row>
    <row r="234" spans="1:15" ht="15" customHeight="1" x14ac:dyDescent="0.25">
      <c r="A234" s="69">
        <v>46212</v>
      </c>
      <c r="B234" s="25">
        <f t="shared" si="53"/>
        <v>0.95833333333333293</v>
      </c>
      <c r="C234" s="33"/>
      <c r="D234" s="62"/>
      <c r="E234" s="62"/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27"/>
      <c r="O234" s="60"/>
    </row>
    <row r="235" spans="1:15" ht="15" customHeight="1" x14ac:dyDescent="0.25">
      <c r="A235" s="70">
        <v>46212</v>
      </c>
      <c r="B235" s="32">
        <f t="shared" si="53"/>
        <v>0.99999999999999956</v>
      </c>
      <c r="C235" s="33"/>
      <c r="D235" s="62"/>
      <c r="E235" s="62"/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27"/>
      <c r="O235" s="60"/>
    </row>
    <row r="236" spans="1:15" ht="15" customHeight="1" x14ac:dyDescent="0.25">
      <c r="A236" s="69">
        <v>46212</v>
      </c>
      <c r="B236" s="25">
        <f t="shared" si="53"/>
        <v>1.0416666666666663</v>
      </c>
      <c r="C236" s="33"/>
      <c r="D236" s="62"/>
      <c r="E236" s="62"/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27"/>
      <c r="O236" s="60"/>
    </row>
    <row r="237" spans="1:15" ht="15" customHeight="1" x14ac:dyDescent="0.25">
      <c r="A237" s="70">
        <v>46212</v>
      </c>
      <c r="B237" s="32">
        <f t="shared" si="53"/>
        <v>1.083333333333333</v>
      </c>
      <c r="C237" s="33"/>
      <c r="D237" s="62"/>
      <c r="E237" s="62"/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60"/>
    </row>
    <row r="238" spans="1:15" ht="15" customHeight="1" x14ac:dyDescent="0.25">
      <c r="A238" s="69">
        <v>46212</v>
      </c>
      <c r="B238" s="25">
        <f t="shared" si="53"/>
        <v>1.1249999999999998</v>
      </c>
      <c r="C238" s="33"/>
      <c r="D238" s="62"/>
      <c r="E238" s="62"/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60"/>
    </row>
    <row r="239" spans="1:15" ht="15" customHeight="1" x14ac:dyDescent="0.25">
      <c r="A239" s="70">
        <v>46212</v>
      </c>
      <c r="B239" s="32">
        <f t="shared" si="53"/>
        <v>1.1666666666666665</v>
      </c>
      <c r="C239" s="33"/>
      <c r="D239" s="62"/>
      <c r="E239" s="62"/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60"/>
    </row>
    <row r="240" spans="1:15" ht="15" customHeight="1" x14ac:dyDescent="0.25">
      <c r="A240" s="69">
        <v>46212</v>
      </c>
      <c r="B240" s="25">
        <f t="shared" si="53"/>
        <v>1.2083333333333333</v>
      </c>
      <c r="C240" s="33"/>
      <c r="D240" s="62"/>
      <c r="E240" s="62"/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60"/>
    </row>
    <row r="241" spans="1:15" ht="15" customHeight="1" x14ac:dyDescent="0.25">
      <c r="A241" s="70">
        <v>46212</v>
      </c>
      <c r="B241" s="32">
        <f t="shared" si="53"/>
        <v>1.25</v>
      </c>
      <c r="C241" s="33"/>
      <c r="D241" s="62"/>
      <c r="E241" s="62"/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60"/>
    </row>
    <row r="242" spans="1:15" ht="15" customHeight="1" x14ac:dyDescent="0.25">
      <c r="A242" s="69">
        <v>46212</v>
      </c>
      <c r="B242" s="25">
        <f t="shared" si="53"/>
        <v>1.2916666666666667</v>
      </c>
      <c r="C242" s="33"/>
      <c r="D242" s="62"/>
      <c r="E242" s="62"/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60"/>
    </row>
    <row r="243" spans="1:15" ht="15.75" customHeight="1" x14ac:dyDescent="0.25">
      <c r="A243" s="79" t="s">
        <v>192</v>
      </c>
      <c r="B243" s="80"/>
      <c r="C243" s="80"/>
      <c r="D243" s="80"/>
      <c r="E243" s="81">
        <f>SUM(E231:E242)</f>
        <v>0</v>
      </c>
      <c r="F243" s="36">
        <f>SUM(F231:F242)</f>
        <v>0</v>
      </c>
      <c r="G243" s="36">
        <f>SUM(G231:G242)</f>
        <v>0</v>
      </c>
      <c r="H243" s="37"/>
      <c r="I243" s="37"/>
      <c r="J243" s="37"/>
      <c r="K243" s="61"/>
      <c r="L243" s="61"/>
      <c r="M243" s="38">
        <f ca="1">IFERROR(SUM(M231:M242),"")</f>
        <v>0</v>
      </c>
      <c r="N243" s="36" t="s">
        <v>191</v>
      </c>
      <c r="O243" s="39"/>
    </row>
    <row r="244" spans="1:15" ht="18" customHeight="1" x14ac:dyDescent="0.25">
      <c r="A244" s="82" t="s">
        <v>193</v>
      </c>
      <c r="B244" s="83"/>
      <c r="C244" s="83"/>
      <c r="D244" s="83"/>
      <c r="E244" s="84">
        <f>E230+E243</f>
        <v>0</v>
      </c>
      <c r="F244" s="40">
        <f>F230+F243</f>
        <v>0</v>
      </c>
      <c r="G244" s="40">
        <f>G230+G243</f>
        <v>0</v>
      </c>
      <c r="H244" s="41"/>
      <c r="I244" s="41"/>
      <c r="J244" s="41"/>
      <c r="K244" s="63"/>
      <c r="L244" s="63"/>
      <c r="M244" s="42">
        <f ca="1">IFERROR(M230+M243,"")</f>
        <v>0</v>
      </c>
      <c r="N244" s="40" t="s">
        <v>194</v>
      </c>
      <c r="O244" s="48">
        <f>IFERROR(O230+O243,"")</f>
        <v>0</v>
      </c>
    </row>
    <row r="245" spans="1:15" ht="15" customHeight="1" x14ac:dyDescent="0.25">
      <c r="A245" s="69">
        <v>46213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19",F245*5,"")))</f>
        <v/>
      </c>
      <c r="H245" s="33"/>
      <c r="I245" s="33"/>
      <c r="J245" s="33"/>
      <c r="K245" s="29"/>
      <c r="L245" s="29"/>
      <c r="M245" s="30" t="str">
        <f t="shared" ref="M245:M256" ca="1" si="55">IFERROR(IF(K245="","",IF(L245="",MOD(NOW()-K245,1),IF(L245&gt;=K245,L245-K245,L245+1-K245))),"")</f>
        <v/>
      </c>
      <c r="N245" s="27"/>
      <c r="O245" s="60"/>
    </row>
    <row r="246" spans="1:15" ht="15" customHeight="1" x14ac:dyDescent="0.25">
      <c r="A246" s="70">
        <v>46213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5" t="str">
        <f t="shared" ca="1" si="55"/>
        <v/>
      </c>
      <c r="N246" s="27"/>
      <c r="O246" s="60"/>
    </row>
    <row r="247" spans="1:15" ht="15" customHeight="1" x14ac:dyDescent="0.25">
      <c r="A247" s="69">
        <v>46213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0" t="str">
        <f t="shared" ca="1" si="55"/>
        <v/>
      </c>
      <c r="N247" s="27"/>
      <c r="O247" s="60"/>
    </row>
    <row r="248" spans="1:15" ht="15" customHeight="1" x14ac:dyDescent="0.25">
      <c r="A248" s="70">
        <v>46213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5" t="str">
        <f t="shared" ca="1" si="55"/>
        <v/>
      </c>
      <c r="N248" s="27"/>
      <c r="O248" s="60"/>
    </row>
    <row r="249" spans="1:15" ht="15" customHeight="1" x14ac:dyDescent="0.25">
      <c r="A249" s="69">
        <v>46213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0" t="str">
        <f t="shared" ca="1" si="55"/>
        <v/>
      </c>
      <c r="N249" s="27"/>
      <c r="O249" s="60"/>
    </row>
    <row r="250" spans="1:15" ht="15" customHeight="1" x14ac:dyDescent="0.25">
      <c r="A250" s="70">
        <v>46213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5" t="str">
        <f t="shared" ca="1" si="55"/>
        <v/>
      </c>
      <c r="N250" s="27"/>
      <c r="O250" s="60"/>
    </row>
    <row r="251" spans="1:15" ht="15" customHeight="1" x14ac:dyDescent="0.25">
      <c r="A251" s="69">
        <v>46213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0" t="str">
        <f t="shared" ca="1" si="55"/>
        <v/>
      </c>
      <c r="N251" s="27"/>
      <c r="O251" s="60"/>
    </row>
    <row r="252" spans="1:15" ht="15" customHeight="1" x14ac:dyDescent="0.25">
      <c r="A252" s="70">
        <v>46213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5" t="str">
        <f t="shared" ca="1" si="55"/>
        <v/>
      </c>
      <c r="N252" s="27"/>
      <c r="O252" s="60"/>
    </row>
    <row r="253" spans="1:15" ht="15" customHeight="1" x14ac:dyDescent="0.25">
      <c r="A253" s="69">
        <v>46213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0" t="str">
        <f t="shared" ca="1" si="55"/>
        <v/>
      </c>
      <c r="N253" s="27"/>
      <c r="O253" s="60"/>
    </row>
    <row r="254" spans="1:15" ht="15" customHeight="1" x14ac:dyDescent="0.25">
      <c r="A254" s="70">
        <v>46213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5" t="str">
        <f t="shared" ca="1" si="55"/>
        <v/>
      </c>
      <c r="N254" s="27"/>
      <c r="O254" s="60"/>
    </row>
    <row r="255" spans="1:15" ht="15" customHeight="1" x14ac:dyDescent="0.25">
      <c r="A255" s="69">
        <v>46213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0" t="str">
        <f t="shared" ca="1" si="55"/>
        <v/>
      </c>
      <c r="N255" s="27"/>
      <c r="O255" s="60"/>
    </row>
    <row r="256" spans="1:15" ht="15" customHeight="1" x14ac:dyDescent="0.25">
      <c r="A256" s="70">
        <v>46213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5" t="str">
        <f t="shared" ca="1" si="55"/>
        <v/>
      </c>
      <c r="N256" s="27"/>
      <c r="O256" s="60"/>
    </row>
    <row r="257" spans="1:15" ht="15.75" customHeight="1" x14ac:dyDescent="0.25">
      <c r="A257" s="79" t="s">
        <v>190</v>
      </c>
      <c r="B257" s="80"/>
      <c r="C257" s="80"/>
      <c r="D257" s="80"/>
      <c r="E257" s="81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61"/>
      <c r="L257" s="61"/>
      <c r="M257" s="38">
        <f ca="1">IFERROR(SUM(M245:M256),"")</f>
        <v>0</v>
      </c>
      <c r="N257" s="36" t="s">
        <v>191</v>
      </c>
      <c r="O257" s="39"/>
    </row>
    <row r="258" spans="1:15" ht="15" customHeight="1" x14ac:dyDescent="0.25">
      <c r="A258" s="70">
        <v>46213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19",F258*5,"")))</f>
        <v/>
      </c>
      <c r="H258" s="26"/>
      <c r="I258" s="26"/>
      <c r="J258" s="26"/>
      <c r="K258" s="29"/>
      <c r="L258" s="29"/>
      <c r="M258" s="35" t="str">
        <f t="shared" ref="M258:M269" ca="1" si="58">IFERROR(IF(K258="","",IF(L258="",MOD(NOW()-K258,1),IF(L258&gt;=K258,L258-K258,L258+1-K258))),"")</f>
        <v/>
      </c>
      <c r="N258" s="27"/>
      <c r="O258" s="60"/>
    </row>
    <row r="259" spans="1:15" ht="15" customHeight="1" x14ac:dyDescent="0.25">
      <c r="A259" s="69">
        <v>46213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0" t="str">
        <f t="shared" ca="1" si="58"/>
        <v/>
      </c>
      <c r="N259" s="27"/>
      <c r="O259" s="60"/>
    </row>
    <row r="260" spans="1:15" ht="15" customHeight="1" x14ac:dyDescent="0.25">
      <c r="A260" s="70">
        <v>46213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5" t="str">
        <f t="shared" ca="1" si="58"/>
        <v/>
      </c>
      <c r="N260" s="27"/>
      <c r="O260" s="60"/>
    </row>
    <row r="261" spans="1:15" ht="15" customHeight="1" x14ac:dyDescent="0.25">
      <c r="A261" s="69">
        <v>46213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0" t="str">
        <f t="shared" ca="1" si="58"/>
        <v/>
      </c>
      <c r="N261" s="27"/>
      <c r="O261" s="60"/>
    </row>
    <row r="262" spans="1:15" ht="15" customHeight="1" x14ac:dyDescent="0.25">
      <c r="A262" s="70">
        <v>46213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5" t="str">
        <f t="shared" ca="1" si="58"/>
        <v/>
      </c>
      <c r="N262" s="27"/>
      <c r="O262" s="60"/>
    </row>
    <row r="263" spans="1:15" ht="15" customHeight="1" x14ac:dyDescent="0.25">
      <c r="A263" s="69">
        <v>46213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0" t="str">
        <f t="shared" ca="1" si="58"/>
        <v/>
      </c>
      <c r="N263" s="27"/>
      <c r="O263" s="60"/>
    </row>
    <row r="264" spans="1:15" ht="15" customHeight="1" x14ac:dyDescent="0.25">
      <c r="A264" s="70">
        <v>46213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5" t="str">
        <f t="shared" ca="1" si="58"/>
        <v/>
      </c>
      <c r="N264" s="27"/>
      <c r="O264" s="60"/>
    </row>
    <row r="265" spans="1:15" ht="15" customHeight="1" x14ac:dyDescent="0.25">
      <c r="A265" s="69">
        <v>46213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0" t="str">
        <f t="shared" ca="1" si="58"/>
        <v/>
      </c>
      <c r="N265" s="27"/>
      <c r="O265" s="60"/>
    </row>
    <row r="266" spans="1:15" ht="15" customHeight="1" x14ac:dyDescent="0.25">
      <c r="A266" s="70">
        <v>46213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5" t="str">
        <f t="shared" ca="1" si="58"/>
        <v/>
      </c>
      <c r="N266" s="27"/>
      <c r="O266" s="60"/>
    </row>
    <row r="267" spans="1:15" ht="15" customHeight="1" x14ac:dyDescent="0.25">
      <c r="A267" s="69">
        <v>46213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0" t="str">
        <f t="shared" ca="1" si="58"/>
        <v/>
      </c>
      <c r="N267" s="27"/>
      <c r="O267" s="60"/>
    </row>
    <row r="268" spans="1:15" ht="15" customHeight="1" x14ac:dyDescent="0.25">
      <c r="A268" s="70">
        <v>46213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5" t="str">
        <f t="shared" ca="1" si="58"/>
        <v/>
      </c>
      <c r="N268" s="27"/>
      <c r="O268" s="60"/>
    </row>
    <row r="269" spans="1:15" ht="15" customHeight="1" x14ac:dyDescent="0.25">
      <c r="A269" s="69">
        <v>46213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0" t="str">
        <f t="shared" ca="1" si="58"/>
        <v/>
      </c>
      <c r="N269" s="27"/>
      <c r="O269" s="60"/>
    </row>
    <row r="270" spans="1:15" ht="15.75" customHeight="1" x14ac:dyDescent="0.25">
      <c r="A270" s="79" t="s">
        <v>192</v>
      </c>
      <c r="B270" s="80"/>
      <c r="C270" s="80"/>
      <c r="D270" s="80"/>
      <c r="E270" s="81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61"/>
      <c r="L270" s="61"/>
      <c r="M270" s="38">
        <f ca="1">IFERROR(SUM(M258:M269),"")</f>
        <v>0</v>
      </c>
      <c r="N270" s="36" t="s">
        <v>191</v>
      </c>
      <c r="O270" s="39"/>
    </row>
    <row r="271" spans="1:15" ht="18" customHeight="1" x14ac:dyDescent="0.25">
      <c r="A271" s="82" t="s">
        <v>193</v>
      </c>
      <c r="B271" s="83"/>
      <c r="C271" s="83"/>
      <c r="D271" s="83"/>
      <c r="E271" s="84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63"/>
      <c r="L271" s="63"/>
      <c r="M271" s="42">
        <f ca="1">IFERROR(M257+M270,"")</f>
        <v>0</v>
      </c>
      <c r="N271" s="40" t="s">
        <v>194</v>
      </c>
      <c r="O271" s="48">
        <f>IFERROR(O257+O270,"")</f>
        <v>0</v>
      </c>
    </row>
    <row r="272" spans="1:15" ht="15" customHeight="1" x14ac:dyDescent="0.25">
      <c r="A272" s="69">
        <v>46214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19",F272*5,"")))</f>
        <v/>
      </c>
      <c r="H272" s="26"/>
      <c r="I272" s="26"/>
      <c r="J272" s="26"/>
      <c r="K272" s="29"/>
      <c r="L272" s="29"/>
      <c r="M272" s="30" t="str">
        <f t="shared" ref="M272:M277" ca="1" si="61">IFERROR(IF(K272="","",IF(L272="",MOD(NOW()-K272,1),IF(L272&gt;=K272,L272-K272,L272+1-K272))),"")</f>
        <v/>
      </c>
      <c r="N272" s="27"/>
      <c r="O272" s="60"/>
    </row>
    <row r="273" spans="1:15" ht="15" customHeight="1" x14ac:dyDescent="0.25">
      <c r="A273" s="70">
        <v>46214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27"/>
      <c r="O273" s="60"/>
    </row>
    <row r="274" spans="1:15" ht="15" customHeight="1" x14ac:dyDescent="0.25">
      <c r="A274" s="69">
        <v>46214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27"/>
      <c r="O274" s="60"/>
    </row>
    <row r="275" spans="1:15" ht="15" customHeight="1" x14ac:dyDescent="0.25">
      <c r="A275" s="70">
        <v>46214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27"/>
      <c r="O275" s="60"/>
    </row>
    <row r="276" spans="1:15" ht="15" customHeight="1" x14ac:dyDescent="0.25">
      <c r="A276" s="69">
        <v>46214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27"/>
      <c r="O276" s="60"/>
    </row>
    <row r="277" spans="1:15" ht="15" customHeight="1" x14ac:dyDescent="0.25">
      <c r="A277" s="70">
        <v>46214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27"/>
      <c r="O277" s="60"/>
    </row>
    <row r="278" spans="1:15" ht="15" customHeight="1" x14ac:dyDescent="0.25">
      <c r="A278" s="69">
        <v>46214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/>
      <c r="N278" s="27"/>
      <c r="O278" s="60"/>
    </row>
    <row r="279" spans="1:15" ht="15" customHeight="1" x14ac:dyDescent="0.25">
      <c r="A279" s="70">
        <v>46214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ca="1">IFERROR(IF(K279="","",IF(L279="",MOD(NOW()-K279,1),IF(L279&gt;=K279,L279-K279,L279+1-K279))),"")</f>
        <v/>
      </c>
      <c r="N279" s="27"/>
      <c r="O279" s="60"/>
    </row>
    <row r="280" spans="1:15" ht="15" customHeight="1" x14ac:dyDescent="0.25">
      <c r="A280" s="69">
        <v>46214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ca="1">IFERROR(IF(K280="","",IF(L280="",MOD(NOW()-K280,1),IF(L280&gt;=K280,L280-K280,L280+1-K280))),"")</f>
        <v/>
      </c>
      <c r="N280" s="27"/>
      <c r="O280" s="60"/>
    </row>
    <row r="281" spans="1:15" ht="15" customHeight="1" x14ac:dyDescent="0.25">
      <c r="A281" s="70">
        <v>46214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ca="1">IFERROR(IF(K281="","",IF(L281="",MOD(NOW()-K281,1),IF(L281&gt;=K281,L281-K281,L281+1-K281))),"")</f>
        <v/>
      </c>
      <c r="N281" s="27"/>
      <c r="O281" s="60"/>
    </row>
    <row r="282" spans="1:15" ht="15" customHeight="1" x14ac:dyDescent="0.25">
      <c r="A282" s="69">
        <v>46214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ca="1">IFERROR(IF(K282="","",IF(L282="",MOD(NOW()-K282,1),IF(L282&gt;=K282,L282-K282,L282+1-K282))),"")</f>
        <v/>
      </c>
      <c r="N282" s="27"/>
      <c r="O282" s="60"/>
    </row>
    <row r="283" spans="1:15" ht="15" customHeight="1" x14ac:dyDescent="0.25">
      <c r="A283" s="70">
        <v>46214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ca="1">IFERROR(IF(K283="","",IF(L283="",MOD(NOW()-K283,1),IF(L283&gt;=K283,L283-K283,L283+1-K283))),"")</f>
        <v/>
      </c>
      <c r="N283" s="27"/>
      <c r="O283" s="60"/>
    </row>
    <row r="284" spans="1:15" ht="15.75" customHeight="1" x14ac:dyDescent="0.25">
      <c r="A284" s="79" t="s">
        <v>190</v>
      </c>
      <c r="B284" s="80"/>
      <c r="C284" s="80"/>
      <c r="D284" s="80"/>
      <c r="E284" s="81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61"/>
      <c r="L284" s="61"/>
      <c r="M284" s="38">
        <f ca="1">IFERROR(SUM(M272:M283),"")</f>
        <v>0</v>
      </c>
      <c r="N284" s="36" t="s">
        <v>191</v>
      </c>
      <c r="O284" s="39"/>
    </row>
    <row r="285" spans="1:15" ht="15" customHeight="1" x14ac:dyDescent="0.25">
      <c r="A285" s="70">
        <v>46214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19",F285*5,"")))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27"/>
      <c r="O285" s="60"/>
    </row>
    <row r="286" spans="1:15" ht="15" customHeight="1" x14ac:dyDescent="0.25">
      <c r="A286" s="69">
        <v>46214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64" t="str">
        <f t="shared" ca="1" si="64"/>
        <v/>
      </c>
      <c r="N286" s="27"/>
      <c r="O286" s="60"/>
    </row>
    <row r="287" spans="1:15" ht="15" customHeight="1" x14ac:dyDescent="0.25">
      <c r="A287" s="70">
        <v>46214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64" t="str">
        <f t="shared" ca="1" si="64"/>
        <v/>
      </c>
      <c r="N287" s="27"/>
      <c r="O287" s="60"/>
    </row>
    <row r="288" spans="1:15" ht="15" customHeight="1" x14ac:dyDescent="0.25">
      <c r="A288" s="69">
        <v>46214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64" t="str">
        <f t="shared" ca="1" si="64"/>
        <v/>
      </c>
      <c r="N288" s="27"/>
      <c r="O288" s="60"/>
    </row>
    <row r="289" spans="1:15" ht="15" customHeight="1" x14ac:dyDescent="0.25">
      <c r="A289" s="70">
        <v>46214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27"/>
      <c r="O289" s="60"/>
    </row>
    <row r="290" spans="1:15" ht="15" customHeight="1" x14ac:dyDescent="0.25">
      <c r="A290" s="69">
        <v>46214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64" t="str">
        <f t="shared" ca="1" si="64"/>
        <v/>
      </c>
      <c r="N290" s="27"/>
      <c r="O290" s="60"/>
    </row>
    <row r="291" spans="1:15" ht="15" customHeight="1" x14ac:dyDescent="0.25">
      <c r="A291" s="70">
        <v>46214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27"/>
      <c r="O291" s="60"/>
    </row>
    <row r="292" spans="1:15" ht="15" customHeight="1" x14ac:dyDescent="0.25">
      <c r="A292" s="69">
        <v>46214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64" t="str">
        <f t="shared" ca="1" si="64"/>
        <v/>
      </c>
      <c r="N292" s="27"/>
      <c r="O292" s="60"/>
    </row>
    <row r="293" spans="1:15" ht="15" customHeight="1" x14ac:dyDescent="0.25">
      <c r="A293" s="70">
        <v>46214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60"/>
    </row>
    <row r="294" spans="1:15" ht="15" customHeight="1" x14ac:dyDescent="0.25">
      <c r="A294" s="69">
        <v>46214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64" t="str">
        <f t="shared" ca="1" si="64"/>
        <v/>
      </c>
      <c r="N294" s="27"/>
      <c r="O294" s="60"/>
    </row>
    <row r="295" spans="1:15" ht="15" customHeight="1" x14ac:dyDescent="0.25">
      <c r="A295" s="70">
        <v>46214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60"/>
    </row>
    <row r="296" spans="1:15" ht="15" customHeight="1" x14ac:dyDescent="0.25">
      <c r="A296" s="69">
        <v>46214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60"/>
    </row>
    <row r="297" spans="1:15" ht="15.75" customHeight="1" x14ac:dyDescent="0.25">
      <c r="A297" s="79" t="s">
        <v>192</v>
      </c>
      <c r="B297" s="80"/>
      <c r="C297" s="80"/>
      <c r="D297" s="80"/>
      <c r="E297" s="81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61"/>
      <c r="L297" s="61"/>
      <c r="M297" s="38">
        <f ca="1">IFERROR(SUM(M285:M296),"")</f>
        <v>0</v>
      </c>
      <c r="N297" s="36" t="s">
        <v>191</v>
      </c>
      <c r="O297" s="39"/>
    </row>
    <row r="298" spans="1:15" ht="18" customHeight="1" x14ac:dyDescent="0.25">
      <c r="A298" s="82" t="s">
        <v>193</v>
      </c>
      <c r="B298" s="83"/>
      <c r="C298" s="83"/>
      <c r="D298" s="83"/>
      <c r="E298" s="84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63"/>
      <c r="L298" s="63"/>
      <c r="M298" s="42">
        <f ca="1">IFERROR(M284+M297,"")</f>
        <v>0</v>
      </c>
      <c r="N298" s="40" t="s">
        <v>194</v>
      </c>
      <c r="O298" s="48">
        <f>IFERROR(O284+O297,"")</f>
        <v>0</v>
      </c>
    </row>
    <row r="299" spans="1:15" ht="15" customHeight="1" x14ac:dyDescent="0.25">
      <c r="A299" s="70">
        <v>46215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19",F299*5,"")))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27"/>
      <c r="O299" s="60"/>
    </row>
    <row r="300" spans="1:15" ht="15" customHeight="1" x14ac:dyDescent="0.25">
      <c r="A300" s="69">
        <v>46215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27"/>
      <c r="O300" s="60"/>
    </row>
    <row r="301" spans="1:15" ht="15" customHeight="1" x14ac:dyDescent="0.25">
      <c r="A301" s="70">
        <v>46215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65"/>
      <c r="L301" s="29"/>
      <c r="M301" s="35" t="str">
        <f t="shared" ca="1" si="67"/>
        <v/>
      </c>
      <c r="N301" s="27"/>
      <c r="O301" s="60"/>
    </row>
    <row r="302" spans="1:15" ht="15" customHeight="1" x14ac:dyDescent="0.25">
      <c r="A302" s="69">
        <v>46215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27"/>
      <c r="O302" s="60"/>
    </row>
    <row r="303" spans="1:15" ht="15" customHeight="1" x14ac:dyDescent="0.25">
      <c r="A303" s="70">
        <v>46215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27"/>
      <c r="O303" s="60"/>
    </row>
    <row r="304" spans="1:15" ht="15" customHeight="1" x14ac:dyDescent="0.25">
      <c r="A304" s="69">
        <v>46215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60"/>
    </row>
    <row r="305" spans="1:15" ht="15" customHeight="1" x14ac:dyDescent="0.25">
      <c r="A305" s="70">
        <v>46215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60"/>
    </row>
    <row r="306" spans="1:15" ht="15" customHeight="1" x14ac:dyDescent="0.25">
      <c r="A306" s="69">
        <v>46215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60"/>
    </row>
    <row r="307" spans="1:15" ht="15" customHeight="1" x14ac:dyDescent="0.25">
      <c r="A307" s="70">
        <v>46215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60"/>
    </row>
    <row r="308" spans="1:15" ht="15" customHeight="1" x14ac:dyDescent="0.25">
      <c r="A308" s="69">
        <v>46215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60"/>
    </row>
    <row r="309" spans="1:15" ht="15" customHeight="1" x14ac:dyDescent="0.25">
      <c r="A309" s="70">
        <v>46215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60"/>
    </row>
    <row r="310" spans="1:15" ht="15" customHeight="1" x14ac:dyDescent="0.25">
      <c r="A310" s="69">
        <v>46215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60"/>
    </row>
    <row r="311" spans="1:15" ht="15.75" customHeight="1" x14ac:dyDescent="0.25">
      <c r="A311" s="79" t="s">
        <v>190</v>
      </c>
      <c r="B311" s="80"/>
      <c r="C311" s="80"/>
      <c r="D311" s="80"/>
      <c r="E311" s="81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61"/>
      <c r="L311" s="61"/>
      <c r="M311" s="38">
        <f ca="1">IFERROR(SUM(M299:M310),"")</f>
        <v>0</v>
      </c>
      <c r="N311" s="36" t="s">
        <v>191</v>
      </c>
      <c r="O311" s="39"/>
    </row>
    <row r="312" spans="1:15" ht="15" customHeight="1" x14ac:dyDescent="0.25">
      <c r="A312" s="69">
        <v>46215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19",F312*5,"")))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27"/>
      <c r="O312" s="60"/>
    </row>
    <row r="313" spans="1:15" ht="15" customHeight="1" x14ac:dyDescent="0.25">
      <c r="A313" s="70">
        <v>46215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27"/>
      <c r="O313" s="60"/>
    </row>
    <row r="314" spans="1:15" ht="15" customHeight="1" x14ac:dyDescent="0.25">
      <c r="A314" s="69">
        <v>46215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27"/>
      <c r="O314" s="60"/>
    </row>
    <row r="315" spans="1:15" ht="15" customHeight="1" x14ac:dyDescent="0.25">
      <c r="A315" s="70">
        <v>46215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27"/>
      <c r="O315" s="60"/>
    </row>
    <row r="316" spans="1:15" ht="15" customHeight="1" x14ac:dyDescent="0.25">
      <c r="A316" s="69">
        <v>46215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27"/>
      <c r="O316" s="60"/>
    </row>
    <row r="317" spans="1:15" ht="15" customHeight="1" x14ac:dyDescent="0.25">
      <c r="A317" s="70">
        <v>46215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27"/>
      <c r="O317" s="60"/>
    </row>
    <row r="318" spans="1:15" ht="15" customHeight="1" x14ac:dyDescent="0.25">
      <c r="A318" s="69">
        <v>46215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27"/>
      <c r="O318" s="60"/>
    </row>
    <row r="319" spans="1:15" ht="15" customHeight="1" x14ac:dyDescent="0.25">
      <c r="A319" s="70">
        <v>46215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27"/>
      <c r="O319" s="60"/>
    </row>
    <row r="320" spans="1:15" ht="15" customHeight="1" x14ac:dyDescent="0.25">
      <c r="A320" s="69">
        <v>46215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27"/>
      <c r="O320" s="60"/>
    </row>
    <row r="321" spans="1:15" ht="15" customHeight="1" x14ac:dyDescent="0.25">
      <c r="A321" s="70">
        <v>46215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60"/>
    </row>
    <row r="322" spans="1:15" ht="15" customHeight="1" x14ac:dyDescent="0.25">
      <c r="A322" s="69">
        <v>46215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60"/>
    </row>
    <row r="323" spans="1:15" ht="15" customHeight="1" x14ac:dyDescent="0.25">
      <c r="A323" s="70">
        <v>46215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60"/>
    </row>
    <row r="324" spans="1:15" ht="15.75" customHeight="1" x14ac:dyDescent="0.25">
      <c r="A324" s="79" t="s">
        <v>192</v>
      </c>
      <c r="B324" s="80"/>
      <c r="C324" s="80"/>
      <c r="D324" s="80"/>
      <c r="E324" s="81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61"/>
      <c r="L324" s="61"/>
      <c r="M324" s="38">
        <f ca="1">IFERROR(SUM(M312:M323),"")</f>
        <v>0</v>
      </c>
      <c r="N324" s="36" t="s">
        <v>191</v>
      </c>
      <c r="O324" s="39"/>
    </row>
    <row r="325" spans="1:15" ht="18" customHeight="1" x14ac:dyDescent="0.25">
      <c r="A325" s="82" t="s">
        <v>193</v>
      </c>
      <c r="B325" s="83"/>
      <c r="C325" s="83"/>
      <c r="D325" s="83"/>
      <c r="E325" s="84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63"/>
      <c r="L325" s="63"/>
      <c r="M325" s="42">
        <f ca="1">IFERROR(M311+M324,"")</f>
        <v>0</v>
      </c>
      <c r="N325" s="40" t="s">
        <v>194</v>
      </c>
      <c r="O325" s="48">
        <f>IFERROR(O311+O324,"")</f>
        <v>0</v>
      </c>
    </row>
    <row r="326" spans="1:15" ht="15" customHeight="1" x14ac:dyDescent="0.25">
      <c r="A326" s="69">
        <v>46216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19",F326*5,"")))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27"/>
      <c r="O326" s="60"/>
    </row>
    <row r="327" spans="1:15" ht="15" customHeight="1" x14ac:dyDescent="0.25">
      <c r="A327" s="70">
        <v>46216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27"/>
      <c r="O327" s="60"/>
    </row>
    <row r="328" spans="1:15" ht="15" customHeight="1" x14ac:dyDescent="0.25">
      <c r="A328" s="69">
        <v>46216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27"/>
      <c r="O328" s="60"/>
    </row>
    <row r="329" spans="1:15" ht="15" customHeight="1" x14ac:dyDescent="0.25">
      <c r="A329" s="70">
        <v>46216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27"/>
      <c r="O329" s="60"/>
    </row>
    <row r="330" spans="1:15" ht="15" customHeight="1" x14ac:dyDescent="0.25">
      <c r="A330" s="69">
        <v>46216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27"/>
      <c r="O330" s="60"/>
    </row>
    <row r="331" spans="1:15" ht="15" customHeight="1" x14ac:dyDescent="0.25">
      <c r="A331" s="70">
        <v>46216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27"/>
      <c r="O331" s="60"/>
    </row>
    <row r="332" spans="1:15" ht="15" customHeight="1" x14ac:dyDescent="0.25">
      <c r="A332" s="69">
        <v>46216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27"/>
      <c r="O332" s="60"/>
    </row>
    <row r="333" spans="1:15" ht="15" customHeight="1" x14ac:dyDescent="0.25">
      <c r="A333" s="70">
        <v>46216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27"/>
      <c r="O333" s="60"/>
    </row>
    <row r="334" spans="1:15" ht="15" customHeight="1" x14ac:dyDescent="0.25">
      <c r="A334" s="69">
        <v>46216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27"/>
      <c r="O334" s="60"/>
    </row>
    <row r="335" spans="1:15" ht="15" customHeight="1" x14ac:dyDescent="0.25">
      <c r="A335" s="70">
        <v>46216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27"/>
      <c r="O335" s="60"/>
    </row>
    <row r="336" spans="1:15" ht="15" customHeight="1" x14ac:dyDescent="0.25">
      <c r="A336" s="69">
        <v>46216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27"/>
      <c r="O336" s="60"/>
    </row>
    <row r="337" spans="1:15" ht="15" customHeight="1" x14ac:dyDescent="0.25">
      <c r="A337" s="70">
        <v>46216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27"/>
      <c r="O337" s="60"/>
    </row>
    <row r="338" spans="1:15" ht="15.75" customHeight="1" x14ac:dyDescent="0.25">
      <c r="A338" s="79" t="s">
        <v>190</v>
      </c>
      <c r="B338" s="80"/>
      <c r="C338" s="80"/>
      <c r="D338" s="80"/>
      <c r="E338" s="81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61"/>
      <c r="L338" s="61"/>
      <c r="M338" s="38">
        <f ca="1">IFERROR(SUM(M326:M337),"")</f>
        <v>0</v>
      </c>
      <c r="N338" s="36" t="s">
        <v>191</v>
      </c>
      <c r="O338" s="39"/>
    </row>
    <row r="339" spans="1:15" ht="15" customHeight="1" x14ac:dyDescent="0.25">
      <c r="A339" s="70">
        <v>46216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19",F339*5,"")))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27"/>
      <c r="O339" s="60"/>
    </row>
    <row r="340" spans="1:15" ht="15" customHeight="1" x14ac:dyDescent="0.25">
      <c r="A340" s="69">
        <v>46216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27"/>
      <c r="O340" s="60"/>
    </row>
    <row r="341" spans="1:15" ht="15" customHeight="1" x14ac:dyDescent="0.25">
      <c r="A341" s="70">
        <v>46216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27"/>
      <c r="O341" s="60"/>
    </row>
    <row r="342" spans="1:15" ht="15" customHeight="1" x14ac:dyDescent="0.25">
      <c r="A342" s="69">
        <v>46216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27"/>
      <c r="O342" s="60"/>
    </row>
    <row r="343" spans="1:15" ht="15" customHeight="1" x14ac:dyDescent="0.25">
      <c r="A343" s="70">
        <v>46216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27"/>
      <c r="O343" s="60"/>
    </row>
    <row r="344" spans="1:15" ht="15" customHeight="1" x14ac:dyDescent="0.25">
      <c r="A344" s="69">
        <v>46216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27"/>
      <c r="O344" s="60"/>
    </row>
    <row r="345" spans="1:15" ht="15" customHeight="1" x14ac:dyDescent="0.25">
      <c r="A345" s="70">
        <v>46216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27"/>
      <c r="O345" s="60"/>
    </row>
    <row r="346" spans="1:15" ht="15" customHeight="1" x14ac:dyDescent="0.25">
      <c r="A346" s="69">
        <v>46216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27"/>
      <c r="O346" s="60"/>
    </row>
    <row r="347" spans="1:15" ht="15" customHeight="1" x14ac:dyDescent="0.25">
      <c r="A347" s="70">
        <v>46216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27"/>
      <c r="O347" s="60"/>
    </row>
    <row r="348" spans="1:15" ht="15" customHeight="1" x14ac:dyDescent="0.25">
      <c r="A348" s="69">
        <v>46216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60"/>
    </row>
    <row r="349" spans="1:15" ht="15" customHeight="1" x14ac:dyDescent="0.25">
      <c r="A349" s="70">
        <v>46216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60"/>
    </row>
    <row r="350" spans="1:15" ht="15" customHeight="1" x14ac:dyDescent="0.25">
      <c r="A350" s="69">
        <v>46216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60"/>
    </row>
    <row r="351" spans="1:15" ht="15.75" customHeight="1" x14ac:dyDescent="0.25">
      <c r="A351" s="79" t="s">
        <v>192</v>
      </c>
      <c r="B351" s="80"/>
      <c r="C351" s="80"/>
      <c r="D351" s="80"/>
      <c r="E351" s="81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61"/>
      <c r="L351" s="61"/>
      <c r="M351" s="38">
        <f ca="1">IFERROR(SUM(M339:M350),"")</f>
        <v>0</v>
      </c>
      <c r="N351" s="36" t="s">
        <v>191</v>
      </c>
      <c r="O351" s="39"/>
    </row>
    <row r="352" spans="1:15" ht="18" customHeight="1" x14ac:dyDescent="0.25">
      <c r="A352" s="82" t="s">
        <v>193</v>
      </c>
      <c r="B352" s="83"/>
      <c r="C352" s="83"/>
      <c r="D352" s="83"/>
      <c r="E352" s="84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63"/>
      <c r="L352" s="63"/>
      <c r="M352" s="42">
        <f ca="1">IFERROR(M338+M351,"")</f>
        <v>0</v>
      </c>
      <c r="N352" s="40" t="s">
        <v>194</v>
      </c>
      <c r="O352" s="48">
        <f>IFERROR(O338+O351,"")</f>
        <v>0</v>
      </c>
    </row>
    <row r="353" spans="1:15" ht="15" customHeight="1" x14ac:dyDescent="0.25">
      <c r="A353" s="70">
        <v>46217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19",F353*5,"")))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27"/>
      <c r="O353" s="60"/>
    </row>
    <row r="354" spans="1:15" ht="15" customHeight="1" x14ac:dyDescent="0.25">
      <c r="A354" s="69">
        <v>46217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27"/>
      <c r="O354" s="60"/>
    </row>
    <row r="355" spans="1:15" ht="15" customHeight="1" x14ac:dyDescent="0.25">
      <c r="A355" s="70">
        <v>46217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60"/>
    </row>
    <row r="356" spans="1:15" ht="15" customHeight="1" x14ac:dyDescent="0.25">
      <c r="A356" s="69">
        <v>46217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27"/>
      <c r="O356" s="60"/>
    </row>
    <row r="357" spans="1:15" ht="15" customHeight="1" x14ac:dyDescent="0.25">
      <c r="A357" s="70">
        <v>46217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27"/>
      <c r="O357" s="60"/>
    </row>
    <row r="358" spans="1:15" ht="15" customHeight="1" x14ac:dyDescent="0.25">
      <c r="A358" s="69">
        <v>46217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27"/>
      <c r="O358" s="60"/>
    </row>
    <row r="359" spans="1:15" ht="15" customHeight="1" x14ac:dyDescent="0.25">
      <c r="A359" s="70">
        <v>46217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60"/>
    </row>
    <row r="360" spans="1:15" ht="15" customHeight="1" x14ac:dyDescent="0.25">
      <c r="A360" s="69">
        <v>46217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60"/>
    </row>
    <row r="361" spans="1:15" ht="15" customHeight="1" x14ac:dyDescent="0.25">
      <c r="A361" s="70">
        <v>46217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60"/>
    </row>
    <row r="362" spans="1:15" ht="15" customHeight="1" x14ac:dyDescent="0.25">
      <c r="A362" s="69">
        <v>46217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60"/>
    </row>
    <row r="363" spans="1:15" ht="15" customHeight="1" x14ac:dyDescent="0.25">
      <c r="A363" s="70">
        <v>46217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60"/>
    </row>
    <row r="364" spans="1:15" ht="15" customHeight="1" x14ac:dyDescent="0.25">
      <c r="A364" s="69">
        <v>46217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60"/>
    </row>
    <row r="365" spans="1:15" ht="15.75" customHeight="1" x14ac:dyDescent="0.25">
      <c r="A365" s="79" t="s">
        <v>190</v>
      </c>
      <c r="B365" s="80"/>
      <c r="C365" s="80"/>
      <c r="D365" s="80"/>
      <c r="E365" s="81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61"/>
      <c r="L365" s="61"/>
      <c r="M365" s="38">
        <f ca="1">IFERROR(SUM(M353:M364),"")</f>
        <v>0</v>
      </c>
      <c r="N365" s="36" t="s">
        <v>191</v>
      </c>
      <c r="O365" s="39"/>
    </row>
    <row r="366" spans="1:15" ht="15" customHeight="1" x14ac:dyDescent="0.25">
      <c r="A366" s="69">
        <v>46217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19",F366*5,"")))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27"/>
      <c r="O366" s="60"/>
    </row>
    <row r="367" spans="1:15" ht="15" customHeight="1" x14ac:dyDescent="0.25">
      <c r="A367" s="70">
        <v>46217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27"/>
      <c r="O367" s="60"/>
    </row>
    <row r="368" spans="1:15" ht="15" customHeight="1" x14ac:dyDescent="0.25">
      <c r="A368" s="69">
        <v>46217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27"/>
      <c r="O368" s="60"/>
    </row>
    <row r="369" spans="1:15" ht="15" customHeight="1" x14ac:dyDescent="0.25">
      <c r="A369" s="70">
        <v>46217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27"/>
      <c r="O369" s="60"/>
    </row>
    <row r="370" spans="1:15" ht="15" customHeight="1" x14ac:dyDescent="0.25">
      <c r="A370" s="69">
        <v>46217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27"/>
      <c r="O370" s="60"/>
    </row>
    <row r="371" spans="1:15" ht="15" customHeight="1" x14ac:dyDescent="0.25">
      <c r="A371" s="70">
        <v>46217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27"/>
      <c r="O371" s="60"/>
    </row>
    <row r="372" spans="1:15" ht="15" customHeight="1" x14ac:dyDescent="0.25">
      <c r="A372" s="69">
        <v>46217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27"/>
      <c r="O372" s="60"/>
    </row>
    <row r="373" spans="1:15" ht="15" customHeight="1" x14ac:dyDescent="0.25">
      <c r="A373" s="70">
        <v>46217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27"/>
      <c r="O373" s="60"/>
    </row>
    <row r="374" spans="1:15" ht="15" customHeight="1" x14ac:dyDescent="0.25">
      <c r="A374" s="69">
        <v>46217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27"/>
      <c r="O374" s="60"/>
    </row>
    <row r="375" spans="1:15" ht="15" customHeight="1" x14ac:dyDescent="0.25">
      <c r="A375" s="70">
        <v>46217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27"/>
      <c r="O375" s="60"/>
    </row>
    <row r="376" spans="1:15" ht="15" customHeight="1" x14ac:dyDescent="0.25">
      <c r="A376" s="69">
        <v>46217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27"/>
      <c r="O376" s="60"/>
    </row>
    <row r="377" spans="1:15" ht="15" customHeight="1" x14ac:dyDescent="0.25">
      <c r="A377" s="70">
        <v>46217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27"/>
      <c r="O377" s="60"/>
    </row>
    <row r="378" spans="1:15" ht="15.75" customHeight="1" x14ac:dyDescent="0.25">
      <c r="A378" s="79" t="s">
        <v>192</v>
      </c>
      <c r="B378" s="80"/>
      <c r="C378" s="80"/>
      <c r="D378" s="80"/>
      <c r="E378" s="81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61"/>
      <c r="L378" s="61"/>
      <c r="M378" s="38">
        <f ca="1">IFERROR(SUM(M366:M377),"")</f>
        <v>0</v>
      </c>
      <c r="N378" s="36" t="s">
        <v>191</v>
      </c>
      <c r="O378" s="39"/>
    </row>
    <row r="379" spans="1:15" ht="18" customHeight="1" x14ac:dyDescent="0.25">
      <c r="A379" s="82" t="s">
        <v>193</v>
      </c>
      <c r="B379" s="83"/>
      <c r="C379" s="83"/>
      <c r="D379" s="83"/>
      <c r="E379" s="84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63"/>
      <c r="L379" s="63"/>
      <c r="M379" s="42">
        <f ca="1">IFERROR(M365+M378,"")</f>
        <v>0</v>
      </c>
      <c r="N379" s="40" t="s">
        <v>194</v>
      </c>
      <c r="O379" s="48">
        <f>IFERROR(O365+O378,"")</f>
        <v>0</v>
      </c>
    </row>
    <row r="380" spans="1:15" ht="15" customHeight="1" x14ac:dyDescent="0.25">
      <c r="A380" s="69">
        <v>46218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19",F380*5,"")))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27"/>
      <c r="O380" s="60"/>
    </row>
    <row r="381" spans="1:15" ht="15" customHeight="1" x14ac:dyDescent="0.25">
      <c r="A381" s="70">
        <v>46218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27"/>
      <c r="O381" s="60"/>
    </row>
    <row r="382" spans="1:15" ht="15" customHeight="1" x14ac:dyDescent="0.25">
      <c r="A382" s="69">
        <v>46218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27"/>
      <c r="O382" s="60"/>
    </row>
    <row r="383" spans="1:15" ht="15" customHeight="1" x14ac:dyDescent="0.25">
      <c r="A383" s="70">
        <v>46218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27"/>
      <c r="O383" s="60"/>
    </row>
    <row r="384" spans="1:15" ht="15" customHeight="1" x14ac:dyDescent="0.25">
      <c r="A384" s="69">
        <v>46218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60"/>
    </row>
    <row r="385" spans="1:15" ht="15" customHeight="1" x14ac:dyDescent="0.25">
      <c r="A385" s="70">
        <v>46218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60"/>
    </row>
    <row r="386" spans="1:15" ht="15" customHeight="1" x14ac:dyDescent="0.25">
      <c r="A386" s="69">
        <v>46218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60"/>
    </row>
    <row r="387" spans="1:15" ht="15" customHeight="1" x14ac:dyDescent="0.25">
      <c r="A387" s="70">
        <v>46218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60"/>
    </row>
    <row r="388" spans="1:15" ht="15" customHeight="1" x14ac:dyDescent="0.25">
      <c r="A388" s="69">
        <v>46218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60"/>
    </row>
    <row r="389" spans="1:15" ht="15" customHeight="1" x14ac:dyDescent="0.25">
      <c r="A389" s="70">
        <v>46218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60"/>
    </row>
    <row r="390" spans="1:15" ht="15" customHeight="1" x14ac:dyDescent="0.25">
      <c r="A390" s="69">
        <v>46218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60"/>
    </row>
    <row r="391" spans="1:15" ht="15" customHeight="1" x14ac:dyDescent="0.25">
      <c r="A391" s="70">
        <v>46218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60"/>
    </row>
    <row r="392" spans="1:15" ht="15.75" customHeight="1" x14ac:dyDescent="0.25">
      <c r="A392" s="79" t="s">
        <v>190</v>
      </c>
      <c r="B392" s="80"/>
      <c r="C392" s="80"/>
      <c r="D392" s="80"/>
      <c r="E392" s="81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61"/>
      <c r="L392" s="61"/>
      <c r="M392" s="38">
        <f ca="1">IFERROR(SUM(M380:M391),"")</f>
        <v>0</v>
      </c>
      <c r="N392" s="36" t="s">
        <v>191</v>
      </c>
      <c r="O392" s="39"/>
    </row>
    <row r="393" spans="1:15" ht="15" customHeight="1" x14ac:dyDescent="0.25">
      <c r="A393" s="70">
        <v>46218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19",F393*5,"")))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27"/>
      <c r="O393" s="60"/>
    </row>
    <row r="394" spans="1:15" ht="15" customHeight="1" x14ac:dyDescent="0.25">
      <c r="A394" s="69">
        <v>46218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27"/>
      <c r="O394" s="60"/>
    </row>
    <row r="395" spans="1:15" ht="15" customHeight="1" x14ac:dyDescent="0.25">
      <c r="A395" s="70">
        <v>46218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29"/>
      <c r="O395" s="60"/>
    </row>
    <row r="396" spans="1:15" ht="15" customHeight="1" x14ac:dyDescent="0.25">
      <c r="A396" s="69">
        <v>46218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60"/>
    </row>
    <row r="397" spans="1:15" ht="15" customHeight="1" x14ac:dyDescent="0.25">
      <c r="A397" s="70">
        <v>46218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60"/>
    </row>
    <row r="398" spans="1:15" ht="15" customHeight="1" x14ac:dyDescent="0.25">
      <c r="A398" s="69">
        <v>46218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60"/>
    </row>
    <row r="399" spans="1:15" ht="15" customHeight="1" x14ac:dyDescent="0.25">
      <c r="A399" s="70">
        <v>46218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60"/>
    </row>
    <row r="400" spans="1:15" ht="15" customHeight="1" x14ac:dyDescent="0.25">
      <c r="A400" s="69">
        <v>46218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60"/>
    </row>
    <row r="401" spans="1:15" ht="15" customHeight="1" x14ac:dyDescent="0.25">
      <c r="A401" s="70">
        <v>46218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60"/>
    </row>
    <row r="402" spans="1:15" ht="15" customHeight="1" x14ac:dyDescent="0.25">
      <c r="A402" s="69">
        <v>46218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60"/>
    </row>
    <row r="403" spans="1:15" ht="15" customHeight="1" x14ac:dyDescent="0.25">
      <c r="A403" s="70">
        <v>46218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60"/>
    </row>
    <row r="404" spans="1:15" ht="15" customHeight="1" x14ac:dyDescent="0.25">
      <c r="A404" s="69">
        <v>46218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60"/>
    </row>
    <row r="405" spans="1:15" ht="15.75" customHeight="1" x14ac:dyDescent="0.25">
      <c r="A405" s="79" t="s">
        <v>192</v>
      </c>
      <c r="B405" s="80"/>
      <c r="C405" s="80"/>
      <c r="D405" s="80"/>
      <c r="E405" s="81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61"/>
      <c r="L405" s="61"/>
      <c r="M405" s="38">
        <f ca="1">IFERROR(SUM(M393:M404),"")</f>
        <v>0</v>
      </c>
      <c r="N405" s="36" t="s">
        <v>191</v>
      </c>
      <c r="O405" s="39"/>
    </row>
    <row r="406" spans="1:15" ht="18" customHeight="1" x14ac:dyDescent="0.25">
      <c r="A406" s="82" t="s">
        <v>193</v>
      </c>
      <c r="B406" s="83"/>
      <c r="C406" s="83"/>
      <c r="D406" s="83"/>
      <c r="E406" s="84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63"/>
      <c r="L406" s="63"/>
      <c r="M406" s="42">
        <f ca="1">IFERROR(M392+M405,"")</f>
        <v>0</v>
      </c>
      <c r="N406" s="40" t="s">
        <v>194</v>
      </c>
      <c r="O406" s="48">
        <f>IFERROR(O392+O405,"")</f>
        <v>0</v>
      </c>
    </row>
    <row r="407" spans="1:15" ht="15" customHeight="1" x14ac:dyDescent="0.25">
      <c r="A407" s="70">
        <v>46219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19",F407*5,"")))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27"/>
      <c r="O407" s="60"/>
    </row>
    <row r="408" spans="1:15" ht="15" customHeight="1" x14ac:dyDescent="0.25">
      <c r="A408" s="69">
        <v>46219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27"/>
      <c r="O408" s="60"/>
    </row>
    <row r="409" spans="1:15" ht="15" customHeight="1" x14ac:dyDescent="0.25">
      <c r="A409" s="70">
        <v>46219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27"/>
      <c r="O409" s="60"/>
    </row>
    <row r="410" spans="1:15" ht="15" customHeight="1" x14ac:dyDescent="0.25">
      <c r="A410" s="69">
        <v>46219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27"/>
      <c r="O410" s="60"/>
    </row>
    <row r="411" spans="1:15" ht="15" customHeight="1" x14ac:dyDescent="0.25">
      <c r="A411" s="70">
        <v>46219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60"/>
    </row>
    <row r="412" spans="1:15" ht="15" customHeight="1" x14ac:dyDescent="0.25">
      <c r="A412" s="69">
        <v>46219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60"/>
    </row>
    <row r="413" spans="1:15" ht="15" customHeight="1" x14ac:dyDescent="0.25">
      <c r="A413" s="70">
        <v>46219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60"/>
    </row>
    <row r="414" spans="1:15" ht="15" customHeight="1" x14ac:dyDescent="0.25">
      <c r="A414" s="69">
        <v>46219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60"/>
    </row>
    <row r="415" spans="1:15" ht="15" customHeight="1" x14ac:dyDescent="0.25">
      <c r="A415" s="70">
        <v>46219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60"/>
    </row>
    <row r="416" spans="1:15" ht="15" customHeight="1" x14ac:dyDescent="0.25">
      <c r="A416" s="69">
        <v>46219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60"/>
    </row>
    <row r="417" spans="1:15" ht="15" customHeight="1" x14ac:dyDescent="0.25">
      <c r="A417" s="70">
        <v>46219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60"/>
    </row>
    <row r="418" spans="1:15" ht="15" customHeight="1" x14ac:dyDescent="0.25">
      <c r="A418" s="69">
        <v>46219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27"/>
      <c r="O418" s="60"/>
    </row>
    <row r="419" spans="1:15" ht="15.75" customHeight="1" x14ac:dyDescent="0.25">
      <c r="A419" s="79" t="s">
        <v>190</v>
      </c>
      <c r="B419" s="80"/>
      <c r="C419" s="80"/>
      <c r="D419" s="80"/>
      <c r="E419" s="81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61"/>
      <c r="L419" s="61"/>
      <c r="M419" s="38">
        <f ca="1">IFERROR(SUM(M407:M418),"")</f>
        <v>0</v>
      </c>
      <c r="N419" s="36" t="s">
        <v>191</v>
      </c>
      <c r="O419" s="39"/>
    </row>
    <row r="420" spans="1:15" ht="15" customHeight="1" x14ac:dyDescent="0.25">
      <c r="A420" s="69">
        <v>46219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19",F420*5,"")))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27"/>
      <c r="O420" s="60"/>
    </row>
    <row r="421" spans="1:15" ht="15" customHeight="1" x14ac:dyDescent="0.25">
      <c r="A421" s="70">
        <v>46219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27"/>
      <c r="O421" s="60"/>
    </row>
    <row r="422" spans="1:15" ht="15" customHeight="1" x14ac:dyDescent="0.25">
      <c r="A422" s="69">
        <v>46219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27"/>
      <c r="O422" s="60"/>
    </row>
    <row r="423" spans="1:15" ht="15" customHeight="1" x14ac:dyDescent="0.25">
      <c r="A423" s="70">
        <v>46219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60"/>
    </row>
    <row r="424" spans="1:15" ht="15" customHeight="1" x14ac:dyDescent="0.25">
      <c r="A424" s="69">
        <v>46219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60"/>
    </row>
    <row r="425" spans="1:15" ht="15" customHeight="1" x14ac:dyDescent="0.25">
      <c r="A425" s="70">
        <v>46219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60"/>
    </row>
    <row r="426" spans="1:15" ht="15" customHeight="1" x14ac:dyDescent="0.25">
      <c r="A426" s="69">
        <v>46219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60"/>
    </row>
    <row r="427" spans="1:15" ht="15" customHeight="1" x14ac:dyDescent="0.25">
      <c r="A427" s="70">
        <v>46219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60"/>
    </row>
    <row r="428" spans="1:15" ht="15" customHeight="1" x14ac:dyDescent="0.25">
      <c r="A428" s="69">
        <v>46219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60"/>
    </row>
    <row r="429" spans="1:15" ht="15" customHeight="1" x14ac:dyDescent="0.25">
      <c r="A429" s="70">
        <v>46219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60"/>
    </row>
    <row r="430" spans="1:15" ht="15" customHeight="1" x14ac:dyDescent="0.25">
      <c r="A430" s="69">
        <v>46219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60"/>
    </row>
    <row r="431" spans="1:15" ht="15" customHeight="1" x14ac:dyDescent="0.25">
      <c r="A431" s="70">
        <v>46219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60"/>
    </row>
    <row r="432" spans="1:15" ht="15.75" customHeight="1" x14ac:dyDescent="0.25">
      <c r="A432" s="79" t="s">
        <v>192</v>
      </c>
      <c r="B432" s="80"/>
      <c r="C432" s="80"/>
      <c r="D432" s="80"/>
      <c r="E432" s="81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61"/>
      <c r="L432" s="61"/>
      <c r="M432" s="38">
        <f ca="1">IFERROR(SUM(M420:M431),"")</f>
        <v>0</v>
      </c>
      <c r="N432" s="36" t="s">
        <v>191</v>
      </c>
      <c r="O432" s="39"/>
    </row>
    <row r="433" spans="1:17" ht="18" customHeight="1" x14ac:dyDescent="0.25">
      <c r="A433" s="82" t="s">
        <v>193</v>
      </c>
      <c r="B433" s="83"/>
      <c r="C433" s="83"/>
      <c r="D433" s="83"/>
      <c r="E433" s="84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63"/>
      <c r="L433" s="63"/>
      <c r="M433" s="42">
        <f ca="1">IFERROR(M419+M432,"")</f>
        <v>0</v>
      </c>
      <c r="N433" s="40" t="s">
        <v>194</v>
      </c>
      <c r="O433" s="48">
        <f>IFERROR(O419+O432,"")</f>
        <v>0</v>
      </c>
    </row>
    <row r="434" spans="1:17" ht="15" customHeight="1" x14ac:dyDescent="0.25">
      <c r="A434" s="69">
        <v>46220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19",F434*5,"")))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27"/>
      <c r="O434" s="60"/>
    </row>
    <row r="435" spans="1:17" ht="15" customHeight="1" x14ac:dyDescent="0.25">
      <c r="A435" s="70">
        <v>46220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60"/>
    </row>
    <row r="436" spans="1:17" ht="15" customHeight="1" x14ac:dyDescent="0.25">
      <c r="A436" s="69">
        <v>46220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60"/>
    </row>
    <row r="437" spans="1:17" ht="15" customHeight="1" x14ac:dyDescent="0.25">
      <c r="A437" s="70">
        <v>46220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60"/>
    </row>
    <row r="438" spans="1:17" ht="15" customHeight="1" x14ac:dyDescent="0.25">
      <c r="A438" s="69">
        <v>46220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60"/>
    </row>
    <row r="439" spans="1:17" ht="15" customHeight="1" x14ac:dyDescent="0.25">
      <c r="A439" s="70">
        <v>46220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27"/>
      <c r="O439" s="60"/>
    </row>
    <row r="440" spans="1:17" ht="15" customHeight="1" x14ac:dyDescent="0.25">
      <c r="A440" s="69">
        <v>46220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60"/>
    </row>
    <row r="441" spans="1:17" ht="15" customHeight="1" x14ac:dyDescent="0.25">
      <c r="A441" s="70">
        <v>46220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60"/>
    </row>
    <row r="442" spans="1:17" ht="15" customHeight="1" x14ac:dyDescent="0.25">
      <c r="A442" s="69">
        <v>46220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60"/>
    </row>
    <row r="443" spans="1:17" ht="15" customHeight="1" x14ac:dyDescent="0.25">
      <c r="A443" s="70">
        <v>46220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60"/>
    </row>
    <row r="444" spans="1:17" ht="15" customHeight="1" x14ac:dyDescent="0.25">
      <c r="A444" s="69">
        <v>46220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60"/>
    </row>
    <row r="445" spans="1:17" ht="15" customHeight="1" x14ac:dyDescent="0.25">
      <c r="A445" s="70">
        <v>46220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60"/>
    </row>
    <row r="446" spans="1:17" ht="15.75" customHeight="1" x14ac:dyDescent="0.25">
      <c r="A446" s="79" t="s">
        <v>190</v>
      </c>
      <c r="B446" s="80"/>
      <c r="C446" s="80"/>
      <c r="D446" s="80"/>
      <c r="E446" s="81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61"/>
      <c r="L446" s="61"/>
      <c r="M446" s="38">
        <f ca="1">IFERROR(SUM(M434:M445),"")</f>
        <v>0</v>
      </c>
      <c r="N446" s="36" t="s">
        <v>191</v>
      </c>
      <c r="O446" s="39"/>
    </row>
    <row r="447" spans="1:17" ht="15" customHeight="1" x14ac:dyDescent="0.25">
      <c r="A447" s="70">
        <v>46220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19",F447*5,"")))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27"/>
      <c r="O447" s="60"/>
    </row>
    <row r="448" spans="1:17" ht="15" customHeight="1" x14ac:dyDescent="0.25">
      <c r="A448" s="69">
        <v>46220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27"/>
      <c r="O448" s="60"/>
      <c r="Q448" s="66"/>
    </row>
    <row r="449" spans="1:15" ht="15" customHeight="1" x14ac:dyDescent="0.25">
      <c r="A449" s="70">
        <v>46220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27"/>
      <c r="O449" s="60"/>
    </row>
    <row r="450" spans="1:15" ht="15" customHeight="1" x14ac:dyDescent="0.25">
      <c r="A450" s="69">
        <v>46220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27"/>
      <c r="O450" s="60"/>
    </row>
    <row r="451" spans="1:15" ht="15" customHeight="1" x14ac:dyDescent="0.25">
      <c r="A451" s="70">
        <v>46220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27"/>
      <c r="O451" s="60"/>
    </row>
    <row r="452" spans="1:15" ht="15" customHeight="1" x14ac:dyDescent="0.25">
      <c r="A452" s="69">
        <v>46220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27"/>
      <c r="O452" s="60"/>
    </row>
    <row r="453" spans="1:15" ht="15" customHeight="1" x14ac:dyDescent="0.25">
      <c r="A453" s="70">
        <v>46220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60"/>
    </row>
    <row r="454" spans="1:15" ht="15" customHeight="1" x14ac:dyDescent="0.25">
      <c r="A454" s="69">
        <v>46220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60"/>
    </row>
    <row r="455" spans="1:15" ht="15" customHeight="1" x14ac:dyDescent="0.25">
      <c r="A455" s="70">
        <v>46220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60"/>
    </row>
    <row r="456" spans="1:15" ht="15" customHeight="1" x14ac:dyDescent="0.25">
      <c r="A456" s="69">
        <v>46220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60"/>
    </row>
    <row r="457" spans="1:15" ht="15" customHeight="1" x14ac:dyDescent="0.25">
      <c r="A457" s="70">
        <v>46220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60"/>
    </row>
    <row r="458" spans="1:15" ht="15" customHeight="1" x14ac:dyDescent="0.25">
      <c r="A458" s="69">
        <v>46220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60"/>
    </row>
    <row r="459" spans="1:15" ht="15.75" customHeight="1" x14ac:dyDescent="0.25">
      <c r="A459" s="79" t="s">
        <v>192</v>
      </c>
      <c r="B459" s="80"/>
      <c r="C459" s="80"/>
      <c r="D459" s="80"/>
      <c r="E459" s="81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61"/>
      <c r="L459" s="61"/>
      <c r="M459" s="38">
        <f ca="1">IFERROR(SUM(M447:M458),"")</f>
        <v>0</v>
      </c>
      <c r="N459" s="36" t="s">
        <v>191</v>
      </c>
      <c r="O459" s="39"/>
    </row>
    <row r="460" spans="1:15" ht="18" customHeight="1" x14ac:dyDescent="0.25">
      <c r="A460" s="82" t="s">
        <v>193</v>
      </c>
      <c r="B460" s="83"/>
      <c r="C460" s="83"/>
      <c r="D460" s="83"/>
      <c r="E460" s="84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63"/>
      <c r="L460" s="63"/>
      <c r="M460" s="42">
        <f ca="1">IFERROR(M446+M459,"")</f>
        <v>0</v>
      </c>
      <c r="N460" s="40" t="s">
        <v>194</v>
      </c>
      <c r="O460" s="48">
        <f>IFERROR(O446+O459,"")</f>
        <v>0</v>
      </c>
    </row>
    <row r="461" spans="1:15" ht="15" customHeight="1" x14ac:dyDescent="0.25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27"/>
      <c r="O461" s="60"/>
    </row>
    <row r="462" spans="1:15" ht="15" customHeight="1" x14ac:dyDescent="0.25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27"/>
      <c r="O462" s="60"/>
    </row>
    <row r="463" spans="1:15" ht="15" customHeight="1" x14ac:dyDescent="0.25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27"/>
      <c r="O463" s="60"/>
    </row>
    <row r="464" spans="1:15" ht="15" customHeight="1" x14ac:dyDescent="0.25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60"/>
    </row>
    <row r="465" spans="1:15" ht="15" customHeight="1" x14ac:dyDescent="0.25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60"/>
    </row>
    <row r="466" spans="1:15" ht="15" customHeight="1" x14ac:dyDescent="0.25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60"/>
    </row>
    <row r="467" spans="1:15" ht="15" customHeight="1" x14ac:dyDescent="0.25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60"/>
    </row>
    <row r="468" spans="1:15" ht="15" customHeight="1" x14ac:dyDescent="0.25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60"/>
    </row>
    <row r="469" spans="1:15" ht="15" customHeight="1" x14ac:dyDescent="0.25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60"/>
    </row>
    <row r="470" spans="1:15" ht="15" customHeight="1" x14ac:dyDescent="0.25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60"/>
    </row>
    <row r="471" spans="1:15" ht="15" customHeight="1" x14ac:dyDescent="0.25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60"/>
    </row>
    <row r="472" spans="1:15" ht="15" customHeight="1" x14ac:dyDescent="0.25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60"/>
    </row>
    <row r="473" spans="1:15" ht="15.75" customHeight="1" x14ac:dyDescent="0.25">
      <c r="A473" s="79" t="s">
        <v>190</v>
      </c>
      <c r="B473" s="80"/>
      <c r="C473" s="80"/>
      <c r="D473" s="80"/>
      <c r="E473" s="81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61"/>
      <c r="L473" s="61"/>
      <c r="M473" s="38">
        <f ca="1">IFERROR(SUM(M461:M472),"")</f>
        <v>0</v>
      </c>
      <c r="N473" s="36" t="s">
        <v>191</v>
      </c>
      <c r="O473" s="39"/>
    </row>
    <row r="474" spans="1:15" ht="15" customHeight="1" x14ac:dyDescent="0.25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27"/>
      <c r="O474" s="60"/>
    </row>
    <row r="475" spans="1:15" ht="15" customHeight="1" x14ac:dyDescent="0.25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60"/>
    </row>
    <row r="476" spans="1:15" ht="15" customHeight="1" x14ac:dyDescent="0.25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60"/>
    </row>
    <row r="477" spans="1:15" ht="15" customHeight="1" x14ac:dyDescent="0.25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60"/>
    </row>
    <row r="478" spans="1:15" ht="15" customHeight="1" x14ac:dyDescent="0.25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60"/>
    </row>
    <row r="479" spans="1:15" ht="15" customHeight="1" x14ac:dyDescent="0.25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60"/>
    </row>
    <row r="480" spans="1:15" ht="15" customHeight="1" x14ac:dyDescent="0.25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60"/>
    </row>
    <row r="481" spans="1:15" ht="15" customHeight="1" x14ac:dyDescent="0.25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60"/>
    </row>
    <row r="482" spans="1:15" ht="15" customHeight="1" x14ac:dyDescent="0.25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60"/>
    </row>
    <row r="483" spans="1:15" ht="15" customHeight="1" x14ac:dyDescent="0.25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60"/>
    </row>
    <row r="484" spans="1:15" ht="15" customHeight="1" x14ac:dyDescent="0.25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60"/>
    </row>
    <row r="485" spans="1:15" ht="15" customHeight="1" x14ac:dyDescent="0.25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60"/>
    </row>
    <row r="486" spans="1:15" ht="15.75" customHeight="1" x14ac:dyDescent="0.25">
      <c r="A486" s="79" t="s">
        <v>192</v>
      </c>
      <c r="B486" s="80"/>
      <c r="C486" s="80"/>
      <c r="D486" s="80"/>
      <c r="E486" s="81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61"/>
      <c r="L486" s="61"/>
      <c r="M486" s="38">
        <f ca="1">IFERROR(SUM(M474:M485),"")</f>
        <v>0</v>
      </c>
      <c r="N486" s="36" t="s">
        <v>191</v>
      </c>
      <c r="O486" s="39"/>
    </row>
    <row r="487" spans="1:15" ht="18" customHeight="1" x14ac:dyDescent="0.25">
      <c r="A487" s="82" t="s">
        <v>193</v>
      </c>
      <c r="B487" s="83"/>
      <c r="C487" s="83"/>
      <c r="D487" s="83"/>
      <c r="E487" s="84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63"/>
      <c r="L487" s="63"/>
      <c r="M487" s="42">
        <f ca="1">IFERROR(M473+M486,"")</f>
        <v>0</v>
      </c>
      <c r="N487" s="40" t="s">
        <v>194</v>
      </c>
      <c r="O487" s="48">
        <f>IFERROR(O473+O486,"")</f>
        <v>0</v>
      </c>
    </row>
    <row r="488" spans="1:15" ht="15" customHeight="1" x14ac:dyDescent="0.25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ca="1">IFERROR(IF(K488="","",IF(L488="",MOD(NOW()-K488,1),IF(L488&gt;=K488,L488-K488,L488+1-K488))),"")</f>
        <v/>
      </c>
      <c r="N488" s="27"/>
      <c r="O488" s="60"/>
    </row>
    <row r="489" spans="1:15" ht="15" customHeight="1" x14ac:dyDescent="0.25">
      <c r="A489" s="70">
        <v>46222</v>
      </c>
      <c r="B489" s="32">
        <f t="shared" ref="B489:B499" si="109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ca="1">IFERROR(IF(K489="","",IF(L489="",MOD(NOW()-K489,1),IF(L489&gt;=K489,L489-K489,L489+1-K489))),"")</f>
        <v/>
      </c>
      <c r="N489" s="27"/>
      <c r="O489" s="60"/>
    </row>
    <row r="490" spans="1:15" ht="15" customHeight="1" x14ac:dyDescent="0.25">
      <c r="A490" s="69">
        <v>46222</v>
      </c>
      <c r="B490" s="25">
        <f t="shared" si="109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ca="1">IFERROR(IF(K490="","",IF(L490="",MOD(NOW()-K490,1),IF(L490&gt;=K490,L490-K490,L490+1-K490))),"")</f>
        <v/>
      </c>
      <c r="N490" s="27"/>
      <c r="O490" s="60"/>
    </row>
    <row r="491" spans="1:15" ht="15" customHeight="1" x14ac:dyDescent="0.25">
      <c r="A491" s="70">
        <v>46222</v>
      </c>
      <c r="B491" s="32">
        <f t="shared" si="109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ca="1">IFERROR(IF(K491="","",IF(L491="",MOD(NOW()-K491,1),IF(L491&gt;=K491,L491-K491,L491+1-K491))),"")</f>
        <v/>
      </c>
      <c r="N491" s="27"/>
      <c r="O491" s="60"/>
    </row>
    <row r="492" spans="1:15" ht="15" customHeight="1" x14ac:dyDescent="0.25">
      <c r="A492" s="69">
        <v>46222</v>
      </c>
      <c r="B492" s="25">
        <f t="shared" si="109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/>
      <c r="N492" s="27"/>
      <c r="O492" s="60"/>
    </row>
    <row r="493" spans="1:15" ht="15" customHeight="1" x14ac:dyDescent="0.25">
      <c r="A493" s="70">
        <v>46222</v>
      </c>
      <c r="B493" s="32">
        <f t="shared" si="109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ref="M493:M499" ca="1" si="110">IFERROR(IF(K493="","",IF(L493="",MOD(NOW()-K493,1),IF(L493&gt;=K493,L493-K493,L493+1-K493))),"")</f>
        <v/>
      </c>
      <c r="N493" s="27"/>
      <c r="O493" s="60"/>
    </row>
    <row r="494" spans="1:15" ht="15" customHeight="1" x14ac:dyDescent="0.25">
      <c r="A494" s="69">
        <v>46222</v>
      </c>
      <c r="B494" s="25">
        <f t="shared" si="109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10"/>
        <v/>
      </c>
      <c r="N494" s="27"/>
      <c r="O494" s="60"/>
    </row>
    <row r="495" spans="1:15" ht="15" customHeight="1" x14ac:dyDescent="0.25">
      <c r="A495" s="70">
        <v>46222</v>
      </c>
      <c r="B495" s="32">
        <f t="shared" si="109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10"/>
        <v/>
      </c>
      <c r="N495" s="27"/>
      <c r="O495" s="60"/>
    </row>
    <row r="496" spans="1:15" ht="15" customHeight="1" x14ac:dyDescent="0.25">
      <c r="A496" s="69">
        <v>46222</v>
      </c>
      <c r="B496" s="25">
        <f t="shared" si="109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10"/>
        <v/>
      </c>
      <c r="N496" s="27"/>
      <c r="O496" s="60"/>
    </row>
    <row r="497" spans="1:15" ht="15" customHeight="1" x14ac:dyDescent="0.25">
      <c r="A497" s="70">
        <v>46222</v>
      </c>
      <c r="B497" s="32">
        <f t="shared" si="109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10"/>
        <v/>
      </c>
      <c r="N497" s="27"/>
      <c r="O497" s="60"/>
    </row>
    <row r="498" spans="1:15" ht="15" customHeight="1" x14ac:dyDescent="0.25">
      <c r="A498" s="69">
        <v>46222</v>
      </c>
      <c r="B498" s="25">
        <f t="shared" si="109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10"/>
        <v/>
      </c>
      <c r="N498" s="27"/>
      <c r="O498" s="60"/>
    </row>
    <row r="499" spans="1:15" ht="15" customHeight="1" x14ac:dyDescent="0.25">
      <c r="A499" s="70">
        <v>46222</v>
      </c>
      <c r="B499" s="32">
        <f t="shared" si="109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10"/>
        <v/>
      </c>
      <c r="N499" s="27"/>
      <c r="O499" s="60"/>
    </row>
    <row r="500" spans="1:15" ht="15.75" customHeight="1" x14ac:dyDescent="0.25">
      <c r="A500" s="79" t="s">
        <v>190</v>
      </c>
      <c r="B500" s="80"/>
      <c r="C500" s="80"/>
      <c r="D500" s="80"/>
      <c r="E500" s="81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61"/>
      <c r="L500" s="61"/>
      <c r="M500" s="38">
        <f ca="1">IFERROR(SUM(M488:M499),"")</f>
        <v>0</v>
      </c>
      <c r="N500" s="36" t="s">
        <v>191</v>
      </c>
      <c r="O500" s="39"/>
    </row>
    <row r="501" spans="1:15" ht="15" customHeight="1" x14ac:dyDescent="0.25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27"/>
      <c r="O501" s="60"/>
    </row>
    <row r="502" spans="1:15" ht="15" customHeight="1" x14ac:dyDescent="0.25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60"/>
    </row>
    <row r="503" spans="1:15" ht="15" customHeight="1" x14ac:dyDescent="0.25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60"/>
    </row>
    <row r="504" spans="1:15" ht="15" customHeight="1" x14ac:dyDescent="0.25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60"/>
    </row>
    <row r="505" spans="1:15" ht="15" customHeight="1" x14ac:dyDescent="0.25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60"/>
    </row>
    <row r="506" spans="1:15" ht="15" customHeight="1" x14ac:dyDescent="0.25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60"/>
    </row>
    <row r="507" spans="1:15" ht="15" customHeight="1" x14ac:dyDescent="0.25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60"/>
    </row>
    <row r="508" spans="1:15" ht="15" customHeight="1" x14ac:dyDescent="0.25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60"/>
    </row>
    <row r="509" spans="1:15" ht="15" customHeight="1" x14ac:dyDescent="0.25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60"/>
    </row>
    <row r="510" spans="1:15" ht="15" customHeight="1" x14ac:dyDescent="0.25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60"/>
    </row>
    <row r="511" spans="1:15" ht="15" customHeight="1" x14ac:dyDescent="0.25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60"/>
    </row>
    <row r="512" spans="1:15" ht="15" customHeight="1" x14ac:dyDescent="0.25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60"/>
    </row>
    <row r="513" spans="1:15" ht="15.75" customHeight="1" x14ac:dyDescent="0.25">
      <c r="A513" s="79" t="s">
        <v>192</v>
      </c>
      <c r="B513" s="80"/>
      <c r="C513" s="80"/>
      <c r="D513" s="80"/>
      <c r="E513" s="81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61"/>
      <c r="L513" s="61"/>
      <c r="M513" s="38">
        <f ca="1">IFERROR(SUM(M501:M512),"")</f>
        <v>0</v>
      </c>
      <c r="N513" s="36" t="s">
        <v>191</v>
      </c>
      <c r="O513" s="39"/>
    </row>
    <row r="514" spans="1:15" ht="18" customHeight="1" x14ac:dyDescent="0.25">
      <c r="A514" s="82" t="s">
        <v>193</v>
      </c>
      <c r="B514" s="83"/>
      <c r="C514" s="83"/>
      <c r="D514" s="83"/>
      <c r="E514" s="84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63"/>
      <c r="L514" s="63"/>
      <c r="M514" s="42">
        <f ca="1">IFERROR(M500+M513,"")</f>
        <v>0</v>
      </c>
      <c r="N514" s="40" t="s">
        <v>194</v>
      </c>
      <c r="O514" s="48">
        <f>IFERROR(O500+O513,"")</f>
        <v>0</v>
      </c>
    </row>
    <row r="515" spans="1:15" ht="15" customHeight="1" x14ac:dyDescent="0.25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27"/>
      <c r="O515" s="60"/>
    </row>
    <row r="516" spans="1:15" ht="15" customHeight="1" x14ac:dyDescent="0.25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27"/>
      <c r="O516" s="60"/>
    </row>
    <row r="517" spans="1:15" ht="15" customHeight="1" x14ac:dyDescent="0.25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27"/>
      <c r="O517" s="60"/>
    </row>
    <row r="518" spans="1:15" ht="15" customHeight="1" x14ac:dyDescent="0.25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27"/>
      <c r="O518" s="60"/>
    </row>
    <row r="519" spans="1:15" ht="15" customHeight="1" x14ac:dyDescent="0.25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60"/>
    </row>
    <row r="520" spans="1:15" ht="15" customHeight="1" x14ac:dyDescent="0.25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60"/>
    </row>
    <row r="521" spans="1:15" ht="15" customHeight="1" x14ac:dyDescent="0.25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60"/>
    </row>
    <row r="522" spans="1:15" ht="15" customHeight="1" x14ac:dyDescent="0.25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60"/>
    </row>
    <row r="523" spans="1:15" ht="15" customHeight="1" x14ac:dyDescent="0.25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60"/>
    </row>
    <row r="524" spans="1:15" ht="15" customHeight="1" x14ac:dyDescent="0.25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60"/>
    </row>
    <row r="525" spans="1:15" ht="15" customHeight="1" x14ac:dyDescent="0.25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60"/>
    </row>
    <row r="526" spans="1:15" ht="15" customHeight="1" x14ac:dyDescent="0.25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60"/>
    </row>
    <row r="527" spans="1:15" ht="15.75" customHeight="1" x14ac:dyDescent="0.25">
      <c r="A527" s="79" t="s">
        <v>190</v>
      </c>
      <c r="B527" s="80"/>
      <c r="C527" s="80"/>
      <c r="D527" s="80"/>
      <c r="E527" s="81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61"/>
      <c r="L527" s="61"/>
      <c r="M527" s="38">
        <f ca="1">IFERROR(SUM(M515:M526),"")</f>
        <v>0</v>
      </c>
      <c r="N527" s="36" t="s">
        <v>191</v>
      </c>
      <c r="O527" s="39"/>
    </row>
    <row r="528" spans="1:15" ht="15" customHeight="1" x14ac:dyDescent="0.25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27"/>
      <c r="O528" s="60"/>
    </row>
    <row r="529" spans="1:15" ht="15" customHeight="1" x14ac:dyDescent="0.25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27"/>
      <c r="O529" s="60"/>
    </row>
    <row r="530" spans="1:15" ht="15" customHeight="1" x14ac:dyDescent="0.25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27"/>
      <c r="O530" s="60"/>
    </row>
    <row r="531" spans="1:15" ht="15" customHeight="1" x14ac:dyDescent="0.25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27"/>
      <c r="O531" s="60"/>
    </row>
    <row r="532" spans="1:15" ht="15" customHeight="1" x14ac:dyDescent="0.25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27"/>
      <c r="O532" s="60"/>
    </row>
    <row r="533" spans="1:15" ht="15" customHeight="1" x14ac:dyDescent="0.25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27"/>
      <c r="O533" s="60"/>
    </row>
    <row r="534" spans="1:15" ht="15" customHeight="1" x14ac:dyDescent="0.25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60"/>
    </row>
    <row r="535" spans="1:15" ht="15" customHeight="1" x14ac:dyDescent="0.25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60"/>
    </row>
    <row r="536" spans="1:15" ht="15" customHeight="1" x14ac:dyDescent="0.25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60"/>
    </row>
    <row r="537" spans="1:15" ht="15" customHeight="1" x14ac:dyDescent="0.25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60"/>
    </row>
    <row r="538" spans="1:15" ht="15" customHeight="1" x14ac:dyDescent="0.25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60"/>
    </row>
    <row r="539" spans="1:15" ht="15" customHeight="1" x14ac:dyDescent="0.25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60"/>
    </row>
    <row r="540" spans="1:15" ht="15.75" customHeight="1" x14ac:dyDescent="0.25">
      <c r="A540" s="79" t="s">
        <v>192</v>
      </c>
      <c r="B540" s="80"/>
      <c r="C540" s="80"/>
      <c r="D540" s="80"/>
      <c r="E540" s="81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61"/>
      <c r="L540" s="61"/>
      <c r="M540" s="38">
        <f ca="1">IFERROR(SUM(M528:M539),"")</f>
        <v>0</v>
      </c>
      <c r="N540" s="36" t="s">
        <v>191</v>
      </c>
      <c r="O540" s="39"/>
    </row>
    <row r="541" spans="1:15" ht="18" customHeight="1" x14ac:dyDescent="0.25">
      <c r="A541" s="82" t="s">
        <v>193</v>
      </c>
      <c r="B541" s="83"/>
      <c r="C541" s="83"/>
      <c r="D541" s="83"/>
      <c r="E541" s="84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63"/>
      <c r="L541" s="63"/>
      <c r="M541" s="42">
        <f ca="1">IFERROR(M527+M540,"")</f>
        <v>0</v>
      </c>
      <c r="N541" s="40" t="s">
        <v>194</v>
      </c>
      <c r="O541" s="48">
        <f>IFERROR(O527+O540,"")</f>
        <v>0</v>
      </c>
    </row>
    <row r="542" spans="1:15" ht="15" customHeight="1" x14ac:dyDescent="0.25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27"/>
      <c r="O542" s="60"/>
    </row>
    <row r="543" spans="1:15" ht="15" customHeight="1" x14ac:dyDescent="0.25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27"/>
      <c r="O543" s="60"/>
    </row>
    <row r="544" spans="1:15" ht="15" customHeight="1" x14ac:dyDescent="0.25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27"/>
      <c r="O544" s="60"/>
    </row>
    <row r="545" spans="1:15" ht="15" customHeight="1" x14ac:dyDescent="0.25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60"/>
    </row>
    <row r="546" spans="1:15" ht="15" customHeight="1" x14ac:dyDescent="0.25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60"/>
    </row>
    <row r="547" spans="1:15" ht="15" customHeight="1" x14ac:dyDescent="0.25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60"/>
    </row>
    <row r="548" spans="1:15" ht="15" customHeight="1" x14ac:dyDescent="0.25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60"/>
    </row>
    <row r="549" spans="1:15" ht="15" customHeight="1" x14ac:dyDescent="0.25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60"/>
    </row>
    <row r="550" spans="1:15" ht="15" customHeight="1" x14ac:dyDescent="0.25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60"/>
    </row>
    <row r="551" spans="1:15" ht="15" customHeight="1" x14ac:dyDescent="0.25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60"/>
    </row>
    <row r="552" spans="1:15" ht="15" customHeight="1" x14ac:dyDescent="0.25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60"/>
    </row>
    <row r="553" spans="1:15" ht="15" customHeight="1" x14ac:dyDescent="0.25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60"/>
    </row>
    <row r="554" spans="1:15" ht="15.75" customHeight="1" x14ac:dyDescent="0.25">
      <c r="A554" s="79" t="s">
        <v>190</v>
      </c>
      <c r="B554" s="80"/>
      <c r="C554" s="80"/>
      <c r="D554" s="80"/>
      <c r="E554" s="81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61"/>
      <c r="L554" s="61"/>
      <c r="M554" s="38">
        <f ca="1">IFERROR(SUM(M542:M553),"")</f>
        <v>0</v>
      </c>
      <c r="N554" s="36" t="s">
        <v>191</v>
      </c>
      <c r="O554" s="39"/>
    </row>
    <row r="555" spans="1:15" ht="15" customHeight="1" x14ac:dyDescent="0.25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27"/>
      <c r="O555" s="60"/>
    </row>
    <row r="556" spans="1:15" ht="15" customHeight="1" x14ac:dyDescent="0.25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27"/>
      <c r="O556" s="60"/>
    </row>
    <row r="557" spans="1:15" ht="15" customHeight="1" x14ac:dyDescent="0.25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27"/>
      <c r="O557" s="60"/>
    </row>
    <row r="558" spans="1:15" ht="15" customHeight="1" x14ac:dyDescent="0.25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27"/>
      <c r="O558" s="60"/>
    </row>
    <row r="559" spans="1:15" ht="15" customHeight="1" x14ac:dyDescent="0.25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27"/>
      <c r="O559" s="60"/>
    </row>
    <row r="560" spans="1:15" ht="15" customHeight="1" x14ac:dyDescent="0.25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27"/>
      <c r="O560" s="60"/>
    </row>
    <row r="561" spans="1:15" ht="15" customHeight="1" x14ac:dyDescent="0.25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27"/>
      <c r="O561" s="60"/>
    </row>
    <row r="562" spans="1:15" ht="15" customHeight="1" x14ac:dyDescent="0.25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27"/>
      <c r="O562" s="60"/>
    </row>
    <row r="563" spans="1:15" ht="15" customHeight="1" x14ac:dyDescent="0.25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27"/>
      <c r="O563" s="60"/>
    </row>
    <row r="564" spans="1:15" ht="15" customHeight="1" x14ac:dyDescent="0.25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27"/>
      <c r="O564" s="60"/>
    </row>
    <row r="565" spans="1:15" ht="15" customHeight="1" x14ac:dyDescent="0.25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27"/>
      <c r="O565" s="60"/>
    </row>
    <row r="566" spans="1:15" ht="15" customHeight="1" x14ac:dyDescent="0.25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27"/>
      <c r="O566" s="60"/>
    </row>
    <row r="567" spans="1:15" ht="15.75" customHeight="1" x14ac:dyDescent="0.25">
      <c r="A567" s="79" t="s">
        <v>192</v>
      </c>
      <c r="B567" s="80"/>
      <c r="C567" s="80"/>
      <c r="D567" s="80"/>
      <c r="E567" s="81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61"/>
      <c r="L567" s="61"/>
      <c r="M567" s="38">
        <f ca="1">IFERROR(SUM(M555:M566),"")</f>
        <v>0</v>
      </c>
      <c r="N567" s="36" t="s">
        <v>191</v>
      </c>
      <c r="O567" s="39"/>
    </row>
    <row r="568" spans="1:15" ht="18" customHeight="1" x14ac:dyDescent="0.25">
      <c r="A568" s="82" t="s">
        <v>193</v>
      </c>
      <c r="B568" s="83"/>
      <c r="C568" s="83"/>
      <c r="D568" s="83"/>
      <c r="E568" s="84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63"/>
      <c r="L568" s="63"/>
      <c r="M568" s="42">
        <f ca="1">IFERROR(M554+M567,"")</f>
        <v>0</v>
      </c>
      <c r="N568" s="40" t="s">
        <v>194</v>
      </c>
      <c r="O568" s="48">
        <f>IFERROR(O554+O567,"")</f>
        <v>0</v>
      </c>
    </row>
    <row r="569" spans="1:15" ht="15" customHeight="1" x14ac:dyDescent="0.25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74" ca="1" si="127">IFERROR(IF(K569="","",IF(L569="",MOD(NOW()-K569,1),IF(L569&gt;=K569,L569-K569,L569+1-K569))),"")</f>
        <v/>
      </c>
      <c r="N569" s="27"/>
      <c r="O569" s="60"/>
    </row>
    <row r="570" spans="1:15" ht="15" customHeight="1" x14ac:dyDescent="0.25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60"/>
    </row>
    <row r="571" spans="1:15" ht="15" customHeight="1" x14ac:dyDescent="0.25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60"/>
    </row>
    <row r="572" spans="1:15" ht="15" customHeight="1" x14ac:dyDescent="0.25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60"/>
    </row>
    <row r="573" spans="1:15" ht="15" customHeight="1" x14ac:dyDescent="0.25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60"/>
    </row>
    <row r="574" spans="1:15" ht="15" customHeight="1" x14ac:dyDescent="0.25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60"/>
    </row>
    <row r="575" spans="1:15" ht="15" customHeight="1" x14ac:dyDescent="0.25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/>
      <c r="N575" s="27"/>
      <c r="O575" s="60"/>
    </row>
    <row r="576" spans="1:15" ht="15" customHeight="1" x14ac:dyDescent="0.25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ca="1">IFERROR(IF(K576="","",IF(L576="",MOD(NOW()-K576,1),IF(L576&gt;=K576,L576-K576,L576+1-K576))),"")</f>
        <v/>
      </c>
      <c r="N576" s="27"/>
      <c r="O576" s="60"/>
    </row>
    <row r="577" spans="1:15" ht="15" customHeight="1" x14ac:dyDescent="0.25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ca="1">IFERROR(IF(K577="","",IF(L577="",MOD(NOW()-K577,1),IF(L577&gt;=K577,L577-K577,L577+1-K577))),"")</f>
        <v/>
      </c>
      <c r="N577" s="27"/>
      <c r="O577" s="60"/>
    </row>
    <row r="578" spans="1:15" ht="15" customHeight="1" x14ac:dyDescent="0.25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ca="1">IFERROR(IF(K578="","",IF(L578="",MOD(NOW()-K578,1),IF(L578&gt;=K578,L578-K578,L578+1-K578))),"")</f>
        <v/>
      </c>
      <c r="N578" s="27"/>
      <c r="O578" s="60"/>
    </row>
    <row r="579" spans="1:15" ht="15" customHeight="1" x14ac:dyDescent="0.25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ca="1">IFERROR(IF(K579="","",IF(L579="",MOD(NOW()-K579,1),IF(L579&gt;=K579,L579-K579,L579+1-K579))),"")</f>
        <v/>
      </c>
      <c r="N579" s="27"/>
      <c r="O579" s="60"/>
    </row>
    <row r="580" spans="1:15" ht="15" customHeight="1" x14ac:dyDescent="0.25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ca="1">IFERROR(IF(K580="","",IF(L580="",MOD(NOW()-K580,1),IF(L580&gt;=K580,L580-K580,L580+1-K580))),"")</f>
        <v/>
      </c>
      <c r="N580" s="27"/>
      <c r="O580" s="60"/>
    </row>
    <row r="581" spans="1:15" ht="15.75" customHeight="1" x14ac:dyDescent="0.25">
      <c r="A581" s="79" t="s">
        <v>190</v>
      </c>
      <c r="B581" s="80"/>
      <c r="C581" s="80"/>
      <c r="D581" s="80"/>
      <c r="E581" s="81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61"/>
      <c r="L581" s="61"/>
      <c r="M581" s="38">
        <f ca="1">IFERROR(SUM(M569:M580),"")</f>
        <v>0</v>
      </c>
      <c r="N581" s="36" t="s">
        <v>191</v>
      </c>
      <c r="O581" s="39"/>
    </row>
    <row r="582" spans="1:15" ht="15" customHeight="1" x14ac:dyDescent="0.25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27"/>
      <c r="O582" s="60"/>
    </row>
    <row r="583" spans="1:15" ht="15" customHeight="1" x14ac:dyDescent="0.25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60"/>
    </row>
    <row r="584" spans="1:15" ht="15" customHeight="1" x14ac:dyDescent="0.25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60"/>
    </row>
    <row r="585" spans="1:15" ht="15" customHeight="1" x14ac:dyDescent="0.25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60"/>
    </row>
    <row r="586" spans="1:15" ht="15" customHeight="1" x14ac:dyDescent="0.25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60"/>
    </row>
    <row r="587" spans="1:15" ht="15" customHeight="1" x14ac:dyDescent="0.25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60"/>
    </row>
    <row r="588" spans="1:15" ht="15" customHeight="1" x14ac:dyDescent="0.25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60"/>
    </row>
    <row r="589" spans="1:15" ht="15" customHeight="1" x14ac:dyDescent="0.25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60"/>
    </row>
    <row r="590" spans="1:15" ht="15" customHeight="1" x14ac:dyDescent="0.25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60"/>
    </row>
    <row r="591" spans="1:15" ht="15" customHeight="1" x14ac:dyDescent="0.25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60"/>
    </row>
    <row r="592" spans="1:15" ht="15" customHeight="1" x14ac:dyDescent="0.25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60"/>
    </row>
    <row r="593" spans="1:15" ht="15" customHeight="1" x14ac:dyDescent="0.25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60"/>
    </row>
    <row r="594" spans="1:15" ht="15.75" customHeight="1" x14ac:dyDescent="0.25">
      <c r="A594" s="79" t="s">
        <v>192</v>
      </c>
      <c r="B594" s="80"/>
      <c r="C594" s="80"/>
      <c r="D594" s="80"/>
      <c r="E594" s="81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61"/>
      <c r="L594" s="61"/>
      <c r="M594" s="38">
        <f ca="1">IFERROR(SUM(M582:M593),"")</f>
        <v>0</v>
      </c>
      <c r="N594" s="36" t="s">
        <v>191</v>
      </c>
      <c r="O594" s="39"/>
    </row>
    <row r="595" spans="1:15" ht="18" customHeight="1" x14ac:dyDescent="0.25">
      <c r="A595" s="82" t="s">
        <v>193</v>
      </c>
      <c r="B595" s="83"/>
      <c r="C595" s="83"/>
      <c r="D595" s="83"/>
      <c r="E595" s="84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63"/>
      <c r="L595" s="63"/>
      <c r="M595" s="42">
        <f ca="1">IFERROR(M581+M594,"")</f>
        <v>0</v>
      </c>
      <c r="N595" s="40" t="s">
        <v>194</v>
      </c>
      <c r="O595" s="48">
        <f>IFERROR(O581+O594,"")</f>
        <v>0</v>
      </c>
    </row>
    <row r="596" spans="1:15" ht="15" customHeight="1" x14ac:dyDescent="0.25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27"/>
      <c r="O596" s="60"/>
    </row>
    <row r="597" spans="1:15" ht="15" customHeight="1" x14ac:dyDescent="0.25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27"/>
      <c r="O597" s="60"/>
    </row>
    <row r="598" spans="1:15" ht="15" customHeight="1" x14ac:dyDescent="0.25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27"/>
      <c r="O598" s="60"/>
    </row>
    <row r="599" spans="1:15" ht="15" customHeight="1" x14ac:dyDescent="0.25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27"/>
      <c r="O599" s="60"/>
    </row>
    <row r="600" spans="1:15" ht="15" customHeight="1" x14ac:dyDescent="0.25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27"/>
      <c r="O600" s="60"/>
    </row>
    <row r="601" spans="1:15" ht="15" customHeight="1" x14ac:dyDescent="0.25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27"/>
      <c r="O601" s="60"/>
    </row>
    <row r="602" spans="1:15" ht="15" customHeight="1" x14ac:dyDescent="0.25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60"/>
    </row>
    <row r="603" spans="1:15" ht="15" customHeight="1" x14ac:dyDescent="0.25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60"/>
    </row>
    <row r="604" spans="1:15" ht="15" customHeight="1" x14ac:dyDescent="0.25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60"/>
    </row>
    <row r="605" spans="1:15" ht="15" customHeight="1" x14ac:dyDescent="0.25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60"/>
    </row>
    <row r="606" spans="1:15" ht="15" customHeight="1" x14ac:dyDescent="0.25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60"/>
    </row>
    <row r="607" spans="1:15" ht="15" customHeight="1" x14ac:dyDescent="0.25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60"/>
    </row>
    <row r="608" spans="1:15" ht="15.75" customHeight="1" x14ac:dyDescent="0.25">
      <c r="A608" s="79" t="s">
        <v>190</v>
      </c>
      <c r="B608" s="80"/>
      <c r="C608" s="80"/>
      <c r="D608" s="80"/>
      <c r="E608" s="81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61"/>
      <c r="L608" s="61"/>
      <c r="M608" s="38">
        <f ca="1">IFERROR(SUM(M596:M607),"")</f>
        <v>0</v>
      </c>
      <c r="N608" s="36" t="s">
        <v>191</v>
      </c>
      <c r="O608" s="39"/>
    </row>
    <row r="609" spans="1:15" ht="15" customHeight="1" x14ac:dyDescent="0.25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27"/>
      <c r="O609" s="60"/>
    </row>
    <row r="610" spans="1:15" ht="15" customHeight="1" x14ac:dyDescent="0.25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60"/>
    </row>
    <row r="611" spans="1:15" ht="15" customHeight="1" x14ac:dyDescent="0.25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60"/>
    </row>
    <row r="612" spans="1:15" ht="15" customHeight="1" x14ac:dyDescent="0.25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60"/>
    </row>
    <row r="613" spans="1:15" ht="15" customHeight="1" x14ac:dyDescent="0.25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60"/>
    </row>
    <row r="614" spans="1:15" ht="15" customHeight="1" x14ac:dyDescent="0.25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60"/>
    </row>
    <row r="615" spans="1:15" ht="15" customHeight="1" x14ac:dyDescent="0.25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60"/>
    </row>
    <row r="616" spans="1:15" ht="15" customHeight="1" x14ac:dyDescent="0.25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60"/>
    </row>
    <row r="617" spans="1:15" ht="15" customHeight="1" x14ac:dyDescent="0.25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60"/>
    </row>
    <row r="618" spans="1:15" ht="15" customHeight="1" x14ac:dyDescent="0.25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60"/>
    </row>
    <row r="619" spans="1:15" ht="15" customHeight="1" x14ac:dyDescent="0.25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60"/>
    </row>
    <row r="620" spans="1:15" ht="15" customHeight="1" x14ac:dyDescent="0.25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60"/>
    </row>
    <row r="621" spans="1:15" ht="15.75" customHeight="1" x14ac:dyDescent="0.25">
      <c r="A621" s="79" t="s">
        <v>192</v>
      </c>
      <c r="B621" s="80"/>
      <c r="C621" s="80"/>
      <c r="D621" s="80"/>
      <c r="E621" s="81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61"/>
      <c r="L621" s="61"/>
      <c r="M621" s="38">
        <f ca="1">IFERROR(SUM(M609:M620),"")</f>
        <v>0</v>
      </c>
      <c r="N621" s="36" t="s">
        <v>191</v>
      </c>
      <c r="O621" s="39"/>
    </row>
    <row r="622" spans="1:15" ht="18" customHeight="1" x14ac:dyDescent="0.25">
      <c r="A622" s="82" t="s">
        <v>193</v>
      </c>
      <c r="B622" s="83"/>
      <c r="C622" s="83"/>
      <c r="D622" s="83"/>
      <c r="E622" s="84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63"/>
      <c r="L622" s="63"/>
      <c r="M622" s="42">
        <f ca="1">IFERROR(M608+M621,"")</f>
        <v>0</v>
      </c>
      <c r="N622" s="40" t="s">
        <v>194</v>
      </c>
      <c r="O622" s="48">
        <f>IFERROR(O608+O621,"")</f>
        <v>0</v>
      </c>
    </row>
    <row r="623" spans="1:15" ht="15" customHeight="1" x14ac:dyDescent="0.25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27"/>
      <c r="O623" s="60"/>
    </row>
    <row r="624" spans="1:15" ht="15" customHeight="1" x14ac:dyDescent="0.25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60"/>
    </row>
    <row r="625" spans="1:15" ht="15" customHeight="1" x14ac:dyDescent="0.25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60"/>
    </row>
    <row r="626" spans="1:15" ht="15" customHeight="1" x14ac:dyDescent="0.25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60"/>
    </row>
    <row r="627" spans="1:15" ht="15" customHeight="1" x14ac:dyDescent="0.25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60"/>
    </row>
    <row r="628" spans="1:15" ht="15" customHeight="1" x14ac:dyDescent="0.25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60"/>
    </row>
    <row r="629" spans="1:15" ht="15" customHeight="1" x14ac:dyDescent="0.25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60"/>
    </row>
    <row r="630" spans="1:15" ht="15" customHeight="1" x14ac:dyDescent="0.25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60"/>
    </row>
    <row r="631" spans="1:15" ht="15" customHeight="1" x14ac:dyDescent="0.25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60"/>
    </row>
    <row r="632" spans="1:15" ht="15" customHeight="1" x14ac:dyDescent="0.25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60"/>
    </row>
    <row r="633" spans="1:15" ht="15" customHeight="1" x14ac:dyDescent="0.25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60"/>
    </row>
    <row r="634" spans="1:15" ht="15" customHeight="1" x14ac:dyDescent="0.25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60"/>
    </row>
    <row r="635" spans="1:15" ht="15.75" customHeight="1" x14ac:dyDescent="0.25">
      <c r="A635" s="79" t="s">
        <v>190</v>
      </c>
      <c r="B635" s="80"/>
      <c r="C635" s="80"/>
      <c r="D635" s="80"/>
      <c r="E635" s="81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61"/>
      <c r="L635" s="61"/>
      <c r="M635" s="38">
        <f ca="1">IFERROR(SUM(M623:M634),"")</f>
        <v>0</v>
      </c>
      <c r="N635" s="36" t="s">
        <v>191</v>
      </c>
      <c r="O635" s="39"/>
    </row>
    <row r="636" spans="1:15" ht="15" customHeight="1" x14ac:dyDescent="0.25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60"/>
    </row>
    <row r="637" spans="1:15" ht="15" customHeight="1" x14ac:dyDescent="0.25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60"/>
    </row>
    <row r="638" spans="1:15" ht="15" customHeight="1" x14ac:dyDescent="0.25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60"/>
    </row>
    <row r="639" spans="1:15" ht="15" customHeight="1" x14ac:dyDescent="0.25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60"/>
    </row>
    <row r="640" spans="1:15" ht="15" customHeight="1" x14ac:dyDescent="0.25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60"/>
    </row>
    <row r="641" spans="1:15" ht="15" customHeight="1" x14ac:dyDescent="0.25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60"/>
    </row>
    <row r="642" spans="1:15" ht="15" customHeight="1" x14ac:dyDescent="0.25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60"/>
    </row>
    <row r="643" spans="1:15" ht="15" customHeight="1" x14ac:dyDescent="0.25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60"/>
    </row>
    <row r="644" spans="1:15" ht="15" customHeight="1" x14ac:dyDescent="0.25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60"/>
    </row>
    <row r="645" spans="1:15" ht="15" customHeight="1" x14ac:dyDescent="0.25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60"/>
    </row>
    <row r="646" spans="1:15" ht="15" customHeight="1" x14ac:dyDescent="0.25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60"/>
    </row>
    <row r="647" spans="1:15" ht="15" customHeight="1" x14ac:dyDescent="0.25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60"/>
    </row>
    <row r="648" spans="1:15" ht="15.75" customHeight="1" x14ac:dyDescent="0.25">
      <c r="A648" s="79" t="s">
        <v>192</v>
      </c>
      <c r="B648" s="80"/>
      <c r="C648" s="80"/>
      <c r="D648" s="80"/>
      <c r="E648" s="81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61"/>
      <c r="L648" s="61"/>
      <c r="M648" s="38">
        <f ca="1">IFERROR(SUM(M636:M647),"")</f>
        <v>0</v>
      </c>
      <c r="N648" s="36" t="s">
        <v>191</v>
      </c>
      <c r="O648" s="39"/>
    </row>
    <row r="649" spans="1:15" ht="18" customHeight="1" x14ac:dyDescent="0.25">
      <c r="A649" s="82" t="s">
        <v>193</v>
      </c>
      <c r="B649" s="83"/>
      <c r="C649" s="83"/>
      <c r="D649" s="83"/>
      <c r="E649" s="84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63"/>
      <c r="L649" s="63"/>
      <c r="M649" s="42">
        <f ca="1">IFERROR(M635+M648,"")</f>
        <v>0</v>
      </c>
      <c r="N649" s="40" t="s">
        <v>194</v>
      </c>
      <c r="O649" s="48">
        <f>IFERROR(O635+O648,"")</f>
        <v>0</v>
      </c>
    </row>
    <row r="650" spans="1:15" ht="15" customHeight="1" x14ac:dyDescent="0.25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60"/>
    </row>
    <row r="651" spans="1:15" ht="15" customHeight="1" x14ac:dyDescent="0.25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60"/>
    </row>
    <row r="652" spans="1:15" ht="15" customHeight="1" x14ac:dyDescent="0.25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60"/>
    </row>
    <row r="653" spans="1:15" ht="15" customHeight="1" x14ac:dyDescent="0.25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60"/>
    </row>
    <row r="654" spans="1:15" ht="15" customHeight="1" x14ac:dyDescent="0.25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60"/>
    </row>
    <row r="655" spans="1:15" ht="15" customHeight="1" x14ac:dyDescent="0.25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60"/>
    </row>
    <row r="656" spans="1:15" ht="15" customHeight="1" x14ac:dyDescent="0.25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60"/>
    </row>
    <row r="657" spans="1:15" ht="15" customHeight="1" x14ac:dyDescent="0.25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60"/>
    </row>
    <row r="658" spans="1:15" ht="15" customHeight="1" x14ac:dyDescent="0.25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60"/>
    </row>
    <row r="659" spans="1:15" ht="15" customHeight="1" x14ac:dyDescent="0.25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60"/>
    </row>
    <row r="660" spans="1:15" ht="15" customHeight="1" x14ac:dyDescent="0.25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60"/>
    </row>
    <row r="661" spans="1:15" ht="15" customHeight="1" x14ac:dyDescent="0.25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60"/>
    </row>
    <row r="662" spans="1:15" ht="15.75" customHeight="1" x14ac:dyDescent="0.25">
      <c r="A662" s="79" t="s">
        <v>190</v>
      </c>
      <c r="B662" s="80"/>
      <c r="C662" s="80"/>
      <c r="D662" s="80"/>
      <c r="E662" s="81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61"/>
      <c r="L662" s="61"/>
      <c r="M662" s="38">
        <f ca="1">IFERROR(SUM(M650:M661),"")</f>
        <v>0</v>
      </c>
      <c r="N662" s="36" t="s">
        <v>191</v>
      </c>
      <c r="O662" s="39"/>
    </row>
    <row r="663" spans="1:15" ht="15" customHeight="1" x14ac:dyDescent="0.25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60"/>
    </row>
    <row r="664" spans="1:15" ht="15" customHeight="1" x14ac:dyDescent="0.25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60"/>
    </row>
    <row r="665" spans="1:15" ht="15" customHeight="1" x14ac:dyDescent="0.25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60"/>
    </row>
    <row r="666" spans="1:15" ht="15" customHeight="1" x14ac:dyDescent="0.25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60"/>
    </row>
    <row r="667" spans="1:15" ht="15" customHeight="1" x14ac:dyDescent="0.25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60"/>
    </row>
    <row r="668" spans="1:15" ht="15" customHeight="1" x14ac:dyDescent="0.25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60"/>
    </row>
    <row r="669" spans="1:15" ht="15" customHeight="1" x14ac:dyDescent="0.25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60"/>
    </row>
    <row r="670" spans="1:15" ht="15" customHeight="1" x14ac:dyDescent="0.25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60"/>
    </row>
    <row r="671" spans="1:15" ht="15" customHeight="1" x14ac:dyDescent="0.25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60"/>
    </row>
    <row r="672" spans="1:15" ht="15" customHeight="1" x14ac:dyDescent="0.25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60"/>
    </row>
    <row r="673" spans="1:15" ht="15" customHeight="1" x14ac:dyDescent="0.25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60"/>
    </row>
    <row r="674" spans="1:15" ht="15" customHeight="1" x14ac:dyDescent="0.25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60"/>
    </row>
    <row r="675" spans="1:15" ht="15.75" customHeight="1" x14ac:dyDescent="0.25">
      <c r="A675" s="79" t="s">
        <v>192</v>
      </c>
      <c r="B675" s="80"/>
      <c r="C675" s="80"/>
      <c r="D675" s="80"/>
      <c r="E675" s="81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61"/>
      <c r="L675" s="61"/>
      <c r="M675" s="38">
        <f ca="1">IFERROR(SUM(M663:M674),"")</f>
        <v>0</v>
      </c>
      <c r="N675" s="36" t="s">
        <v>191</v>
      </c>
      <c r="O675" s="39"/>
    </row>
    <row r="676" spans="1:15" ht="18" customHeight="1" x14ac:dyDescent="0.25">
      <c r="A676" s="82" t="s">
        <v>193</v>
      </c>
      <c r="B676" s="83"/>
      <c r="C676" s="83"/>
      <c r="D676" s="83"/>
      <c r="E676" s="84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63"/>
      <c r="L676" s="63"/>
      <c r="M676" s="42">
        <f ca="1">IFERROR(M662+M675,"")</f>
        <v>0</v>
      </c>
      <c r="N676" s="40" t="s">
        <v>194</v>
      </c>
      <c r="O676" s="48">
        <f>IFERROR(O662+O675,"")</f>
        <v>0</v>
      </c>
    </row>
    <row r="677" spans="1:15" ht="15" customHeight="1" x14ac:dyDescent="0.25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60"/>
    </row>
    <row r="678" spans="1:15" ht="15" customHeight="1" x14ac:dyDescent="0.25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60"/>
    </row>
    <row r="679" spans="1:15" ht="15" customHeight="1" x14ac:dyDescent="0.25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60"/>
    </row>
    <row r="680" spans="1:15" ht="15" customHeight="1" x14ac:dyDescent="0.25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60"/>
    </row>
    <row r="681" spans="1:15" ht="15" customHeight="1" x14ac:dyDescent="0.25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60"/>
    </row>
    <row r="682" spans="1:15" ht="15" customHeight="1" x14ac:dyDescent="0.25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60"/>
    </row>
    <row r="683" spans="1:15" ht="15" customHeight="1" x14ac:dyDescent="0.25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60"/>
    </row>
    <row r="684" spans="1:15" ht="15" customHeight="1" x14ac:dyDescent="0.25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60"/>
    </row>
    <row r="685" spans="1:15" ht="15" customHeight="1" x14ac:dyDescent="0.25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60"/>
    </row>
    <row r="686" spans="1:15" ht="15" customHeight="1" x14ac:dyDescent="0.25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60"/>
    </row>
    <row r="687" spans="1:15" ht="15" customHeight="1" x14ac:dyDescent="0.25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60"/>
    </row>
    <row r="688" spans="1:15" ht="15" customHeight="1" x14ac:dyDescent="0.25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60"/>
    </row>
    <row r="689" spans="1:15" ht="15.75" customHeight="1" x14ac:dyDescent="0.25">
      <c r="A689" s="79" t="s">
        <v>190</v>
      </c>
      <c r="B689" s="80"/>
      <c r="C689" s="80"/>
      <c r="D689" s="80"/>
      <c r="E689" s="81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61"/>
      <c r="L689" s="61"/>
      <c r="M689" s="38">
        <f ca="1">IFERROR(SUM(M677:M688),"")</f>
        <v>0</v>
      </c>
      <c r="N689" s="36" t="s">
        <v>191</v>
      </c>
      <c r="O689" s="39"/>
    </row>
    <row r="690" spans="1:15" ht="15" customHeight="1" x14ac:dyDescent="0.25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60"/>
    </row>
    <row r="691" spans="1:15" ht="15" customHeight="1" x14ac:dyDescent="0.25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60"/>
    </row>
    <row r="692" spans="1:15" ht="15" customHeight="1" x14ac:dyDescent="0.25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60"/>
    </row>
    <row r="693" spans="1:15" ht="15" customHeight="1" x14ac:dyDescent="0.25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60"/>
    </row>
    <row r="694" spans="1:15" ht="15" customHeight="1" x14ac:dyDescent="0.25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60"/>
    </row>
    <row r="695" spans="1:15" ht="15" customHeight="1" x14ac:dyDescent="0.25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60"/>
    </row>
    <row r="696" spans="1:15" ht="15" customHeight="1" x14ac:dyDescent="0.25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60"/>
    </row>
    <row r="697" spans="1:15" ht="15" customHeight="1" x14ac:dyDescent="0.25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60"/>
    </row>
    <row r="698" spans="1:15" ht="15" customHeight="1" x14ac:dyDescent="0.25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60"/>
    </row>
    <row r="699" spans="1:15" ht="15" customHeight="1" x14ac:dyDescent="0.25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60"/>
    </row>
    <row r="700" spans="1:15" ht="15" customHeight="1" x14ac:dyDescent="0.25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60"/>
    </row>
    <row r="701" spans="1:15" ht="15" customHeight="1" x14ac:dyDescent="0.25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60"/>
    </row>
    <row r="702" spans="1:15" ht="15.75" customHeight="1" x14ac:dyDescent="0.25">
      <c r="A702" s="79" t="s">
        <v>192</v>
      </c>
      <c r="B702" s="80"/>
      <c r="C702" s="80"/>
      <c r="D702" s="80"/>
      <c r="E702" s="81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61"/>
      <c r="L702" s="61"/>
      <c r="M702" s="38">
        <f ca="1">IFERROR(SUM(M690:M701),"")</f>
        <v>0</v>
      </c>
      <c r="N702" s="36" t="s">
        <v>191</v>
      </c>
      <c r="O702" s="39"/>
    </row>
    <row r="703" spans="1:15" ht="18" customHeight="1" x14ac:dyDescent="0.25">
      <c r="A703" s="82" t="s">
        <v>193</v>
      </c>
      <c r="B703" s="83"/>
      <c r="C703" s="83"/>
      <c r="D703" s="83"/>
      <c r="E703" s="84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63"/>
      <c r="L703" s="63"/>
      <c r="M703" s="42">
        <f ca="1">IFERROR(M689+M702,"")</f>
        <v>0</v>
      </c>
      <c r="N703" s="40" t="s">
        <v>194</v>
      </c>
      <c r="O703" s="48">
        <f>IFERROR(O689+O702,"")</f>
        <v>0</v>
      </c>
    </row>
    <row r="704" spans="1:15" ht="15" customHeight="1" x14ac:dyDescent="0.25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60"/>
    </row>
    <row r="705" spans="1:15" ht="15" customHeight="1" x14ac:dyDescent="0.25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60"/>
    </row>
    <row r="706" spans="1:15" ht="15" customHeight="1" x14ac:dyDescent="0.25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60"/>
    </row>
    <row r="707" spans="1:15" ht="15" customHeight="1" x14ac:dyDescent="0.25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60"/>
    </row>
    <row r="708" spans="1:15" ht="15" customHeight="1" x14ac:dyDescent="0.25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60"/>
    </row>
    <row r="709" spans="1:15" ht="15" customHeight="1" x14ac:dyDescent="0.25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60"/>
    </row>
    <row r="710" spans="1:15" ht="15" customHeight="1" x14ac:dyDescent="0.25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60"/>
    </row>
    <row r="711" spans="1:15" ht="15" customHeight="1" x14ac:dyDescent="0.25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60"/>
    </row>
    <row r="712" spans="1:15" ht="15" customHeight="1" x14ac:dyDescent="0.25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60"/>
    </row>
    <row r="713" spans="1:15" ht="15" customHeight="1" x14ac:dyDescent="0.25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60"/>
    </row>
    <row r="714" spans="1:15" ht="15" customHeight="1" x14ac:dyDescent="0.25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60"/>
    </row>
    <row r="715" spans="1:15" ht="15" customHeight="1" x14ac:dyDescent="0.25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60"/>
    </row>
    <row r="716" spans="1:15" ht="15.75" customHeight="1" x14ac:dyDescent="0.25">
      <c r="A716" s="79" t="s">
        <v>190</v>
      </c>
      <c r="B716" s="80"/>
      <c r="C716" s="80"/>
      <c r="D716" s="80"/>
      <c r="E716" s="81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61"/>
      <c r="L716" s="61"/>
      <c r="M716" s="38">
        <f ca="1">IFERROR(SUM(M704:M715),"")</f>
        <v>0</v>
      </c>
      <c r="N716" s="36" t="s">
        <v>191</v>
      </c>
      <c r="O716" s="39"/>
    </row>
    <row r="717" spans="1:15" ht="15" customHeight="1" x14ac:dyDescent="0.25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60"/>
    </row>
    <row r="718" spans="1:15" ht="15" customHeight="1" x14ac:dyDescent="0.25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60"/>
    </row>
    <row r="719" spans="1:15" ht="15" customHeight="1" x14ac:dyDescent="0.25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60"/>
    </row>
    <row r="720" spans="1:15" ht="15" customHeight="1" x14ac:dyDescent="0.25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60"/>
    </row>
    <row r="721" spans="1:15" ht="15" customHeight="1" x14ac:dyDescent="0.25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60"/>
    </row>
    <row r="722" spans="1:15" ht="15" customHeight="1" x14ac:dyDescent="0.25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60"/>
    </row>
    <row r="723" spans="1:15" ht="15" customHeight="1" x14ac:dyDescent="0.25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60"/>
    </row>
    <row r="724" spans="1:15" ht="15" customHeight="1" x14ac:dyDescent="0.25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60"/>
    </row>
    <row r="725" spans="1:15" ht="15" customHeight="1" x14ac:dyDescent="0.25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60"/>
    </row>
    <row r="726" spans="1:15" ht="15" customHeight="1" x14ac:dyDescent="0.25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60"/>
    </row>
    <row r="727" spans="1:15" ht="15" customHeight="1" x14ac:dyDescent="0.25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60"/>
    </row>
    <row r="728" spans="1:15" ht="15" customHeight="1" x14ac:dyDescent="0.25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60"/>
    </row>
    <row r="729" spans="1:15" ht="15.75" customHeight="1" x14ac:dyDescent="0.25">
      <c r="A729" s="79" t="s">
        <v>192</v>
      </c>
      <c r="B729" s="80"/>
      <c r="C729" s="80"/>
      <c r="D729" s="80"/>
      <c r="E729" s="81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61"/>
      <c r="L729" s="61"/>
      <c r="M729" s="38">
        <f ca="1">IFERROR(SUM(M717:M728),"")</f>
        <v>0</v>
      </c>
      <c r="N729" s="36" t="s">
        <v>191</v>
      </c>
      <c r="O729" s="39"/>
    </row>
    <row r="730" spans="1:15" ht="18" customHeight="1" x14ac:dyDescent="0.25">
      <c r="A730" s="82" t="s">
        <v>193</v>
      </c>
      <c r="B730" s="83"/>
      <c r="C730" s="83"/>
      <c r="D730" s="83"/>
      <c r="E730" s="84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63"/>
      <c r="L730" s="63"/>
      <c r="M730" s="42">
        <f ca="1">IFERROR(M716+M729,"")</f>
        <v>0</v>
      </c>
      <c r="N730" s="40" t="s">
        <v>194</v>
      </c>
      <c r="O730" s="48">
        <f>IFERROR(O716+O729,"")</f>
        <v>0</v>
      </c>
    </row>
    <row r="731" spans="1:15" ht="15" customHeight="1" x14ac:dyDescent="0.25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60"/>
    </row>
    <row r="732" spans="1:15" ht="15" customHeight="1" x14ac:dyDescent="0.25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60"/>
    </row>
    <row r="733" spans="1:15" ht="15" customHeight="1" x14ac:dyDescent="0.25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60"/>
    </row>
    <row r="734" spans="1:15" ht="15" customHeight="1" x14ac:dyDescent="0.25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60"/>
    </row>
    <row r="735" spans="1:15" ht="15" customHeight="1" x14ac:dyDescent="0.25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60"/>
    </row>
    <row r="736" spans="1:15" ht="15" customHeight="1" x14ac:dyDescent="0.25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60"/>
    </row>
    <row r="737" spans="1:15" ht="15" customHeight="1" x14ac:dyDescent="0.25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60"/>
    </row>
    <row r="738" spans="1:15" ht="15" customHeight="1" x14ac:dyDescent="0.25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60"/>
    </row>
    <row r="739" spans="1:15" ht="15" customHeight="1" x14ac:dyDescent="0.25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60"/>
    </row>
    <row r="740" spans="1:15" ht="15" customHeight="1" x14ac:dyDescent="0.25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60"/>
    </row>
    <row r="741" spans="1:15" ht="15" customHeight="1" x14ac:dyDescent="0.25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60"/>
    </row>
    <row r="742" spans="1:15" ht="15" customHeight="1" x14ac:dyDescent="0.25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60"/>
    </row>
    <row r="743" spans="1:15" ht="15.75" customHeight="1" x14ac:dyDescent="0.25">
      <c r="A743" s="79" t="s">
        <v>190</v>
      </c>
      <c r="B743" s="80"/>
      <c r="C743" s="80"/>
      <c r="D743" s="80"/>
      <c r="E743" s="81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61"/>
      <c r="L743" s="61"/>
      <c r="M743" s="38">
        <f ca="1">IFERROR(SUM(M731:M742),"")</f>
        <v>0</v>
      </c>
      <c r="N743" s="36" t="s">
        <v>191</v>
      </c>
      <c r="O743" s="39"/>
    </row>
    <row r="744" spans="1:15" ht="15" customHeight="1" x14ac:dyDescent="0.25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60"/>
    </row>
    <row r="745" spans="1:15" ht="15" customHeight="1" x14ac:dyDescent="0.25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60"/>
    </row>
    <row r="746" spans="1:15" ht="15" customHeight="1" x14ac:dyDescent="0.25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60"/>
    </row>
    <row r="747" spans="1:15" ht="15" customHeight="1" x14ac:dyDescent="0.25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60"/>
    </row>
    <row r="748" spans="1:15" ht="15" customHeight="1" x14ac:dyDescent="0.25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60"/>
    </row>
    <row r="749" spans="1:15" ht="15" customHeight="1" x14ac:dyDescent="0.25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60"/>
    </row>
    <row r="750" spans="1:15" ht="15" customHeight="1" x14ac:dyDescent="0.25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60"/>
    </row>
    <row r="751" spans="1:15" ht="15" customHeight="1" x14ac:dyDescent="0.25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60"/>
    </row>
    <row r="752" spans="1:15" ht="15" customHeight="1" x14ac:dyDescent="0.25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60"/>
    </row>
    <row r="753" spans="1:15" ht="15" customHeight="1" x14ac:dyDescent="0.25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60"/>
    </row>
    <row r="754" spans="1:15" ht="15" customHeight="1" x14ac:dyDescent="0.25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60"/>
    </row>
    <row r="755" spans="1:15" ht="15" customHeight="1" x14ac:dyDescent="0.25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60"/>
    </row>
    <row r="756" spans="1:15" ht="15.75" customHeight="1" x14ac:dyDescent="0.25">
      <c r="A756" s="79" t="s">
        <v>192</v>
      </c>
      <c r="B756" s="80"/>
      <c r="C756" s="80"/>
      <c r="D756" s="80"/>
      <c r="E756" s="81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61"/>
      <c r="L756" s="61"/>
      <c r="M756" s="38">
        <f ca="1">IFERROR(SUM(M744:M755),"")</f>
        <v>0</v>
      </c>
      <c r="N756" s="36" t="s">
        <v>191</v>
      </c>
      <c r="O756" s="39"/>
    </row>
    <row r="757" spans="1:15" ht="18" customHeight="1" x14ac:dyDescent="0.25">
      <c r="A757" s="82" t="s">
        <v>193</v>
      </c>
      <c r="B757" s="83"/>
      <c r="C757" s="83"/>
      <c r="D757" s="83"/>
      <c r="E757" s="84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63"/>
      <c r="L757" s="63"/>
      <c r="M757" s="42">
        <f ca="1">IFERROR(M743+M756,"")</f>
        <v>0</v>
      </c>
      <c r="N757" s="40" t="s">
        <v>194</v>
      </c>
      <c r="O757" s="48">
        <f>IFERROR(O743+O756,"")</f>
        <v>0</v>
      </c>
    </row>
    <row r="758" spans="1:15" ht="15" customHeight="1" x14ac:dyDescent="0.25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60"/>
    </row>
    <row r="759" spans="1:15" ht="15" customHeight="1" x14ac:dyDescent="0.25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60"/>
    </row>
    <row r="760" spans="1:15" ht="15" customHeight="1" x14ac:dyDescent="0.25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60"/>
    </row>
    <row r="761" spans="1:15" ht="15" customHeight="1" x14ac:dyDescent="0.25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60"/>
    </row>
    <row r="762" spans="1:15" ht="15" customHeight="1" x14ac:dyDescent="0.25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60"/>
    </row>
    <row r="763" spans="1:15" ht="15" customHeight="1" x14ac:dyDescent="0.25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60"/>
    </row>
    <row r="764" spans="1:15" ht="15" customHeight="1" x14ac:dyDescent="0.25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60"/>
    </row>
    <row r="765" spans="1:15" ht="15" customHeight="1" x14ac:dyDescent="0.25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60"/>
    </row>
    <row r="766" spans="1:15" ht="15" customHeight="1" x14ac:dyDescent="0.25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60"/>
    </row>
    <row r="767" spans="1:15" ht="15" customHeight="1" x14ac:dyDescent="0.25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60"/>
    </row>
    <row r="768" spans="1:15" ht="15" customHeight="1" x14ac:dyDescent="0.25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60"/>
    </row>
    <row r="769" spans="1:15" ht="15" customHeight="1" x14ac:dyDescent="0.25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60"/>
    </row>
    <row r="770" spans="1:15" ht="15.75" customHeight="1" x14ac:dyDescent="0.25">
      <c r="A770" s="79" t="s">
        <v>190</v>
      </c>
      <c r="B770" s="80"/>
      <c r="C770" s="80"/>
      <c r="D770" s="80"/>
      <c r="E770" s="81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61"/>
      <c r="L770" s="61"/>
      <c r="M770" s="38">
        <f ca="1">IFERROR(SUM(M758:M769),"")</f>
        <v>0</v>
      </c>
      <c r="N770" s="36" t="s">
        <v>191</v>
      </c>
      <c r="O770" s="39"/>
    </row>
    <row r="771" spans="1:15" ht="15" customHeight="1" x14ac:dyDescent="0.25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60"/>
    </row>
    <row r="772" spans="1:15" ht="15" customHeight="1" x14ac:dyDescent="0.25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60"/>
    </row>
    <row r="773" spans="1:15" ht="15" customHeight="1" x14ac:dyDescent="0.25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60"/>
    </row>
    <row r="774" spans="1:15" ht="15" customHeight="1" x14ac:dyDescent="0.25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60"/>
    </row>
    <row r="775" spans="1:15" ht="15" customHeight="1" x14ac:dyDescent="0.25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60"/>
    </row>
    <row r="776" spans="1:15" ht="15" customHeight="1" x14ac:dyDescent="0.25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60"/>
    </row>
    <row r="777" spans="1:15" ht="15" customHeight="1" x14ac:dyDescent="0.25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60"/>
    </row>
    <row r="778" spans="1:15" ht="15" customHeight="1" x14ac:dyDescent="0.25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60"/>
    </row>
    <row r="779" spans="1:15" ht="15" customHeight="1" x14ac:dyDescent="0.25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60"/>
    </row>
    <row r="780" spans="1:15" ht="15" customHeight="1" x14ac:dyDescent="0.25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60"/>
    </row>
    <row r="781" spans="1:15" ht="15" customHeight="1" x14ac:dyDescent="0.25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60"/>
    </row>
    <row r="782" spans="1:15" ht="15" customHeight="1" x14ac:dyDescent="0.25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60"/>
    </row>
    <row r="783" spans="1:15" ht="15.75" customHeight="1" x14ac:dyDescent="0.25">
      <c r="A783" s="79" t="s">
        <v>192</v>
      </c>
      <c r="B783" s="80"/>
      <c r="C783" s="80"/>
      <c r="D783" s="80"/>
      <c r="E783" s="81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61"/>
      <c r="L783" s="61"/>
      <c r="M783" s="38">
        <f ca="1">IFERROR(SUM(M771:M782),"")</f>
        <v>0</v>
      </c>
      <c r="N783" s="36" t="s">
        <v>191</v>
      </c>
      <c r="O783" s="39"/>
    </row>
    <row r="784" spans="1:15" ht="18" customHeight="1" x14ac:dyDescent="0.25">
      <c r="A784" s="82" t="s">
        <v>193</v>
      </c>
      <c r="B784" s="83"/>
      <c r="C784" s="83"/>
      <c r="D784" s="83"/>
      <c r="E784" s="84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63"/>
      <c r="L784" s="63"/>
      <c r="M784" s="42">
        <f ca="1">IFERROR(M770+M783,"")</f>
        <v>0</v>
      </c>
      <c r="N784" s="40" t="s">
        <v>194</v>
      </c>
      <c r="O784" s="48">
        <f>IFERROR(O770+O783,"")</f>
        <v>0</v>
      </c>
    </row>
    <row r="785" spans="1:15" ht="15" customHeight="1" x14ac:dyDescent="0.25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60"/>
    </row>
    <row r="786" spans="1:15" ht="15" customHeight="1" x14ac:dyDescent="0.25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60"/>
    </row>
    <row r="787" spans="1:15" ht="15" customHeight="1" x14ac:dyDescent="0.25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60"/>
    </row>
    <row r="788" spans="1:15" ht="15" customHeight="1" x14ac:dyDescent="0.25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60"/>
    </row>
    <row r="789" spans="1:15" ht="15" customHeight="1" x14ac:dyDescent="0.25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60"/>
    </row>
    <row r="790" spans="1:15" ht="15" customHeight="1" x14ac:dyDescent="0.25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60"/>
    </row>
    <row r="791" spans="1:15" ht="15" customHeight="1" x14ac:dyDescent="0.25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60"/>
    </row>
    <row r="792" spans="1:15" ht="15" customHeight="1" x14ac:dyDescent="0.25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60"/>
    </row>
    <row r="793" spans="1:15" ht="15" customHeight="1" x14ac:dyDescent="0.25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60"/>
    </row>
    <row r="794" spans="1:15" ht="15" customHeight="1" x14ac:dyDescent="0.25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60"/>
    </row>
    <row r="795" spans="1:15" ht="15" customHeight="1" x14ac:dyDescent="0.25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60"/>
    </row>
    <row r="796" spans="1:15" ht="15" customHeight="1" x14ac:dyDescent="0.25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60"/>
    </row>
    <row r="797" spans="1:15" ht="15.75" customHeight="1" x14ac:dyDescent="0.25">
      <c r="A797" s="79" t="s">
        <v>190</v>
      </c>
      <c r="B797" s="80"/>
      <c r="C797" s="80"/>
      <c r="D797" s="80"/>
      <c r="E797" s="81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61"/>
      <c r="L797" s="61"/>
      <c r="M797" s="38">
        <f ca="1">IFERROR(SUM(M785:M796),"")</f>
        <v>0</v>
      </c>
      <c r="N797" s="36" t="s">
        <v>191</v>
      </c>
      <c r="O797" s="39"/>
    </row>
    <row r="798" spans="1:15" ht="15" customHeight="1" x14ac:dyDescent="0.25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60"/>
    </row>
    <row r="799" spans="1:15" ht="15" customHeight="1" x14ac:dyDescent="0.25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60"/>
    </row>
    <row r="800" spans="1:15" ht="15" customHeight="1" x14ac:dyDescent="0.25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60"/>
    </row>
    <row r="801" spans="1:15" ht="15" customHeight="1" x14ac:dyDescent="0.25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60"/>
    </row>
    <row r="802" spans="1:15" ht="15" customHeight="1" x14ac:dyDescent="0.25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60"/>
    </row>
    <row r="803" spans="1:15" ht="15" customHeight="1" x14ac:dyDescent="0.25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60"/>
    </row>
    <row r="804" spans="1:15" ht="15" customHeight="1" x14ac:dyDescent="0.25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60"/>
    </row>
    <row r="805" spans="1:15" ht="15" customHeight="1" x14ac:dyDescent="0.25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60"/>
    </row>
    <row r="806" spans="1:15" ht="15" customHeight="1" x14ac:dyDescent="0.25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60"/>
    </row>
    <row r="807" spans="1:15" ht="15" customHeight="1" x14ac:dyDescent="0.25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60"/>
    </row>
    <row r="808" spans="1:15" ht="15" customHeight="1" x14ac:dyDescent="0.25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60"/>
    </row>
    <row r="809" spans="1:15" ht="15" customHeight="1" x14ac:dyDescent="0.25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60"/>
    </row>
    <row r="810" spans="1:15" ht="15.75" customHeight="1" x14ac:dyDescent="0.25">
      <c r="A810" s="79" t="s">
        <v>192</v>
      </c>
      <c r="B810" s="80"/>
      <c r="C810" s="80"/>
      <c r="D810" s="80"/>
      <c r="E810" s="81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61"/>
      <c r="L810" s="61"/>
      <c r="M810" s="38">
        <f ca="1">IFERROR(SUM(M798:M809),"")</f>
        <v>0</v>
      </c>
      <c r="N810" s="36" t="s">
        <v>191</v>
      </c>
      <c r="O810" s="39"/>
    </row>
    <row r="811" spans="1:15" ht="18" customHeight="1" x14ac:dyDescent="0.25">
      <c r="A811" s="82" t="s">
        <v>193</v>
      </c>
      <c r="B811" s="83"/>
      <c r="C811" s="83"/>
      <c r="D811" s="83"/>
      <c r="E811" s="84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63"/>
      <c r="L811" s="63"/>
      <c r="M811" s="42">
        <f ca="1">IFERROR(M797+M810,"")</f>
        <v>0</v>
      </c>
      <c r="N811" s="40" t="s">
        <v>194</v>
      </c>
      <c r="O811" s="43">
        <f>IFERROR(O797+O810,"")</f>
        <v>0</v>
      </c>
    </row>
  </sheetData>
  <mergeCells count="90"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95:E595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702:E702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783:E783"/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</mergeCells>
  <dataValidations count="2">
    <dataValidation type="list" showErrorMessage="1" errorTitle="Atenção" error="Selecione primeiro o Tipo de Parada (col G) e depois escolha a Descrição da lista." sqref="J2:J900" xr:uid="{00000000-0002-0000-05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2:E13 E29:E811 E15:E26" xr:uid="{00000000-0002-0000-0500-000001000000}">
      <formula1>"PC 17,PC 19"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5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500-000003000000}">
          <x14:formula1>
            <xm:f>Cadastro!$C$4:$C$10</xm:f>
          </x14:formula1>
          <x14:formula2>
            <xm:f>0</xm:f>
          </x14:formula2>
          <xm:sqref>D15:D26 D2:D13 D29:D900</xm:sqref>
        </x14:dataValidation>
        <x14:dataValidation type="list" allowBlank="1" showErrorMessage="1" errorTitle="Valor inválido" error="Selecione da lista." xr:uid="{00000000-0002-0000-05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5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Props1.xml><?xml version="1.0" encoding="utf-8"?>
<ds:datastoreItem xmlns:ds="http://schemas.openxmlformats.org/officeDocument/2006/customXml" ds:itemID="{2878EAE7-5404-4D83-90A8-98DF7BC2EF45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771c9ca5-affe-4166-ad8c-7e4536f98f4b"/>
    <ds:schemaRef ds:uri="96dcb152-1051-46f1-b38f-17beadf9ed92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customXml/itemProps2.xml><?xml version="1.0" encoding="utf-8"?>
<ds:datastoreItem xmlns:ds="http://schemas.openxmlformats.org/officeDocument/2006/customXml" ds:itemID="{288F5DF9-2BBC-43A5-A79A-7C7087BA3892}">
  <ds:schemaRefs>
    <ds:schemaRef ds:uri="http://schemas.microsoft.com/sharepoint/v3/contenttype/forms"/>
  </ds:schemaRefs>
</ds:datastoreItem>
</file>

<file path=customXml/itemProps3.xml><?xml version="1.0" encoding="utf-8"?>
<ds:datastoreItem xmlns:ds="http://schemas.openxmlformats.org/officeDocument/2006/customXml" ds:itemID="{60A38338-7112-4F45-BCE1-49C5EC8DDAF1}">
  <ds:schemaRefs>
    <ds:schemaRef ds:uri="http://schemas.microsoft.com/office/2006/metadata/properties"/>
    <ds:schemaRef ds:uri="http://schemas.microsoft.com/office/infopath/2007/PartnerControls"/>
    <ds:schemaRef ds:uri="771c9ca5-affe-4166-ad8c-7e4536f98f4b"/>
    <ds:schemaRef ds:uri="96dcb152-1051-46f1-b38f-17beadf9ed92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Planilhas</vt:lpstr>
      </vt:variant>
      <vt:variant>
        <vt:i4>6</vt:i4>
      </vt:variant>
      <vt:variant>
        <vt:lpstr>Intervalos Nomeados</vt:lpstr>
      </vt:variant>
      <vt:variant>
        <vt:i4>6</vt:i4>
      </vt:variant>
    </vt:vector>
  </HeadingPairs>
  <TitlesOfParts>
    <vt:vector size="12" baseType="lpstr">
      <vt:lpstr>Resumo</vt:lpstr>
      <vt:lpstr>Cadastro</vt:lpstr>
      <vt:lpstr>Britador</vt:lpstr>
      <vt:lpstr>Linha 1</vt:lpstr>
      <vt:lpstr>Linha 2</vt:lpstr>
      <vt:lpstr>Linha 3</vt:lpstr>
      <vt:lpstr>Desc_</vt:lpstr>
      <vt:lpstr>Desc_Corretiva_eletrica</vt:lpstr>
      <vt:lpstr>Desc_Corretiva_mecanica</vt:lpstr>
      <vt:lpstr>Desc_Operacional</vt:lpstr>
      <vt:lpstr>Desc_Preventiva</vt:lpstr>
      <vt:lpstr>Desc_Troca_de_componente_de_desgaste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Desktop CCO01</cp:lastModifiedBy>
  <cp:revision>0</cp:revision>
  <dcterms:created xsi:type="dcterms:W3CDTF">2026-06-05T19:56:02Z</dcterms:created>
  <dcterms:modified xsi:type="dcterms:W3CDTF">2026-07-02T11:43:36Z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