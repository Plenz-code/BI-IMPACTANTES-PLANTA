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48" documentId="13_ncr:1_{0A10D8D4-8450-4366-8075-B53B08E6B7EA}" xr6:coauthVersionLast="47" xr6:coauthVersionMax="47" xr10:uidLastSave="{8CC64C5E-8827-42DC-B703-8FAA777351F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6" i="6" l="1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<sst xmlns="http://schemas.openxmlformats.org/spreadsheetml/2006/main" count="7348" uniqueCount="360">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</sst>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8" sqref="F428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205</v>
      </c>
      <c r="G432" s="36">
        <f>SUM(G420:G431)</f>
        <v>1025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415</v>
      </c>
      <c r="G433" s="40">
        <f>G419+G432</f>
        <v>2075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01" activePane="bottomLeft" state="frozen"/>
      <selection pane="bottomLeft" activeCell="O427" sqref="O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4.0953356481622905E-2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0.1798422453705118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0.26456446759273411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/>
      <c r="M426" s="26"/>
      <c r="N426" s="26"/>
      <c r="O426" s="29">
        <v>0.16180555555555556</v>
      </c>
      <c r="P426" s="29"/>
      <c r="Q426" s="30">
        <f t="shared" ca="1" si="104"/>
        <v>6.7557870352175087E-4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126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529.20000000000005</v>
      </c>
      <c r="L432" s="37"/>
      <c r="M432" s="37"/>
      <c r="N432" s="37"/>
      <c r="O432" s="37"/>
      <c r="P432" s="37"/>
      <c r="Q432" s="38">
        <f ca="1">IFERROR(SUM(Q420:Q431),"")</f>
        <v>6.1092245370188557E-2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273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1146.6000000000001</v>
      </c>
      <c r="L433" s="41"/>
      <c r="M433" s="41"/>
      <c r="N433" s="41"/>
      <c r="O433" s="41"/>
      <c r="P433" s="41"/>
      <c r="Q433" s="42">
        <f ca="1">IFERROR(Q419+Q432,"")</f>
        <v>0.1520644675924108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G428" sqref="G428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126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634.20000000000005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8" sqref="G428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140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588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282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1184.4000000000001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2026-08-17T07:54:31Z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