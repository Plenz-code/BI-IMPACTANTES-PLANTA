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84" documentId="8_{AF585B22-221D-4780-BB9C-493D365A6A02}" xr6:coauthVersionLast="47" xr6:coauthVersionMax="47" xr10:uidLastSave="{9C4FAD1A-E1B6-449B-971F-56C18C8329C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<sst xmlns="http://schemas.openxmlformats.org/spreadsheetml/2006/main" count="9840" uniqueCount="385">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</sst>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19" activePane="bottomLeft" state="frozen"/>
      <selection pane="bottomLeft" activeCell="J636" sqref="J6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/>
      <c r="M636" s="30">
        <f t="shared" ref="M636:M647" ca="1" si="142">IFERROR(IF(K636="","",IF(L636="",MOD(NOW()-K636,1),IF(L636&gt;=K636,L636-K636,L636+1-K636))),"")</f>
        <v>1.6924768497119658E-3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171</v>
      </c>
      <c r="G648" s="36">
        <f>SUM(G636:G647)</f>
        <v>855</v>
      </c>
      <c r="H648" s="37"/>
      <c r="I648" s="37"/>
      <c r="J648" s="37"/>
      <c r="K648" s="37"/>
      <c r="L648" s="37"/>
      <c r="M648" s="38">
        <f ca="1">IFERROR(SUM(M636:M647),"")</f>
        <v>1.6924768497119658E-3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504</v>
      </c>
      <c r="G649" s="40">
        <f>G635+G648</f>
        <v>2520</v>
      </c>
      <c r="H649" s="41"/>
      <c r="I649" s="41"/>
      <c r="J649" s="41"/>
      <c r="K649" s="41"/>
      <c r="L649" s="41"/>
      <c r="M649" s="42">
        <f ca="1">IFERROR(M635+M648,"")</f>
        <v>1.6924768497119658E-3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0.830164699073066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0.98780358796195489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1.0975258101841772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0.80863692129787523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0.97947025463120863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1.1246091435200976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/>
      <c r="M638" s="30">
        <f t="shared" ca="1" si="142"/>
        <v>4.8914699073066004E-2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98</v>
      </c>
      <c r="G648" s="36">
        <f>SUM(G636:G647)</f>
        <v>411.6</v>
      </c>
      <c r="H648" s="37"/>
      <c r="I648" s="37"/>
      <c r="J648" s="37"/>
      <c r="K648" s="37"/>
      <c r="L648" s="37"/>
      <c r="M648" s="38">
        <f ca="1">IFERROR(SUM(M636:M647),"")</f>
        <v>7.2525810184177142E-2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191</v>
      </c>
      <c r="G649" s="40">
        <f>G635+G648</f>
        <v>802.2</v>
      </c>
      <c r="H649" s="41"/>
      <c r="I649" s="41"/>
      <c r="J649" s="41"/>
      <c r="K649" s="41"/>
      <c r="L649" s="41"/>
      <c r="M649" s="42">
        <f ca="1">IFERROR(M635+M648,"")</f>
        <v>1.0482202546286215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2" sqref="F6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/>
      <c r="M636" s="30">
        <f t="shared" ref="M636:M647" ca="1" si="142">IFERROR(IF(K636="","",IF(L636="",MOD(NOW()-K636,1),IF(L636&gt;=K636,L636-K636,L636+1-K636))),"")</f>
        <v>4.8914699073066004E-2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55</v>
      </c>
      <c r="G648" s="36">
        <f>SUM(G636:G647)</f>
        <v>231</v>
      </c>
      <c r="H648" s="37"/>
      <c r="I648" s="37"/>
      <c r="J648" s="37"/>
      <c r="K648" s="37"/>
      <c r="L648" s="37"/>
      <c r="M648" s="38">
        <f ca="1">IFERROR(SUM(M636:M647),"")</f>
        <v>4.8914699073066004E-2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201</v>
      </c>
      <c r="G649" s="40">
        <f>G635+G648</f>
        <v>844.19999999999993</v>
      </c>
      <c r="H649" s="41"/>
      <c r="I649" s="41"/>
      <c r="J649" s="41"/>
      <c r="K649" s="41"/>
      <c r="L649" s="41"/>
      <c r="M649" s="42">
        <f ca="1">IFERROR(M635+M648,"")</f>
        <v>5.4470254628621539E-2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L638" sqref="L6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0.82044247685553273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1.0197480324110884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1.3871091435221994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0.23541666666666672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0.4118055555555557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2026-07-25T05:40:28Z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