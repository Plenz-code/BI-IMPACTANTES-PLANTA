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63" documentId="13_ncr:1_{0A10D8D4-8450-4366-8075-B53B08E6B7EA}" xr6:coauthVersionLast="47" xr6:coauthVersionMax="47" xr10:uidLastSave="{6932309D-06E9-40DF-9912-FE4B94C577E5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9" i="6"/>
  <c r="J429" i="6" s="1"/>
  <c r="H430" i="6"/>
  <c r="J430" i="6" s="1"/>
  <c r="H431" i="6"/>
  <c r="J43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9" i="5"/>
  <c r="J429" i="5" s="1"/>
  <c r="H430" i="5"/>
  <c r="J430" i="5" s="1"/>
  <c r="H431" i="5"/>
  <c r="J43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9" i="4"/>
  <c r="J429" i="4" s="1"/>
  <c r="H430" i="4"/>
  <c r="J430" i="4" s="1"/>
  <c r="H431" i="4"/>
  <c r="J43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H428" i="6" s="1"/>
  <c r="J428" i="6" s="1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H428" i="5" s="1"/>
  <c r="J428" i="5" s="1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H428" i="4" s="1"/>
  <c r="J428" i="4" s="1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26" i="6" l="1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<sst xmlns="http://schemas.openxmlformats.org/spreadsheetml/2006/main" count="7354" uniqueCount="360">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</sst>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P24" sqref="P24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8" activePane="bottomLeft" state="frozen"/>
      <selection pane="bottomLeft" activeCell="F429" sqref="F429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235</v>
      </c>
      <c r="G432" s="36">
        <f>SUM(G420:G431)</f>
        <v>1175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445</v>
      </c>
      <c r="G433" s="40">
        <f>G419+G432</f>
        <v>2225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01" activePane="bottomLeft" state="frozen"/>
      <selection pane="bottomLeft" activeCell="P427" sqref="P427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7.2967708329088055E-2</v>
      </c>
      <c r="R53" s="46" t="s">
        <v>281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0.21185659721797695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0.29657881944019926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2"/>
        <v>0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2"/>
        <v>0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0</v>
      </c>
      <c r="I427" s="135">
        <f>IFERROR(IF($D427="","",VLOOKUP($D427,Cadastro!$C$4:$G$7,5,FALSE)),"")</f>
        <v>0.6</v>
      </c>
      <c r="J427" s="136">
        <f t="shared" si="102"/>
        <v>0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2"/>
        <v>0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130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546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277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1163.4000000000001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07" activePane="bottomLeft" state="frozen"/>
      <selection pane="bottomLeft" activeCell="G429" sqref="G42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307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308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307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307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309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310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311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312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314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315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316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317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318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320</v>
      </c>
      <c r="Q222" s="30" t="str">
        <f t="shared" ca="1" si="49"/>
        <v/>
      </c>
      <c r="R222" s="27" t="s">
        <v>321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322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323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324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325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0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326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0"/>
        <v>0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0"/>
        <v>0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0"/>
        <v>0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0"/>
        <v>0</v>
      </c>
      <c r="K424" s="28">
        <f t="shared" si="101"/>
        <v>16.8</v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0"/>
        <v>0</v>
      </c>
      <c r="K425" s="34">
        <f t="shared" si="101"/>
        <v>16.8</v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0"/>
        <v>0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0</v>
      </c>
      <c r="I427" s="135">
        <f>IFERROR(IF($D427="","",VLOOKUP($D427,Cadastro!$C$4:$G$7,5,FALSE)),"")</f>
        <v>0.6</v>
      </c>
      <c r="J427" s="136">
        <f t="shared" si="100"/>
        <v>0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30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126</v>
      </c>
      <c r="L432" s="37"/>
      <c r="M432" s="37"/>
      <c r="N432" s="37"/>
      <c r="O432" s="37"/>
      <c r="P432" s="37"/>
      <c r="Q432" s="38">
        <f ca="1">IFERROR(SUM(Q420:Q431),"")</f>
        <v>8.4722222222222282E-2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151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634.20000000000005</v>
      </c>
      <c r="L433" s="41"/>
      <c r="M433" s="41"/>
      <c r="N433" s="41"/>
      <c r="O433" s="41"/>
      <c r="P433" s="41"/>
      <c r="Q433" s="42">
        <f ca="1">IFERROR(Q419+Q432,"")</f>
        <v>0.15763888888888902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95" activePane="bottomLeft" state="frozen"/>
      <selection pane="bottomLeft" activeCell="P427" sqref="P427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307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307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307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307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350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351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352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353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354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355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356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357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358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359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2"/>
        <v>0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2"/>
        <v>0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0</v>
      </c>
      <c r="I427" s="135">
        <f>IFERROR(IF($D427="","",VLOOKUP($D427,Cadastro!$C$4:$G$7,5,FALSE)),"")</f>
        <v>0.6</v>
      </c>
      <c r="J427" s="136">
        <f t="shared" si="102"/>
        <v>0</v>
      </c>
      <c r="K427" s="34">
        <f t="shared" si="103"/>
        <v>79.8</v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2"/>
        <v>0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153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642.6</v>
      </c>
      <c r="L432" s="37"/>
      <c r="M432" s="37"/>
      <c r="N432" s="37"/>
      <c r="O432" s="61"/>
      <c r="P432" s="61"/>
      <c r="Q432" s="38">
        <f ca="1">IFERROR(SUM(Q420:Q431),"")</f>
        <v>8.333333333333337E-2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295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1239</v>
      </c>
      <c r="L433" s="41"/>
      <c r="M433" s="41"/>
      <c r="N433" s="41"/>
      <c r="O433" s="63"/>
      <c r="P433" s="63"/>
      <c r="Q433" s="42">
        <f ca="1">IFERROR(Q419+Q432,"")</f>
        <v>0.19861111111111118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i:0#.f|membership|controle.planta@harpiagold.com.br</cp:lastModifiedBy>
  <cp:revision>0</cp:revision>
  <dcterms:created xsi:type="dcterms:W3CDTF">2026-06-05T19:56:02Z</dcterms:created>
  <dcterms:modified xsi:type="dcterms:W3CDTF">2026-08-17T08:40:16Z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