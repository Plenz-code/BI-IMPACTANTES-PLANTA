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694" documentId="13_ncr:1_{0A10D8D4-8450-4366-8075-B53B08E6B7EA}" xr6:coauthVersionLast="47" xr6:coauthVersionMax="47" xr10:uidLastSave="{CBB03E6B-02FE-4AC5-BBD7-8422546ED306}"/>
  <bookViews>
    <workbookView xWindow="-110" yWindow="-110" windowWidth="25820" windowHeight="15500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406" i="4" l="1"/>
  <c r="K406" i="5"/>
  <c r="K406" i="6"/>
  <c r="G406" i="6"/>
  <c r="G406" i="5"/>
  <c r="G406" i="4"/>
  <c r="F406" i="3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810" i="5"/>
  <c r="T810" i="5" s="1"/>
  <c r="J473" i="4"/>
  <c r="T473" i="4" s="1"/>
  <c r="J446" i="6"/>
  <c r="T446" i="6" s="1"/>
  <c r="J540" i="6"/>
  <c r="T540" i="6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621" i="4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473" i="5"/>
  <c r="H581" i="5"/>
  <c r="H621" i="5"/>
  <c r="H648" i="5"/>
  <c r="H459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486" i="4"/>
  <c r="H581" i="4"/>
  <c r="H595" i="4" s="1"/>
  <c r="H770" i="4"/>
  <c r="H635" i="4"/>
  <c r="H648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797" i="6"/>
  <c r="H446" i="4"/>
  <c r="H675" i="4"/>
  <c r="H797" i="5"/>
  <c r="H324" i="5"/>
  <c r="H797" i="4"/>
  <c r="H783" i="6"/>
  <c r="H675" i="6"/>
  <c r="H662" i="4"/>
  <c r="H783" i="5"/>
  <c r="H554" i="5"/>
  <c r="H459" i="4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87" i="5"/>
  <c r="H676" i="5"/>
  <c r="H460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430" i="5" l="1"/>
  <c r="J430" i="5" s="1"/>
  <c r="H431" i="5"/>
  <c r="J431" i="5" s="1"/>
  <c r="H430" i="6"/>
  <c r="J430" i="6" s="1"/>
  <c r="H431" i="6"/>
  <c r="J431" i="6" s="1"/>
  <c r="H430" i="4"/>
  <c r="J430" i="4" s="1"/>
  <c r="H431" i="4"/>
  <c r="J431" i="4" s="1"/>
  <c r="H428" i="6"/>
  <c r="J428" i="6" s="1"/>
  <c r="H429" i="6"/>
  <c r="J429" i="6" s="1"/>
  <c r="H428" i="5"/>
  <c r="J428" i="5" s="1"/>
  <c r="H429" i="5"/>
  <c r="J429" i="5" s="1"/>
  <c r="H428" i="4"/>
  <c r="J428" i="4" s="1"/>
  <c r="H429" i="4"/>
  <c r="J429" i="4" s="1"/>
  <c r="H426" i="6"/>
  <c r="J426" i="6" s="1"/>
  <c r="H427" i="6"/>
  <c r="J427" i="6" s="1"/>
  <c r="H426" i="5"/>
  <c r="J426" i="5" s="1"/>
  <c r="H427" i="5"/>
  <c r="J427" i="5" s="1"/>
  <c r="H426" i="4"/>
  <c r="J426" i="4" s="1"/>
  <c r="H427" i="4"/>
  <c r="J427" i="4" s="1"/>
  <c r="H424" i="6"/>
  <c r="J424" i="6" s="1"/>
  <c r="H425" i="6"/>
  <c r="J425" i="6" s="1"/>
  <c r="H424" i="5"/>
  <c r="J424" i="5" s="1"/>
  <c r="H425" i="5"/>
  <c r="J425" i="5" s="1"/>
  <c r="H424" i="4"/>
  <c r="J424" i="4" s="1"/>
  <c r="H425" i="4"/>
  <c r="J425" i="4" s="1"/>
  <c r="H422" i="6"/>
  <c r="J422" i="6" s="1"/>
  <c r="H423" i="6"/>
  <c r="J423" i="6" s="1"/>
  <c r="H422" i="5"/>
  <c r="J422" i="5" s="1"/>
  <c r="H423" i="5"/>
  <c r="J423" i="5" s="1"/>
  <c r="H422" i="4"/>
  <c r="J422" i="4" s="1"/>
  <c r="H423" i="4"/>
  <c r="J423" i="4" s="1"/>
  <c r="H420" i="6"/>
  <c r="H421" i="6"/>
  <c r="J421" i="6" s="1"/>
  <c r="H420" i="5"/>
  <c r="H421" i="5"/>
  <c r="J421" i="5" s="1"/>
  <c r="H420" i="4"/>
  <c r="H421" i="4"/>
  <c r="J421" i="4" s="1"/>
  <c r="J420" i="6"/>
  <c r="J432" i="6" s="1"/>
  <c r="T432" i="6" s="1"/>
  <c r="H432" i="6"/>
  <c r="J420" i="5"/>
  <c r="J432" i="5" s="1"/>
  <c r="T432" i="5" s="1"/>
  <c r="H432" i="5"/>
  <c r="J420" i="4"/>
  <c r="J432" i="4" s="1"/>
  <c r="T432" i="4" s="1"/>
  <c r="H432" i="4"/>
  <c r="H417" i="6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H419" i="4" l="1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33" i="4" l="1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<sst xmlns="http://schemas.openxmlformats.org/spreadsheetml/2006/main" count="7363" uniqueCount="360">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</sst>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7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9" fillId="3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F28" sqref="F28"/>
    </sheetView>
  </sheetViews>
  <sheetFormatPr defaultColWidth="8.5703125" defaultRowHeight="14.4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1" ht="31.5" customHeight="1">
      <c r="A1" s="164" t="s">
        <v>0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</row>
    <row r="2" spans="1:11" ht="30" customHeight="1">
      <c r="A2" s="162"/>
      <c r="B2" s="16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/>
      <c r="J18" s="129">
        <f t="shared" si="1"/>
        <v>0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1195500</v>
      </c>
      <c r="D19" s="11">
        <f>IFERROR('Linha 1'!S433,"")</f>
        <v>590830</v>
      </c>
      <c r="E19" s="11">
        <f>IFERROR('Linha 2'!S433,"")</f>
        <v>447620</v>
      </c>
      <c r="F19" s="11">
        <f>IFERROR('Linha 3'!S433,"")</f>
        <v>627410</v>
      </c>
      <c r="G19" s="12">
        <f t="shared" si="0"/>
        <v>1665860</v>
      </c>
      <c r="H19" s="96">
        <f>IFERROR('Linha 1'!T433+'Linha 2'!T433+'Linha 3'!T433,0)</f>
        <v>239.88383999999999</v>
      </c>
      <c r="I19" s="96"/>
      <c r="J19" s="129">
        <f t="shared" si="1"/>
        <v>0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3" t="s">
        <v>14</v>
      </c>
      <c r="B35" s="163"/>
      <c r="C35" s="13">
        <f t="shared" ref="C35:H35" si="2">IFERROR(SUM(C4:C34),"")</f>
        <v>57588020</v>
      </c>
      <c r="D35" s="13">
        <f t="shared" si="2"/>
        <v>18838850</v>
      </c>
      <c r="E35" s="13">
        <f t="shared" si="2"/>
        <v>9882290</v>
      </c>
      <c r="F35" s="13">
        <f t="shared" si="2"/>
        <v>24136340</v>
      </c>
      <c r="G35" s="13">
        <f t="shared" si="2"/>
        <v>52857480</v>
      </c>
      <c r="H35" s="97">
        <f t="shared" si="2"/>
        <v>3450.1791327907322</v>
      </c>
      <c r="I35" s="97">
        <f>IFERROR(SUM(I4:I34),"")</f>
        <v>2403.2399999999998</v>
      </c>
      <c r="J35" s="130">
        <f>IFERROR(AVERAGE(J4:J34),"-")</f>
        <v>0.5749422174907689</v>
      </c>
      <c r="K35" s="157">
        <f>SUM(K4:K34)</f>
        <v>450.78</v>
      </c>
    </row>
  </sheetData>
  <sheetProtection algorithmName="SHA-512" hashValue="IrfNho2feiWZfOO6d9dHLv1JXNgLv5M+T1rWWwVaGz2HqhHIHJyCr705on9TyGr+a1vmAN1YSqQCo1MQUxfY8Q==" saltValue="Q8MYCPwmSrWpCTh6lrtigA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54" zoomScale="85" zoomScaleNormal="85" workbookViewId="0"/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6" t="s">
        <v>15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7"/>
      <c r="N1" s="168" t="s">
        <v>16</v>
      </c>
      <c r="O1" s="168"/>
      <c r="P1" s="168"/>
      <c r="Q1" s="168"/>
      <c r="R1" s="168"/>
    </row>
    <row r="2" spans="1:18" ht="4.5" customHeight="1">
      <c r="M2" s="167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67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67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67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67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67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67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67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67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67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67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67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67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67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67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67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67"/>
      <c r="N20" s="16"/>
      <c r="O20" s="16"/>
      <c r="P20" s="16" t="s">
        <v>128</v>
      </c>
      <c r="Q20" s="16"/>
      <c r="R20" s="16" t="s">
        <v>129</v>
      </c>
    </row>
    <row r="21" spans="1:18" ht="15.75" customHeight="1">
      <c r="A21" s="17"/>
      <c r="C21" s="17"/>
      <c r="J21" s="17"/>
      <c r="L21" s="17" t="s">
        <v>130</v>
      </c>
      <c r="M21" s="167"/>
      <c r="N21" s="17"/>
      <c r="O21" s="17"/>
      <c r="P21" s="17" t="s">
        <v>131</v>
      </c>
      <c r="Q21" s="17"/>
      <c r="R21" s="17" t="s">
        <v>132</v>
      </c>
    </row>
    <row r="22" spans="1:18" ht="15.75" customHeight="1">
      <c r="A22" s="16"/>
      <c r="C22" s="16"/>
      <c r="J22" s="16"/>
      <c r="L22" s="16" t="s">
        <v>133</v>
      </c>
      <c r="M22" s="167"/>
      <c r="N22" s="16"/>
      <c r="O22" s="16"/>
      <c r="P22" s="16" t="s">
        <v>134</v>
      </c>
      <c r="Q22" s="16"/>
      <c r="R22" s="16" t="s">
        <v>135</v>
      </c>
    </row>
    <row r="23" spans="1:18" ht="15.75" customHeight="1">
      <c r="A23" s="17"/>
      <c r="C23" s="17"/>
      <c r="J23" s="17"/>
      <c r="L23" s="17" t="s">
        <v>136</v>
      </c>
      <c r="M23" s="167"/>
      <c r="N23" s="17"/>
      <c r="O23" s="17"/>
      <c r="P23" s="17" t="s">
        <v>137</v>
      </c>
      <c r="Q23" s="17"/>
      <c r="R23" s="17" t="s">
        <v>138</v>
      </c>
    </row>
    <row r="24" spans="1:18" ht="15.75" customHeight="1">
      <c r="A24" s="16"/>
      <c r="C24" s="16"/>
      <c r="J24" s="16"/>
      <c r="L24" s="16" t="s">
        <v>139</v>
      </c>
      <c r="M24" s="167"/>
      <c r="N24" s="16"/>
      <c r="O24" s="16"/>
      <c r="P24" s="16" t="s">
        <v>140</v>
      </c>
      <c r="Q24" s="16"/>
      <c r="R24" s="16" t="s">
        <v>141</v>
      </c>
    </row>
    <row r="25" spans="1:18" ht="15.75" customHeight="1">
      <c r="A25" s="17"/>
      <c r="C25" s="17"/>
      <c r="J25" s="17"/>
      <c r="L25" s="17" t="s">
        <v>142</v>
      </c>
      <c r="M25" s="167"/>
      <c r="N25" s="17"/>
      <c r="O25" s="17"/>
      <c r="P25" s="17" t="s">
        <v>143</v>
      </c>
      <c r="Q25" s="17"/>
      <c r="R25" s="17" t="s">
        <v>144</v>
      </c>
    </row>
    <row r="26" spans="1:18" ht="15.75" customHeight="1">
      <c r="A26" s="16"/>
      <c r="C26" s="16"/>
      <c r="J26" s="16"/>
      <c r="L26" s="16" t="s">
        <v>145</v>
      </c>
      <c r="M26" s="167"/>
      <c r="N26" s="16"/>
      <c r="O26" s="16"/>
      <c r="P26" s="16" t="s">
        <v>146</v>
      </c>
      <c r="Q26" s="16"/>
      <c r="R26" s="16"/>
    </row>
    <row r="27" spans="1:18" ht="15.75" customHeight="1">
      <c r="A27" s="17"/>
      <c r="C27" s="17"/>
      <c r="J27" s="17"/>
      <c r="L27" s="17" t="s">
        <v>147</v>
      </c>
      <c r="M27" s="167"/>
      <c r="N27" s="17"/>
      <c r="O27" s="17"/>
      <c r="P27" s="17" t="s">
        <v>138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148</v>
      </c>
      <c r="M28" s="167"/>
      <c r="N28" s="16"/>
      <c r="O28" s="16"/>
      <c r="P28" s="16" t="s">
        <v>141</v>
      </c>
      <c r="Q28" s="16"/>
      <c r="R28" s="16" t="s">
        <v>149</v>
      </c>
    </row>
    <row r="29" spans="1:18" ht="15.75" customHeight="1">
      <c r="A29" s="17"/>
      <c r="C29" s="17"/>
      <c r="J29" s="17"/>
      <c r="L29" s="17" t="s">
        <v>150</v>
      </c>
      <c r="M29" s="167"/>
      <c r="N29" s="17"/>
      <c r="O29" s="17"/>
      <c r="P29" s="17" t="s">
        <v>151</v>
      </c>
      <c r="Q29" s="17"/>
      <c r="R29" s="17" t="s">
        <v>152</v>
      </c>
    </row>
    <row r="30" spans="1:18" ht="15.75" customHeight="1">
      <c r="A30" s="16"/>
      <c r="C30" s="16"/>
      <c r="J30" s="16"/>
      <c r="L30" s="16" t="s">
        <v>153</v>
      </c>
      <c r="M30" s="167"/>
      <c r="N30" s="16"/>
      <c r="O30" s="16"/>
      <c r="P30" s="16" t="s">
        <v>154</v>
      </c>
      <c r="Q30" s="16"/>
      <c r="R30" s="16" t="s">
        <v>155</v>
      </c>
    </row>
    <row r="31" spans="1:18" ht="15.75" customHeight="1">
      <c r="A31" s="17"/>
      <c r="C31" s="17"/>
      <c r="J31" s="17"/>
      <c r="L31" s="17" t="s">
        <v>156</v>
      </c>
      <c r="M31" s="167"/>
      <c r="N31" s="17"/>
      <c r="O31" s="17"/>
      <c r="P31" s="18" t="s">
        <v>157</v>
      </c>
      <c r="Q31" s="17"/>
      <c r="R31" s="17" t="s">
        <v>158</v>
      </c>
    </row>
    <row r="32" spans="1:18" ht="15.75" customHeight="1">
      <c r="A32" s="16"/>
      <c r="C32" s="16"/>
      <c r="J32" s="16"/>
      <c r="L32" s="16" t="s">
        <v>159</v>
      </c>
      <c r="M32" s="167"/>
      <c r="N32" s="16"/>
      <c r="O32" s="16"/>
      <c r="P32" s="16" t="s">
        <v>160</v>
      </c>
      <c r="Q32" s="16"/>
      <c r="R32" t="s">
        <v>161</v>
      </c>
    </row>
    <row r="33" spans="1:18" ht="15.75" customHeight="1">
      <c r="A33" s="17"/>
      <c r="C33" s="131" t="s">
        <v>162</v>
      </c>
      <c r="E33" s="113">
        <v>1000</v>
      </c>
      <c r="J33" s="17"/>
      <c r="L33" s="17" t="s">
        <v>163</v>
      </c>
      <c r="M33" s="167"/>
      <c r="N33" s="17"/>
      <c r="O33" s="17"/>
      <c r="P33" s="18" t="s">
        <v>164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165</v>
      </c>
      <c r="M34" s="167"/>
      <c r="N34" s="16"/>
      <c r="O34" s="16"/>
      <c r="P34" s="16" t="s">
        <v>86</v>
      </c>
      <c r="Q34" s="16"/>
      <c r="R34" s="16" t="s">
        <v>166</v>
      </c>
    </row>
    <row r="35" spans="1:18" ht="15.75" customHeight="1">
      <c r="A35" s="17"/>
      <c r="C35" s="17"/>
      <c r="J35" s="17"/>
      <c r="L35" s="17" t="s">
        <v>167</v>
      </c>
      <c r="M35" s="167"/>
      <c r="N35" s="17"/>
      <c r="O35" s="17"/>
      <c r="P35" s="17" t="s">
        <v>168</v>
      </c>
      <c r="Q35" s="17"/>
      <c r="R35" s="17" t="s">
        <v>169</v>
      </c>
    </row>
    <row r="36" spans="1:18" ht="15.75" customHeight="1">
      <c r="A36" s="16"/>
      <c r="C36" s="16"/>
      <c r="J36" s="16"/>
      <c r="L36" s="16" t="s">
        <v>170</v>
      </c>
      <c r="M36" s="167"/>
      <c r="N36" s="16"/>
      <c r="O36" s="16"/>
      <c r="P36" s="16" t="s">
        <v>171</v>
      </c>
      <c r="Q36" s="16"/>
      <c r="R36" s="16" t="s">
        <v>172</v>
      </c>
    </row>
    <row r="37" spans="1:18" ht="15.75" customHeight="1">
      <c r="A37" s="17"/>
      <c r="C37" s="17"/>
      <c r="J37" s="17"/>
      <c r="L37" s="17" t="s">
        <v>173</v>
      </c>
      <c r="M37" s="167"/>
      <c r="N37" s="17"/>
      <c r="O37" s="17"/>
      <c r="P37" s="17" t="s">
        <v>174</v>
      </c>
      <c r="Q37" s="17"/>
      <c r="R37" s="17" t="s">
        <v>175</v>
      </c>
    </row>
    <row r="38" spans="1:18" ht="15.75" customHeight="1">
      <c r="A38" s="16"/>
      <c r="C38" s="16"/>
      <c r="J38" s="16"/>
      <c r="L38" s="16" t="s">
        <v>176</v>
      </c>
      <c r="M38" s="167"/>
      <c r="N38" s="16"/>
      <c r="O38" s="16"/>
      <c r="P38" s="16" t="s">
        <v>177</v>
      </c>
      <c r="Q38" s="16"/>
      <c r="R38" s="16" t="s">
        <v>178</v>
      </c>
    </row>
    <row r="39" spans="1:18" ht="15.75" customHeight="1">
      <c r="A39" s="17"/>
      <c r="C39" s="17"/>
      <c r="J39" s="17"/>
      <c r="L39" s="17"/>
      <c r="M39" s="167"/>
      <c r="N39" s="17"/>
      <c r="O39" s="17"/>
      <c r="P39" s="17" t="s">
        <v>179</v>
      </c>
      <c r="Q39" s="17"/>
      <c r="R39" s="17" t="s">
        <v>180</v>
      </c>
    </row>
    <row r="40" spans="1:18" ht="15.75" customHeight="1">
      <c r="A40" s="16"/>
      <c r="C40" s="16"/>
      <c r="J40" s="16"/>
      <c r="L40" s="16"/>
      <c r="M40" s="167"/>
      <c r="N40" s="16"/>
      <c r="O40" s="16"/>
      <c r="P40" s="16" t="s">
        <v>181</v>
      </c>
      <c r="Q40" s="16"/>
      <c r="R40" s="16" t="s">
        <v>182</v>
      </c>
    </row>
    <row r="41" spans="1:18" ht="15.75" customHeight="1">
      <c r="A41" s="17"/>
      <c r="C41" s="17"/>
      <c r="J41" s="17"/>
      <c r="L41" s="17"/>
      <c r="M41" s="167"/>
      <c r="N41" s="17"/>
      <c r="O41" s="17"/>
      <c r="P41" s="17" t="s">
        <v>183</v>
      </c>
      <c r="Q41" s="17"/>
      <c r="R41" s="17" t="s">
        <v>184</v>
      </c>
    </row>
    <row r="42" spans="1:18" ht="15.75" customHeight="1">
      <c r="A42" s="16"/>
      <c r="C42" s="16"/>
      <c r="J42" s="16"/>
      <c r="L42" s="16"/>
      <c r="M42" s="167"/>
      <c r="N42" s="16"/>
      <c r="O42" s="16"/>
      <c r="P42" s="16" t="s">
        <v>185</v>
      </c>
      <c r="Q42" s="16"/>
      <c r="R42" s="16" t="s">
        <v>186</v>
      </c>
    </row>
    <row r="43" spans="1:18" ht="15.75" customHeight="1">
      <c r="A43" s="17"/>
      <c r="C43" s="17"/>
      <c r="J43" s="17"/>
      <c r="L43" s="17"/>
      <c r="M43" s="167"/>
      <c r="N43" s="17"/>
      <c r="O43" s="17"/>
      <c r="P43" s="17" t="s">
        <v>187</v>
      </c>
      <c r="Q43" s="17"/>
      <c r="R43" s="17" t="s">
        <v>188</v>
      </c>
    </row>
    <row r="44" spans="1:18" ht="15.75" customHeight="1">
      <c r="A44" s="16"/>
      <c r="C44" s="16"/>
      <c r="J44" s="16"/>
      <c r="L44" s="16"/>
      <c r="M44" s="167"/>
      <c r="N44" s="16"/>
      <c r="O44" s="16"/>
      <c r="P44" s="16" t="s">
        <v>189</v>
      </c>
      <c r="Q44" s="16"/>
      <c r="R44" s="16" t="s">
        <v>190</v>
      </c>
    </row>
    <row r="45" spans="1:18" ht="15.75" customHeight="1">
      <c r="A45" s="17"/>
      <c r="C45" s="17"/>
      <c r="J45" s="17"/>
      <c r="L45" s="17"/>
      <c r="M45" s="167"/>
      <c r="N45" s="17"/>
      <c r="O45" s="17"/>
      <c r="P45" s="17"/>
      <c r="Q45" s="17"/>
      <c r="R45" s="17" t="s">
        <v>191</v>
      </c>
    </row>
    <row r="46" spans="1:18" ht="15.75" customHeight="1">
      <c r="A46" s="16"/>
      <c r="C46" s="16"/>
      <c r="J46" s="16"/>
      <c r="L46" s="16"/>
      <c r="M46" s="167"/>
      <c r="N46" s="16"/>
      <c r="O46" s="16"/>
      <c r="P46" s="16" t="s">
        <v>192</v>
      </c>
      <c r="Q46" s="16"/>
      <c r="R46" s="16" t="s">
        <v>193</v>
      </c>
    </row>
    <row r="47" spans="1:18" ht="15.75" customHeight="1">
      <c r="A47" s="17"/>
      <c r="C47" s="17"/>
      <c r="J47" s="17"/>
      <c r="L47" s="17"/>
      <c r="M47" s="167"/>
      <c r="N47" s="17"/>
      <c r="O47" s="17"/>
      <c r="P47" s="17" t="s">
        <v>194</v>
      </c>
      <c r="Q47" s="17"/>
      <c r="R47" s="17" t="s">
        <v>195</v>
      </c>
    </row>
    <row r="48" spans="1:18" ht="15.75" customHeight="1">
      <c r="A48" s="16"/>
      <c r="C48" s="16"/>
      <c r="J48" s="16"/>
      <c r="L48" s="16"/>
      <c r="M48" s="167"/>
      <c r="N48" s="16"/>
      <c r="O48" s="16"/>
      <c r="P48" s="16" t="s">
        <v>196</v>
      </c>
      <c r="Q48" s="16"/>
      <c r="R48" s="16" t="s">
        <v>197</v>
      </c>
    </row>
    <row r="49" spans="1:18" ht="18" customHeight="1">
      <c r="M49" s="167"/>
      <c r="N49" s="17"/>
      <c r="O49" s="17"/>
      <c r="P49" s="17" t="s">
        <v>198</v>
      </c>
      <c r="Q49" s="17"/>
      <c r="R49" s="17" t="s">
        <v>199</v>
      </c>
    </row>
    <row r="50" spans="1:18" ht="21" customHeight="1">
      <c r="A50" s="19" t="s">
        <v>200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7"/>
      <c r="N50" s="16"/>
      <c r="O50" s="16"/>
      <c r="P50" s="16" t="s">
        <v>201</v>
      </c>
      <c r="Q50" s="16"/>
      <c r="R50" s="16" t="s">
        <v>202</v>
      </c>
    </row>
    <row r="51" spans="1:18" ht="24" customHeight="1">
      <c r="M51" s="167"/>
      <c r="N51" s="17"/>
      <c r="O51" s="17"/>
      <c r="P51" s="17" t="s">
        <v>203</v>
      </c>
      <c r="Q51" s="17"/>
      <c r="R51" s="17" t="s">
        <v>204</v>
      </c>
    </row>
    <row r="52" spans="1:18" ht="24" customHeight="1">
      <c r="M52" s="167"/>
      <c r="N52" s="16"/>
      <c r="O52" s="16"/>
      <c r="P52" s="16" t="s">
        <v>205</v>
      </c>
      <c r="Q52" s="16"/>
      <c r="R52" s="16" t="s">
        <v>206</v>
      </c>
    </row>
    <row r="53" spans="1:18" ht="36" customHeight="1">
      <c r="M53" s="167"/>
      <c r="N53" s="17"/>
      <c r="O53" s="17"/>
      <c r="P53" s="17" t="s">
        <v>207</v>
      </c>
      <c r="Q53" s="17"/>
      <c r="R53" s="17" t="s">
        <v>208</v>
      </c>
    </row>
    <row r="54" spans="1:18" ht="15" customHeight="1">
      <c r="M54" s="167"/>
      <c r="N54" s="16"/>
      <c r="O54" s="16"/>
      <c r="P54" s="16" t="s">
        <v>209</v>
      </c>
      <c r="Q54" s="16"/>
      <c r="R54" s="16" t="s">
        <v>210</v>
      </c>
    </row>
    <row r="55" spans="1:18" ht="15" customHeight="1">
      <c r="M55" s="167"/>
      <c r="N55" s="17"/>
      <c r="O55" s="17"/>
      <c r="P55" s="17" t="s">
        <v>211</v>
      </c>
      <c r="Q55" s="17"/>
      <c r="R55" s="17" t="s">
        <v>212</v>
      </c>
    </row>
    <row r="56" spans="1:18" ht="15" customHeight="1">
      <c r="M56" s="167"/>
      <c r="N56" s="16"/>
      <c r="O56" s="16"/>
      <c r="P56" s="16" t="s">
        <v>213</v>
      </c>
      <c r="Q56" s="16"/>
      <c r="R56" s="16" t="s">
        <v>214</v>
      </c>
    </row>
    <row r="57" spans="1:18" ht="15" customHeight="1">
      <c r="M57" s="167"/>
      <c r="N57" s="17"/>
      <c r="O57" s="17"/>
      <c r="P57" s="17" t="s">
        <v>57</v>
      </c>
      <c r="Q57" s="17"/>
      <c r="R57" s="17" t="s">
        <v>215</v>
      </c>
    </row>
    <row r="58" spans="1:18" ht="15" customHeight="1">
      <c r="M58" s="167"/>
      <c r="N58" s="16"/>
      <c r="O58" s="16"/>
      <c r="P58" s="16" t="s">
        <v>216</v>
      </c>
      <c r="Q58" s="16"/>
      <c r="R58" s="16"/>
    </row>
    <row r="59" spans="1:18" ht="15" customHeight="1">
      <c r="M59" s="167"/>
      <c r="N59" s="17"/>
      <c r="O59" s="17"/>
      <c r="P59" s="17" t="s">
        <v>217</v>
      </c>
      <c r="Q59" s="17"/>
      <c r="R59" s="17"/>
    </row>
    <row r="60" spans="1:18" ht="15" customHeight="1">
      <c r="M60" s="167"/>
      <c r="N60" s="16"/>
      <c r="O60" s="16"/>
      <c r="P60" s="77" t="s">
        <v>112</v>
      </c>
      <c r="Q60" s="16"/>
      <c r="R60" s="16"/>
    </row>
    <row r="61" spans="1:18" ht="15" customHeight="1">
      <c r="M61" s="167"/>
      <c r="N61" s="17"/>
      <c r="O61" s="17"/>
      <c r="P61" s="17" t="s">
        <v>218</v>
      </c>
      <c r="Q61" s="17"/>
      <c r="R61" s="17"/>
    </row>
    <row r="62" spans="1:18" ht="15" customHeight="1">
      <c r="M62" s="167"/>
      <c r="N62" s="16"/>
      <c r="O62" s="16"/>
      <c r="P62" s="16" t="s">
        <v>219</v>
      </c>
      <c r="Q62" s="16"/>
      <c r="R62" s="16"/>
    </row>
    <row r="63" spans="1:18" ht="15" customHeight="1">
      <c r="M63" s="167"/>
      <c r="N63" s="17"/>
      <c r="O63" s="17"/>
      <c r="P63" s="17" t="s">
        <v>220</v>
      </c>
      <c r="Q63" s="17"/>
      <c r="R63" s="17"/>
    </row>
    <row r="64" spans="1:18" ht="15" customHeight="1">
      <c r="M64" s="167"/>
      <c r="N64" s="16"/>
      <c r="O64" s="16"/>
      <c r="P64" s="16" t="s">
        <v>221</v>
      </c>
      <c r="Q64" s="16"/>
      <c r="R64" s="16"/>
    </row>
    <row r="65" spans="13:18" ht="15" customHeight="1">
      <c r="M65" s="167"/>
      <c r="N65" s="17"/>
      <c r="O65" s="17"/>
      <c r="P65" s="17" t="s">
        <v>222</v>
      </c>
      <c r="Q65" s="17"/>
      <c r="R65" s="17"/>
    </row>
    <row r="66" spans="13:18" ht="15" customHeight="1">
      <c r="M66" s="167"/>
      <c r="N66" s="16"/>
      <c r="O66" s="16"/>
      <c r="P66" s="16" t="s">
        <v>223</v>
      </c>
      <c r="Q66" s="16"/>
      <c r="R66" s="16"/>
    </row>
    <row r="67" spans="13:18" ht="15" customHeight="1">
      <c r="M67" s="167"/>
      <c r="N67" s="17"/>
      <c r="O67" s="17"/>
      <c r="P67" s="17" t="s">
        <v>224</v>
      </c>
      <c r="Q67" s="17"/>
      <c r="R67" s="17"/>
    </row>
    <row r="68" spans="13:18" ht="15" customHeight="1">
      <c r="M68" s="167"/>
      <c r="N68" s="16"/>
      <c r="O68" s="16"/>
      <c r="P68" s="16" t="s">
        <v>225</v>
      </c>
      <c r="Q68" s="16"/>
      <c r="R68" s="16"/>
    </row>
    <row r="69" spans="13:18" ht="15" customHeight="1">
      <c r="M69" s="167"/>
      <c r="N69" s="17"/>
      <c r="O69" s="17"/>
      <c r="P69" s="17" t="s">
        <v>226</v>
      </c>
      <c r="Q69" s="17"/>
      <c r="R69" s="17"/>
    </row>
    <row r="70" spans="13:18" ht="15" customHeight="1">
      <c r="M70" s="167"/>
      <c r="N70" s="16"/>
      <c r="O70" s="16"/>
      <c r="P70" s="16" t="s">
        <v>227</v>
      </c>
      <c r="Q70" s="16"/>
      <c r="R70" s="16"/>
    </row>
    <row r="71" spans="13:18" ht="15" customHeight="1">
      <c r="M71" s="167"/>
      <c r="N71" s="17"/>
      <c r="O71" s="17"/>
      <c r="P71" s="17" t="s">
        <v>228</v>
      </c>
      <c r="Q71" s="17"/>
      <c r="R71" s="17"/>
    </row>
    <row r="72" spans="13:18" ht="15" customHeight="1">
      <c r="M72" s="167"/>
      <c r="N72" s="16"/>
      <c r="O72" s="16"/>
      <c r="P72" s="16" t="s">
        <v>229</v>
      </c>
      <c r="Q72" s="16"/>
      <c r="R72" s="16"/>
    </row>
    <row r="73" spans="13:18" ht="15" customHeight="1">
      <c r="M73" s="167"/>
      <c r="N73" s="17"/>
      <c r="O73" s="17"/>
      <c r="P73" s="17" t="s">
        <v>230</v>
      </c>
      <c r="Q73" s="17"/>
      <c r="R73" s="17"/>
    </row>
    <row r="74" spans="13:18" ht="15" customHeight="1">
      <c r="M74" s="167"/>
      <c r="N74" s="16"/>
      <c r="O74" s="16"/>
      <c r="P74" s="16" t="s">
        <v>231</v>
      </c>
      <c r="Q74" s="16"/>
      <c r="R74" s="16"/>
    </row>
    <row r="75" spans="13:18" ht="15" customHeight="1">
      <c r="M75" s="167"/>
      <c r="N75" s="17"/>
      <c r="O75" s="17"/>
      <c r="P75" s="17" t="s">
        <v>232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98" activePane="bottomLeft" state="frozen"/>
      <selection pane="bottomLeft" activeCell="F432" sqref="F432"/>
      <selection sqref="A1:G409"/>
    </sheetView>
  </sheetViews>
  <sheetFormatPr defaultColWidth="8.5703125" defaultRowHeight="14.4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23" t="s">
        <v>235</v>
      </c>
      <c r="G1" s="23" t="s">
        <v>236</v>
      </c>
      <c r="H1" s="23" t="s">
        <v>21</v>
      </c>
      <c r="I1" s="23" t="s">
        <v>22</v>
      </c>
      <c r="J1" s="23" t="s">
        <v>237</v>
      </c>
      <c r="K1" s="23" t="s">
        <v>238</v>
      </c>
      <c r="L1" s="23" t="s">
        <v>239</v>
      </c>
      <c r="M1" s="24" t="s">
        <v>240</v>
      </c>
      <c r="N1" s="23" t="s">
        <v>241</v>
      </c>
      <c r="O1" s="23" t="s">
        <v>242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8" t="s">
        <v>244</v>
      </c>
      <c r="B14" s="159"/>
      <c r="C14" s="159"/>
      <c r="D14" s="159"/>
      <c r="E14" s="169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245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243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243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246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8" t="s">
        <v>247</v>
      </c>
      <c r="B27" s="159"/>
      <c r="C27" s="159"/>
      <c r="D27" s="159"/>
      <c r="E27" s="169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245</v>
      </c>
      <c r="O27" s="39">
        <v>997910</v>
      </c>
    </row>
    <row r="28" spans="1:15" ht="18" customHeight="1">
      <c r="A28" s="160" t="s">
        <v>248</v>
      </c>
      <c r="B28" s="161"/>
      <c r="C28" s="161"/>
      <c r="D28" s="161"/>
      <c r="E28" s="170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249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164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243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250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243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246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8" t="s">
        <v>244</v>
      </c>
      <c r="B41" s="159"/>
      <c r="C41" s="159"/>
      <c r="D41" s="159"/>
      <c r="E41" s="169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245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251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243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243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243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243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243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8" t="s">
        <v>247</v>
      </c>
      <c r="B54" s="159"/>
      <c r="C54" s="159"/>
      <c r="D54" s="159"/>
      <c r="E54" s="169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245</v>
      </c>
      <c r="O54" s="39">
        <v>981310</v>
      </c>
    </row>
    <row r="55" spans="1:15" ht="18" customHeight="1">
      <c r="A55" s="160" t="s">
        <v>248</v>
      </c>
      <c r="B55" s="161"/>
      <c r="C55" s="161"/>
      <c r="D55" s="161"/>
      <c r="E55" s="170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249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164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243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8" t="s">
        <v>244</v>
      </c>
      <c r="B68" s="159"/>
      <c r="C68" s="159"/>
      <c r="D68" s="159"/>
      <c r="E68" s="169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245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243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252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8" t="s">
        <v>247</v>
      </c>
      <c r="B81" s="159"/>
      <c r="C81" s="159"/>
      <c r="D81" s="159"/>
      <c r="E81" s="169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245</v>
      </c>
      <c r="O81" s="39">
        <v>1547910</v>
      </c>
    </row>
    <row r="82" spans="1:15" ht="18" customHeight="1">
      <c r="A82" s="160" t="s">
        <v>248</v>
      </c>
      <c r="B82" s="161"/>
      <c r="C82" s="161"/>
      <c r="D82" s="161"/>
      <c r="E82" s="170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249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243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243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253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8" t="s">
        <v>244</v>
      </c>
      <c r="B95" s="159"/>
      <c r="C95" s="159"/>
      <c r="D95" s="159"/>
      <c r="E95" s="169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245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254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8" t="s">
        <v>247</v>
      </c>
      <c r="B108" s="159"/>
      <c r="C108" s="159"/>
      <c r="D108" s="159"/>
      <c r="E108" s="169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245</v>
      </c>
      <c r="O108" s="39">
        <v>3156240</v>
      </c>
    </row>
    <row r="109" spans="1:15" ht="18" customHeight="1">
      <c r="A109" s="160" t="s">
        <v>248</v>
      </c>
      <c r="B109" s="161"/>
      <c r="C109" s="161"/>
      <c r="D109" s="161"/>
      <c r="E109" s="170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249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8" t="s">
        <v>244</v>
      </c>
      <c r="B122" s="159"/>
      <c r="C122" s="159"/>
      <c r="D122" s="159"/>
      <c r="E122" s="169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245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8" t="s">
        <v>247</v>
      </c>
      <c r="B135" s="159"/>
      <c r="C135" s="159"/>
      <c r="D135" s="159"/>
      <c r="E135" s="169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245</v>
      </c>
      <c r="O135" s="39">
        <v>2875180</v>
      </c>
    </row>
    <row r="136" spans="1:15" ht="18" customHeight="1">
      <c r="A136" s="160" t="s">
        <v>248</v>
      </c>
      <c r="B136" s="161"/>
      <c r="C136" s="161"/>
      <c r="D136" s="161"/>
      <c r="E136" s="170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249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255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243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243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243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8" t="s">
        <v>244</v>
      </c>
      <c r="B149" s="159"/>
      <c r="C149" s="159"/>
      <c r="D149" s="159"/>
      <c r="E149" s="169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245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141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243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256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243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141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243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243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152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8" t="s">
        <v>247</v>
      </c>
      <c r="B162" s="159"/>
      <c r="C162" s="159"/>
      <c r="D162" s="159"/>
      <c r="E162" s="169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245</v>
      </c>
      <c r="O162" s="44">
        <v>842000</v>
      </c>
    </row>
    <row r="163" spans="1:15" ht="18" customHeight="1">
      <c r="A163" s="160" t="s">
        <v>248</v>
      </c>
      <c r="B163" s="161"/>
      <c r="C163" s="161"/>
      <c r="D163" s="161"/>
      <c r="E163" s="170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249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231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257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243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8" t="s">
        <v>244</v>
      </c>
      <c r="B176" s="159"/>
      <c r="C176" s="159"/>
      <c r="D176" s="159"/>
      <c r="E176" s="169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245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258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259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8" t="s">
        <v>247</v>
      </c>
      <c r="B189" s="159"/>
      <c r="C189" s="159"/>
      <c r="D189" s="159"/>
      <c r="E189" s="169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245</v>
      </c>
      <c r="O189" s="39">
        <v>1901630</v>
      </c>
    </row>
    <row r="190" spans="1:15" ht="18" customHeight="1">
      <c r="A190" s="160" t="s">
        <v>248</v>
      </c>
      <c r="B190" s="161"/>
      <c r="C190" s="161"/>
      <c r="D190" s="161"/>
      <c r="E190" s="170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249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243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243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260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8" t="s">
        <v>244</v>
      </c>
      <c r="B203" s="159"/>
      <c r="C203" s="159"/>
      <c r="D203" s="159"/>
      <c r="E203" s="169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245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8" t="s">
        <v>247</v>
      </c>
      <c r="B216" s="159"/>
      <c r="C216" s="159"/>
      <c r="D216" s="159"/>
      <c r="E216" s="169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245</v>
      </c>
      <c r="O216" s="45">
        <v>1852295</v>
      </c>
    </row>
    <row r="217" spans="1:15" ht="18" customHeight="1">
      <c r="A217" s="160" t="s">
        <v>248</v>
      </c>
      <c r="B217" s="161"/>
      <c r="C217" s="161"/>
      <c r="D217" s="161"/>
      <c r="E217" s="170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249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174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243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243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210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261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71" t="s">
        <v>244</v>
      </c>
      <c r="B230" s="172"/>
      <c r="C230" s="172"/>
      <c r="D230" s="172"/>
      <c r="E230" s="173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245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210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243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152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243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152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262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8" t="s">
        <v>247</v>
      </c>
      <c r="B243" s="159"/>
      <c r="C243" s="159"/>
      <c r="D243" s="159"/>
      <c r="E243" s="169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245</v>
      </c>
      <c r="O243" s="39">
        <v>991010</v>
      </c>
    </row>
    <row r="244" spans="1:15" ht="18" customHeight="1">
      <c r="A244" s="160" t="s">
        <v>248</v>
      </c>
      <c r="B244" s="161"/>
      <c r="C244" s="161"/>
      <c r="D244" s="161"/>
      <c r="E244" s="170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249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243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215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243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243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243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243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263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243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243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243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243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243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243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243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8" t="s">
        <v>244</v>
      </c>
      <c r="B257" s="159"/>
      <c r="C257" s="159"/>
      <c r="D257" s="159"/>
      <c r="E257" s="169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245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264</v>
      </c>
      <c r="E258" s="62" t="s">
        <v>243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264</v>
      </c>
      <c r="E259" s="62" t="s">
        <v>243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141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264</v>
      </c>
      <c r="E260" s="62" t="s">
        <v>243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264</v>
      </c>
      <c r="E261" s="62" t="s">
        <v>243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264</v>
      </c>
      <c r="E262" s="62" t="s">
        <v>243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264</v>
      </c>
      <c r="E263" s="62" t="s">
        <v>243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264</v>
      </c>
      <c r="E264" s="62" t="s">
        <v>243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264</v>
      </c>
      <c r="E265" s="62" t="s">
        <v>243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264</v>
      </c>
      <c r="E266" s="62" t="s">
        <v>243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264</v>
      </c>
      <c r="E267" s="62" t="s">
        <v>243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264</v>
      </c>
      <c r="E268" s="62" t="s">
        <v>243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264</v>
      </c>
      <c r="E269" s="62" t="s">
        <v>243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8" t="s">
        <v>247</v>
      </c>
      <c r="B270" s="159"/>
      <c r="C270" s="159"/>
      <c r="D270" s="159"/>
      <c r="E270" s="169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245</v>
      </c>
      <c r="O270" s="39">
        <v>1544700</v>
      </c>
    </row>
    <row r="271" spans="1:15" ht="18" customHeight="1">
      <c r="A271" s="160" t="s">
        <v>248</v>
      </c>
      <c r="B271" s="161"/>
      <c r="C271" s="161"/>
      <c r="D271" s="161"/>
      <c r="E271" s="170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249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264</v>
      </c>
      <c r="E272" s="59" t="s">
        <v>243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174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264</v>
      </c>
      <c r="E273" s="59" t="s">
        <v>243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141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264</v>
      </c>
      <c r="E274" s="59" t="s">
        <v>243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264</v>
      </c>
      <c r="E275" s="59" t="s">
        <v>243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215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264</v>
      </c>
      <c r="E276" s="59" t="s">
        <v>243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264</v>
      </c>
      <c r="E277" s="59" t="s">
        <v>243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265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264</v>
      </c>
      <c r="E278" s="59" t="s">
        <v>243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264</v>
      </c>
      <c r="E279" s="59" t="s">
        <v>243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264</v>
      </c>
      <c r="E280" s="59" t="s">
        <v>243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264</v>
      </c>
      <c r="E281" s="59" t="s">
        <v>243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264</v>
      </c>
      <c r="E282" s="59" t="s">
        <v>243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264</v>
      </c>
      <c r="E283" s="59" t="s">
        <v>243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8" t="s">
        <v>244</v>
      </c>
      <c r="B284" s="159"/>
      <c r="C284" s="159"/>
      <c r="D284" s="159"/>
      <c r="E284" s="169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245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264</v>
      </c>
      <c r="E285" s="62" t="s">
        <v>259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264</v>
      </c>
      <c r="E286" s="62" t="s">
        <v>259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264</v>
      </c>
      <c r="E287" s="62" t="s">
        <v>259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264</v>
      </c>
      <c r="E288" s="62" t="s">
        <v>259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264</v>
      </c>
      <c r="E289" s="62" t="s">
        <v>259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264</v>
      </c>
      <c r="E290" s="62" t="s">
        <v>259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264</v>
      </c>
      <c r="E291" s="62" t="s">
        <v>259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264</v>
      </c>
      <c r="E292" s="62" t="s">
        <v>259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264</v>
      </c>
      <c r="E293" s="62" t="s">
        <v>259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264</v>
      </c>
      <c r="E294" s="62" t="s">
        <v>259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264</v>
      </c>
      <c r="E295" s="62" t="s">
        <v>259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264</v>
      </c>
      <c r="E296" s="62" t="s">
        <v>259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8" t="s">
        <v>247</v>
      </c>
      <c r="B297" s="159"/>
      <c r="C297" s="159"/>
      <c r="D297" s="159"/>
      <c r="E297" s="169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245</v>
      </c>
      <c r="O297" s="39">
        <v>1715230</v>
      </c>
    </row>
    <row r="298" spans="1:15" ht="18" customHeight="1">
      <c r="A298" s="160" t="s">
        <v>248</v>
      </c>
      <c r="B298" s="161"/>
      <c r="C298" s="161"/>
      <c r="D298" s="161"/>
      <c r="E298" s="170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249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243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231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243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141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243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243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266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243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243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243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243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243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243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243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243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8" t="s">
        <v>244</v>
      </c>
      <c r="B311" s="159"/>
      <c r="C311" s="159"/>
      <c r="D311" s="159"/>
      <c r="E311" s="169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245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243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243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243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243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243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243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243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243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243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243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243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243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8" t="s">
        <v>247</v>
      </c>
      <c r="B324" s="159"/>
      <c r="C324" s="159"/>
      <c r="D324" s="159"/>
      <c r="E324" s="169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245</v>
      </c>
      <c r="O324" s="39">
        <v>2216340</v>
      </c>
    </row>
    <row r="325" spans="1:15" ht="18" customHeight="1">
      <c r="A325" s="160" t="s">
        <v>248</v>
      </c>
      <c r="B325" s="161"/>
      <c r="C325" s="161"/>
      <c r="D325" s="161"/>
      <c r="E325" s="170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249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141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210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267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243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243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243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268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243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243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243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243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8" t="s">
        <v>244</v>
      </c>
      <c r="B338" s="159"/>
      <c r="C338" s="159"/>
      <c r="D338" s="159"/>
      <c r="E338" s="169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245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243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243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243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243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243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243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243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243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243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243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243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243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8" t="s">
        <v>247</v>
      </c>
      <c r="B351" s="159"/>
      <c r="C351" s="159"/>
      <c r="D351" s="159"/>
      <c r="E351" s="169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245</v>
      </c>
      <c r="O351" s="39">
        <v>2154990</v>
      </c>
    </row>
    <row r="352" spans="1:15" ht="18" customHeight="1">
      <c r="A352" s="160" t="s">
        <v>248</v>
      </c>
      <c r="B352" s="161"/>
      <c r="C352" s="161"/>
      <c r="D352" s="161"/>
      <c r="E352" s="170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249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243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243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141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243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243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243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243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259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243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243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243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243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243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8" t="s">
        <v>244</v>
      </c>
      <c r="B365" s="159"/>
      <c r="C365" s="159"/>
      <c r="D365" s="159"/>
      <c r="E365" s="169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245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243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243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243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243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243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243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243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243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243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243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243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243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8" t="s">
        <v>247</v>
      </c>
      <c r="B378" s="159"/>
      <c r="C378" s="159"/>
      <c r="D378" s="159"/>
      <c r="E378" s="169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245</v>
      </c>
      <c r="O378" s="39">
        <v>2614830</v>
      </c>
    </row>
    <row r="379" spans="1:15" ht="18" customHeight="1">
      <c r="A379" s="160" t="s">
        <v>248</v>
      </c>
      <c r="B379" s="161"/>
      <c r="C379" s="161"/>
      <c r="D379" s="161"/>
      <c r="E379" s="170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249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243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243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243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243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243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243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243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243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243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243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243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243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8" t="s">
        <v>244</v>
      </c>
      <c r="B392" s="159"/>
      <c r="C392" s="159"/>
      <c r="D392" s="159"/>
      <c r="E392" s="169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245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243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164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269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243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243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243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243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243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243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243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243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243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243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243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8" t="s">
        <v>247</v>
      </c>
      <c r="B405" s="159"/>
      <c r="C405" s="159"/>
      <c r="D405" s="159"/>
      <c r="E405" s="169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245</v>
      </c>
      <c r="O405" s="39">
        <v>2612000</v>
      </c>
    </row>
    <row r="406" spans="1:15" ht="18" customHeight="1">
      <c r="A406" s="160" t="s">
        <v>248</v>
      </c>
      <c r="B406" s="161"/>
      <c r="C406" s="161"/>
      <c r="D406" s="161"/>
      <c r="E406" s="170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249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243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243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243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243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243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243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243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243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243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243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243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243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8" t="s">
        <v>244</v>
      </c>
      <c r="B419" s="159"/>
      <c r="C419" s="159"/>
      <c r="D419" s="159"/>
      <c r="E419" s="169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245</v>
      </c>
      <c r="O419" s="39">
        <v>1195500</v>
      </c>
    </row>
    <row r="420" spans="1:15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59" t="s">
        <v>243</v>
      </c>
      <c r="F420" s="27">
        <v>15</v>
      </c>
      <c r="G420" s="28">
        <f t="shared" ref="G420:G431" si="88">IF(F420="","",IF(E420="PC 17",F420*4.2,IF(E420="PC 19",F420*5,IF(E420="CB",F420*35,""))))</f>
        <v>75</v>
      </c>
      <c r="H420" s="26" t="s">
        <v>25</v>
      </c>
      <c r="I420" s="26" t="s">
        <v>30</v>
      </c>
      <c r="J420" s="26" t="s">
        <v>225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37</v>
      </c>
      <c r="E421" s="59" t="s">
        <v>243</v>
      </c>
      <c r="F421" s="27">
        <v>40</v>
      </c>
      <c r="G421" s="34">
        <f t="shared" si="88"/>
        <v>200</v>
      </c>
      <c r="H421" s="33" t="s">
        <v>27</v>
      </c>
      <c r="I421" s="33" t="s">
        <v>30</v>
      </c>
      <c r="J421" s="33" t="s">
        <v>141</v>
      </c>
      <c r="K421" s="29">
        <v>8.819444444444445E-2</v>
      </c>
      <c r="L421" s="29">
        <v>9.4444444444444442E-2</v>
      </c>
      <c r="M421" s="35">
        <f t="shared" ca="1" si="89"/>
        <v>6.2499999999999917E-3</v>
      </c>
      <c r="N421" s="46" t="s">
        <v>270</v>
      </c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 t="s">
        <v>28</v>
      </c>
      <c r="D422" s="59" t="s">
        <v>37</v>
      </c>
      <c r="E422" s="59" t="s">
        <v>243</v>
      </c>
      <c r="F422" s="27">
        <v>20</v>
      </c>
      <c r="G422" s="28">
        <f t="shared" si="88"/>
        <v>100</v>
      </c>
      <c r="H422" s="33" t="s">
        <v>27</v>
      </c>
      <c r="I422" s="33" t="s">
        <v>30</v>
      </c>
      <c r="J422" s="33" t="s">
        <v>141</v>
      </c>
      <c r="K422" s="29">
        <v>0.10972222222222222</v>
      </c>
      <c r="L422" s="29">
        <v>0.12152777777777778</v>
      </c>
      <c r="M422" s="30">
        <f t="shared" ca="1" si="89"/>
        <v>1.1805555555555555E-2</v>
      </c>
      <c r="N422" s="46" t="s">
        <v>270</v>
      </c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 t="s">
        <v>28</v>
      </c>
      <c r="D423" s="59" t="s">
        <v>37</v>
      </c>
      <c r="E423" s="59" t="s">
        <v>243</v>
      </c>
      <c r="F423" s="27">
        <v>20</v>
      </c>
      <c r="G423" s="34">
        <f t="shared" si="88"/>
        <v>100</v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 t="s">
        <v>28</v>
      </c>
      <c r="D424" s="59" t="s">
        <v>37</v>
      </c>
      <c r="E424" s="59" t="s">
        <v>243</v>
      </c>
      <c r="F424" s="27">
        <v>30</v>
      </c>
      <c r="G424" s="28">
        <f t="shared" si="88"/>
        <v>150</v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 t="s">
        <v>28</v>
      </c>
      <c r="D425" s="59" t="s">
        <v>37</v>
      </c>
      <c r="E425" s="59" t="s">
        <v>243</v>
      </c>
      <c r="F425" s="27">
        <v>20</v>
      </c>
      <c r="G425" s="34">
        <f t="shared" si="88"/>
        <v>100</v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 t="s">
        <v>28</v>
      </c>
      <c r="D426" s="59" t="s">
        <v>37</v>
      </c>
      <c r="E426" s="59" t="s">
        <v>243</v>
      </c>
      <c r="F426" s="27">
        <v>40</v>
      </c>
      <c r="G426" s="28">
        <f t="shared" si="88"/>
        <v>200</v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 t="s">
        <v>28</v>
      </c>
      <c r="D427" s="59" t="s">
        <v>37</v>
      </c>
      <c r="E427" s="59" t="s">
        <v>243</v>
      </c>
      <c r="F427" s="27">
        <v>20</v>
      </c>
      <c r="G427" s="34">
        <f t="shared" si="88"/>
        <v>100</v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 t="s">
        <v>28</v>
      </c>
      <c r="D428" s="59" t="s">
        <v>37</v>
      </c>
      <c r="E428" s="59" t="s">
        <v>243</v>
      </c>
      <c r="F428" s="27">
        <v>30</v>
      </c>
      <c r="G428" s="28">
        <f t="shared" si="88"/>
        <v>150</v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 t="s">
        <v>28</v>
      </c>
      <c r="D429" s="59" t="s">
        <v>37</v>
      </c>
      <c r="E429" s="59" t="s">
        <v>243</v>
      </c>
      <c r="F429" s="27">
        <v>25</v>
      </c>
      <c r="G429" s="34">
        <f t="shared" si="88"/>
        <v>125</v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 t="s">
        <v>28</v>
      </c>
      <c r="D430" s="59" t="s">
        <v>37</v>
      </c>
      <c r="E430" s="59" t="s">
        <v>243</v>
      </c>
      <c r="F430" s="27">
        <v>40</v>
      </c>
      <c r="G430" s="28">
        <f t="shared" si="88"/>
        <v>200</v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 t="s">
        <v>28</v>
      </c>
      <c r="D431" s="59" t="s">
        <v>37</v>
      </c>
      <c r="E431" s="59" t="s">
        <v>243</v>
      </c>
      <c r="F431" s="27">
        <v>35</v>
      </c>
      <c r="G431" s="34">
        <f t="shared" si="88"/>
        <v>175</v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8" t="s">
        <v>247</v>
      </c>
      <c r="B432" s="159"/>
      <c r="C432" s="159"/>
      <c r="D432" s="159"/>
      <c r="E432" s="169">
        <f>SUM(E420:E431)</f>
        <v>0</v>
      </c>
      <c r="F432" s="36">
        <f>SUM(F420:F431)</f>
        <v>335</v>
      </c>
      <c r="G432" s="36">
        <f>SUM(G420:G431)</f>
        <v>1675</v>
      </c>
      <c r="H432" s="37"/>
      <c r="I432" s="37"/>
      <c r="J432" s="37"/>
      <c r="K432" s="37"/>
      <c r="L432" s="37"/>
      <c r="M432" s="38">
        <f ca="1">IFERROR(SUM(M420:M431),"")</f>
        <v>4.5833333333333337E-2</v>
      </c>
      <c r="N432" s="36" t="s">
        <v>245</v>
      </c>
      <c r="O432" s="39"/>
    </row>
    <row r="433" spans="1:15" ht="18" customHeight="1">
      <c r="A433" s="160" t="s">
        <v>248</v>
      </c>
      <c r="B433" s="161"/>
      <c r="C433" s="161"/>
      <c r="D433" s="161"/>
      <c r="E433" s="170">
        <f>E419+E432</f>
        <v>0</v>
      </c>
      <c r="F433" s="40">
        <f>F419+F432</f>
        <v>545</v>
      </c>
      <c r="G433" s="40">
        <f>G419+G432</f>
        <v>2725</v>
      </c>
      <c r="H433" s="41"/>
      <c r="I433" s="41"/>
      <c r="J433" s="41"/>
      <c r="K433" s="41"/>
      <c r="L433" s="41"/>
      <c r="M433" s="42">
        <f ca="1">IFERROR(M419+M432,"")</f>
        <v>0.27847222222222223</v>
      </c>
      <c r="N433" s="40" t="s">
        <v>249</v>
      </c>
      <c r="O433" s="48">
        <f>IFERROR(O419+O432,"")</f>
        <v>1195500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8" t="s">
        <v>244</v>
      </c>
      <c r="B446" s="159"/>
      <c r="C446" s="159"/>
      <c r="D446" s="159"/>
      <c r="E446" s="16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245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8" t="s">
        <v>247</v>
      </c>
      <c r="B459" s="159"/>
      <c r="C459" s="159"/>
      <c r="D459" s="159"/>
      <c r="E459" s="16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245</v>
      </c>
      <c r="O459" s="39"/>
    </row>
    <row r="460" spans="1:15" ht="18" customHeight="1">
      <c r="A460" s="160" t="s">
        <v>248</v>
      </c>
      <c r="B460" s="161"/>
      <c r="C460" s="161"/>
      <c r="D460" s="161"/>
      <c r="E460" s="170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249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8" t="s">
        <v>244</v>
      </c>
      <c r="B473" s="159"/>
      <c r="C473" s="159"/>
      <c r="D473" s="159"/>
      <c r="E473" s="16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245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8" t="s">
        <v>247</v>
      </c>
      <c r="B486" s="159"/>
      <c r="C486" s="159"/>
      <c r="D486" s="159"/>
      <c r="E486" s="16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245</v>
      </c>
      <c r="O486" s="39"/>
    </row>
    <row r="487" spans="1:15" ht="18" customHeight="1">
      <c r="A487" s="160" t="s">
        <v>248</v>
      </c>
      <c r="B487" s="161"/>
      <c r="C487" s="161"/>
      <c r="D487" s="161"/>
      <c r="E487" s="170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249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8" t="s">
        <v>244</v>
      </c>
      <c r="B500" s="159"/>
      <c r="C500" s="159"/>
      <c r="D500" s="159"/>
      <c r="E500" s="16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245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8" t="s">
        <v>247</v>
      </c>
      <c r="B513" s="159"/>
      <c r="C513" s="159"/>
      <c r="D513" s="159"/>
      <c r="E513" s="16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245</v>
      </c>
      <c r="O513" s="39"/>
    </row>
    <row r="514" spans="1:15" ht="18" customHeight="1">
      <c r="A514" s="160" t="s">
        <v>248</v>
      </c>
      <c r="B514" s="161"/>
      <c r="C514" s="161"/>
      <c r="D514" s="161"/>
      <c r="E514" s="170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249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8" t="s">
        <v>244</v>
      </c>
      <c r="B527" s="159"/>
      <c r="C527" s="159"/>
      <c r="D527" s="159"/>
      <c r="E527" s="16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245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8" t="s">
        <v>247</v>
      </c>
      <c r="B540" s="159"/>
      <c r="C540" s="159"/>
      <c r="D540" s="159"/>
      <c r="E540" s="16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245</v>
      </c>
      <c r="O540" s="39"/>
    </row>
    <row r="541" spans="1:15" ht="18" customHeight="1">
      <c r="A541" s="160" t="s">
        <v>248</v>
      </c>
      <c r="B541" s="161"/>
      <c r="C541" s="161"/>
      <c r="D541" s="161"/>
      <c r="E541" s="170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249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8" t="s">
        <v>244</v>
      </c>
      <c r="B554" s="159"/>
      <c r="C554" s="159"/>
      <c r="D554" s="159"/>
      <c r="E554" s="16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245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8" t="s">
        <v>247</v>
      </c>
      <c r="B567" s="159"/>
      <c r="C567" s="159"/>
      <c r="D567" s="159"/>
      <c r="E567" s="16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245</v>
      </c>
      <c r="O567" s="39"/>
    </row>
    <row r="568" spans="1:15" ht="18" customHeight="1">
      <c r="A568" s="160" t="s">
        <v>248</v>
      </c>
      <c r="B568" s="161"/>
      <c r="C568" s="161"/>
      <c r="D568" s="161"/>
      <c r="E568" s="170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249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8" t="s">
        <v>244</v>
      </c>
      <c r="B581" s="159"/>
      <c r="C581" s="159"/>
      <c r="D581" s="159"/>
      <c r="E581" s="16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245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8" t="s">
        <v>247</v>
      </c>
      <c r="B594" s="159"/>
      <c r="C594" s="159"/>
      <c r="D594" s="159"/>
      <c r="E594" s="16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245</v>
      </c>
      <c r="O594" s="39"/>
    </row>
    <row r="595" spans="1:15" ht="18" customHeight="1">
      <c r="A595" s="160" t="s">
        <v>248</v>
      </c>
      <c r="B595" s="161"/>
      <c r="C595" s="161"/>
      <c r="D595" s="161"/>
      <c r="E595" s="170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249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8" t="s">
        <v>244</v>
      </c>
      <c r="B608" s="159"/>
      <c r="C608" s="159"/>
      <c r="D608" s="159"/>
      <c r="E608" s="16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245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8" t="s">
        <v>247</v>
      </c>
      <c r="B621" s="159"/>
      <c r="C621" s="159"/>
      <c r="D621" s="159"/>
      <c r="E621" s="16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245</v>
      </c>
      <c r="O621" s="39"/>
    </row>
    <row r="622" spans="1:15" ht="18" customHeight="1">
      <c r="A622" s="160" t="s">
        <v>248</v>
      </c>
      <c r="B622" s="161"/>
      <c r="C622" s="161"/>
      <c r="D622" s="161"/>
      <c r="E622" s="170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249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8" t="s">
        <v>244</v>
      </c>
      <c r="B635" s="159"/>
      <c r="C635" s="159"/>
      <c r="D635" s="159"/>
      <c r="E635" s="16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245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8" t="s">
        <v>247</v>
      </c>
      <c r="B648" s="159"/>
      <c r="C648" s="159"/>
      <c r="D648" s="159"/>
      <c r="E648" s="16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245</v>
      </c>
      <c r="O648" s="39"/>
    </row>
    <row r="649" spans="1:15" ht="18" customHeight="1">
      <c r="A649" s="160" t="s">
        <v>248</v>
      </c>
      <c r="B649" s="161"/>
      <c r="C649" s="161"/>
      <c r="D649" s="161"/>
      <c r="E649" s="170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249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8" t="s">
        <v>244</v>
      </c>
      <c r="B662" s="159"/>
      <c r="C662" s="159"/>
      <c r="D662" s="159"/>
      <c r="E662" s="16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245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8" t="s">
        <v>247</v>
      </c>
      <c r="B675" s="159"/>
      <c r="C675" s="159"/>
      <c r="D675" s="159"/>
      <c r="E675" s="16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245</v>
      </c>
      <c r="O675" s="39"/>
    </row>
    <row r="676" spans="1:15" ht="18" customHeight="1">
      <c r="A676" s="160" t="s">
        <v>248</v>
      </c>
      <c r="B676" s="161"/>
      <c r="C676" s="161"/>
      <c r="D676" s="161"/>
      <c r="E676" s="170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249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8" t="s">
        <v>244</v>
      </c>
      <c r="B689" s="159"/>
      <c r="C689" s="159"/>
      <c r="D689" s="159"/>
      <c r="E689" s="16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245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8" t="s">
        <v>247</v>
      </c>
      <c r="B702" s="159"/>
      <c r="C702" s="159"/>
      <c r="D702" s="159"/>
      <c r="E702" s="16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245</v>
      </c>
      <c r="O702" s="39"/>
    </row>
    <row r="703" spans="1:15" ht="18" customHeight="1">
      <c r="A703" s="160" t="s">
        <v>248</v>
      </c>
      <c r="B703" s="161"/>
      <c r="C703" s="161"/>
      <c r="D703" s="161"/>
      <c r="E703" s="170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249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8" t="s">
        <v>244</v>
      </c>
      <c r="B716" s="159"/>
      <c r="C716" s="159"/>
      <c r="D716" s="159"/>
      <c r="E716" s="16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245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8" t="s">
        <v>247</v>
      </c>
      <c r="B729" s="159"/>
      <c r="C729" s="159"/>
      <c r="D729" s="159"/>
      <c r="E729" s="16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245</v>
      </c>
      <c r="O729" s="39"/>
    </row>
    <row r="730" spans="1:15" ht="18" customHeight="1">
      <c r="A730" s="160" t="s">
        <v>248</v>
      </c>
      <c r="B730" s="161"/>
      <c r="C730" s="161"/>
      <c r="D730" s="161"/>
      <c r="E730" s="170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249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8" t="s">
        <v>244</v>
      </c>
      <c r="B743" s="159"/>
      <c r="C743" s="159"/>
      <c r="D743" s="159"/>
      <c r="E743" s="16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245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8" t="s">
        <v>247</v>
      </c>
      <c r="B756" s="159"/>
      <c r="C756" s="159"/>
      <c r="D756" s="159"/>
      <c r="E756" s="16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245</v>
      </c>
      <c r="O756" s="39"/>
    </row>
    <row r="757" spans="1:15" ht="18" customHeight="1">
      <c r="A757" s="160" t="s">
        <v>248</v>
      </c>
      <c r="B757" s="161"/>
      <c r="C757" s="161"/>
      <c r="D757" s="161"/>
      <c r="E757" s="170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249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8" t="s">
        <v>244</v>
      </c>
      <c r="B770" s="159"/>
      <c r="C770" s="159"/>
      <c r="D770" s="159"/>
      <c r="E770" s="16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245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8" t="s">
        <v>247</v>
      </c>
      <c r="B783" s="159"/>
      <c r="C783" s="159"/>
      <c r="D783" s="159"/>
      <c r="E783" s="16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245</v>
      </c>
      <c r="O783" s="39"/>
    </row>
    <row r="784" spans="1:15" ht="18" customHeight="1">
      <c r="A784" s="160" t="s">
        <v>248</v>
      </c>
      <c r="B784" s="161"/>
      <c r="C784" s="161"/>
      <c r="D784" s="161"/>
      <c r="E784" s="170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249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8" t="s">
        <v>244</v>
      </c>
      <c r="B797" s="159"/>
      <c r="C797" s="159"/>
      <c r="D797" s="159"/>
      <c r="E797" s="16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245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8" t="s">
        <v>247</v>
      </c>
      <c r="B810" s="159"/>
      <c r="C810" s="159"/>
      <c r="D810" s="159"/>
      <c r="E810" s="16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245</v>
      </c>
      <c r="O810" s="39"/>
    </row>
    <row r="811" spans="1:15" ht="18" customHeight="1">
      <c r="A811" s="174" t="s">
        <v>248</v>
      </c>
      <c r="B811" s="175"/>
      <c r="C811" s="175"/>
      <c r="D811" s="175"/>
      <c r="E811" s="176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249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8" t="s">
        <v>244</v>
      </c>
      <c r="B824" s="159"/>
      <c r="C824" s="159"/>
      <c r="D824" s="159"/>
      <c r="E824" s="169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245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8" t="s">
        <v>247</v>
      </c>
      <c r="B837" s="159"/>
      <c r="C837" s="159"/>
      <c r="D837" s="159"/>
      <c r="E837" s="169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245</v>
      </c>
      <c r="O837" s="39"/>
    </row>
    <row r="838" spans="1:15" ht="18" customHeight="1">
      <c r="A838" s="160" t="s">
        <v>248</v>
      </c>
      <c r="B838" s="161"/>
      <c r="C838" s="161"/>
      <c r="D838" s="161"/>
      <c r="E838" s="170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249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381 E383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401" activePane="bottomLeft" state="frozen"/>
      <selection pane="bottomLeft" activeCell="G432" sqref="G432"/>
      <selection sqref="A1:G409"/>
    </sheetView>
  </sheetViews>
  <sheetFormatPr defaultColWidth="8.5703125" defaultRowHeight="14.4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271</v>
      </c>
      <c r="I1" s="133" t="s">
        <v>20</v>
      </c>
      <c r="J1" s="133" t="s">
        <v>272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272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167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273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137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274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275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138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138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245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259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259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142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259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165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259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142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276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259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277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259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259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259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259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259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259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245</v>
      </c>
      <c r="S27" s="45">
        <v>549860</v>
      </c>
      <c r="T27" s="122"/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249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259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165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259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259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259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259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259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259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259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259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245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167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167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278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279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137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280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137</v>
      </c>
      <c r="O53" s="29">
        <v>0.12152777777777778</v>
      </c>
      <c r="P53" s="29"/>
      <c r="Q53" s="30">
        <f t="shared" ca="1" si="11"/>
        <v>0.16037407406838611</v>
      </c>
      <c r="R53" s="46" t="s">
        <v>281</v>
      </c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0.299262962957275</v>
      </c>
      <c r="R54" s="36" t="s">
        <v>245</v>
      </c>
      <c r="S54" s="75">
        <v>352430</v>
      </c>
      <c r="T54" s="117"/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0.38398518517949731</v>
      </c>
      <c r="R55" s="40" t="s">
        <v>249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259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130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130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259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130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259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130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259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130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259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130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259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273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259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259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245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156</v>
      </c>
      <c r="N69" s="26" t="s">
        <v>193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142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165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165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208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282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259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245</v>
      </c>
      <c r="S81" s="54">
        <v>634210</v>
      </c>
      <c r="T81" s="118"/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249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259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145</v>
      </c>
      <c r="N83" s="33" t="s">
        <v>218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145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245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148</v>
      </c>
      <c r="N96" s="26" t="s">
        <v>125</v>
      </c>
      <c r="O96" s="29">
        <v>0.79166666666666663</v>
      </c>
      <c r="P96" s="29" t="s">
        <v>283</v>
      </c>
      <c r="Q96" s="30" t="str">
        <f t="shared" ref="Q96:Q107" ca="1" si="22">IFERROR(IF(O96="","",IF(P96="",MOD(NOW()-O96,1),IF(P96&gt;=O96,P96-O96,P96+1-O96))),"")</f>
        <v/>
      </c>
      <c r="R96" s="46" t="s">
        <v>284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246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285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191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286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246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245</v>
      </c>
      <c r="S108" s="54">
        <v>456830</v>
      </c>
      <c r="T108" s="118"/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249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164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287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164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245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167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164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142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142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130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245</v>
      </c>
      <c r="S135" s="54">
        <v>756720</v>
      </c>
      <c r="T135" s="118"/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249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288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289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167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290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245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291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245</v>
      </c>
      <c r="S162" s="54">
        <v>501750</v>
      </c>
      <c r="T162" s="118"/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249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259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259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259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165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165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259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259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259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259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259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259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259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245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259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130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259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156</v>
      </c>
      <c r="N180" s="26" t="s">
        <v>141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292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259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289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293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259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245</v>
      </c>
      <c r="S189" s="45">
        <v>362530</v>
      </c>
      <c r="T189" s="122"/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249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294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156</v>
      </c>
      <c r="N192" s="26" t="s">
        <v>190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156</v>
      </c>
      <c r="N193" s="26" t="s">
        <v>190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287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174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130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130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245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167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167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245</v>
      </c>
      <c r="S216" s="45">
        <v>609740</v>
      </c>
      <c r="T216" s="122"/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249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179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282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246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295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142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296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142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297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71" t="s">
        <v>244</v>
      </c>
      <c r="B230" s="172"/>
      <c r="C230" s="172"/>
      <c r="D230" s="172"/>
      <c r="E230" s="172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245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246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167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167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245</v>
      </c>
      <c r="S243" s="45">
        <v>825930</v>
      </c>
      <c r="T243" s="122"/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249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174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245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259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259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259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259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259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259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259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259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259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259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259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259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45">
        <v>732130</v>
      </c>
      <c r="T270" s="122"/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249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259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259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259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259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243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259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243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243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259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259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243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243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243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243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243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45">
        <v>990260</v>
      </c>
      <c r="T297" s="122"/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259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142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259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259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259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259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259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259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259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259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259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259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259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245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259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167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259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259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164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259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259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167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259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145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259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259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259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142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259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259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259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245</v>
      </c>
      <c r="S324" s="149">
        <v>725030</v>
      </c>
      <c r="T324" s="122">
        <f>IFERROR(J324,"")</f>
        <v>104.40432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249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137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298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145</v>
      </c>
      <c r="N328" s="26" t="s">
        <v>137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299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145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300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133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145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301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179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302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245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294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174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204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289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164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164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142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142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245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249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282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167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245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145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303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167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167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245</v>
      </c>
      <c r="S378" s="45">
        <v>806300</v>
      </c>
      <c r="T378" s="122">
        <f>IFERROR(J378,"")</f>
        <v>169.32299999999998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249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259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259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167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150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304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245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164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167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167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305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165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175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165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245</v>
      </c>
      <c r="S405" s="45">
        <v>774540</v>
      </c>
      <c r="T405" s="122">
        <f>IFERROR(J405,"")</f>
        <v>156.22852721311477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249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245</v>
      </c>
      <c r="S419" s="45">
        <v>590830</v>
      </c>
      <c r="T419" s="122">
        <f>IFERROR(J419,"")</f>
        <v>85.079520000000002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24</v>
      </c>
      <c r="H420" s="140">
        <f>IFERROR(IF($G420="","",$G420*$S$432/$G$432/Cadastro!$E$33),"")</f>
        <v>0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0</v>
      </c>
      <c r="K420" s="28">
        <f t="shared" ref="K420:K431" si="103">IF(G420="","",IF(E420="PC 17",G420*4.2,IF(E420="PC 19",G420*5,IF(E420="CB",G420*24,""))))</f>
        <v>100.80000000000001</v>
      </c>
      <c r="L420" s="26" t="s">
        <v>27</v>
      </c>
      <c r="M420" s="26" t="s">
        <v>46</v>
      </c>
      <c r="N420" s="26" t="s">
        <v>63</v>
      </c>
      <c r="O420" s="29">
        <v>0.87291666666666667</v>
      </c>
      <c r="P420" s="29">
        <v>0.89722222222222225</v>
      </c>
      <c r="Q420" s="30">
        <f t="shared" ref="Q420:Q431" ca="1" si="104">IFERROR(IF(O420="","",IF(P420="",MOD(NOW()-O420,1),IF(P420&gt;=O420,P420-O420,P420+1-O420))),"")</f>
        <v>2.430555555555558E-2</v>
      </c>
      <c r="R420" s="46" t="s">
        <v>306</v>
      </c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>
        <v>13</v>
      </c>
      <c r="H421" s="134">
        <f>IFERROR(IF($G421="","",$G421*$S$432/$G$432/Cadastro!$E$33),"")</f>
        <v>0</v>
      </c>
      <c r="I421" s="135">
        <f>IFERROR(IF($D421="","",VLOOKUP($D421,Cadastro!$C$4:$G$7,5,FALSE)),"")</f>
        <v>0.6</v>
      </c>
      <c r="J421" s="136">
        <f t="shared" si="102"/>
        <v>0</v>
      </c>
      <c r="K421" s="34">
        <f t="shared" si="103"/>
        <v>54.6</v>
      </c>
      <c r="L421" s="33" t="s">
        <v>25</v>
      </c>
      <c r="M421" s="33" t="s">
        <v>46</v>
      </c>
      <c r="N421" s="33" t="s">
        <v>164</v>
      </c>
      <c r="O421" s="29">
        <v>0.91666666666666663</v>
      </c>
      <c r="P421" s="29">
        <v>0.93402777777777779</v>
      </c>
      <c r="Q421" s="35">
        <f t="shared" ca="1" si="104"/>
        <v>1.736111111111116E-2</v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>
        <v>11</v>
      </c>
      <c r="H422" s="134">
        <f>IFERROR(IF($G422="","",$G422*$S$432/$G$432/Cadastro!$E$33),"")</f>
        <v>0</v>
      </c>
      <c r="I422" s="135">
        <f>IFERROR(IF($D422="","",VLOOKUP($D422,Cadastro!$C$4:$G$7,5,FALSE)),"")</f>
        <v>0.6</v>
      </c>
      <c r="J422" s="136">
        <f t="shared" si="102"/>
        <v>0</v>
      </c>
      <c r="K422" s="28">
        <f t="shared" si="103"/>
        <v>46.2</v>
      </c>
      <c r="L422" s="26" t="s">
        <v>27</v>
      </c>
      <c r="M422" s="26" t="s">
        <v>165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4"/>
        <v>1.0416666666666741E-2</v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>
        <v>12</v>
      </c>
      <c r="H423" s="134">
        <f>IFERROR(IF($G423="","",$G423*$S$432/$G$432/Cadastro!$E$33),"")</f>
        <v>0</v>
      </c>
      <c r="I423" s="135">
        <f>IFERROR(IF($D423="","",VLOOKUP($D423,Cadastro!$C$4:$G$7,5,FALSE)),"")</f>
        <v>0.6</v>
      </c>
      <c r="J423" s="136">
        <f t="shared" si="102"/>
        <v>0</v>
      </c>
      <c r="K423" s="34">
        <f t="shared" si="103"/>
        <v>50.400000000000006</v>
      </c>
      <c r="L423" s="33" t="s">
        <v>27</v>
      </c>
      <c r="M423" s="33" t="s">
        <v>46</v>
      </c>
      <c r="N423" s="33" t="s">
        <v>43</v>
      </c>
      <c r="O423" s="29">
        <v>2.9166666666666667E-2</v>
      </c>
      <c r="P423" s="29">
        <v>3.2638888888888891E-2</v>
      </c>
      <c r="Q423" s="35">
        <f t="shared" ca="1" si="104"/>
        <v>3.4722222222222238E-3</v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>
        <v>21</v>
      </c>
      <c r="H424" s="134">
        <f>IFERROR(IF($G424="","",$G424*$S$432/$G$432/Cadastro!$E$33),"")</f>
        <v>0</v>
      </c>
      <c r="I424" s="135">
        <f>IFERROR(IF($D424="","",VLOOKUP($D424,Cadastro!$C$4:$G$7,5,FALSE)),"")</f>
        <v>0.6</v>
      </c>
      <c r="J424" s="136">
        <f t="shared" si="102"/>
        <v>0</v>
      </c>
      <c r="K424" s="28">
        <f t="shared" si="103"/>
        <v>88.2</v>
      </c>
      <c r="L424" s="26" t="s">
        <v>27</v>
      </c>
      <c r="M424" s="26" t="s">
        <v>46</v>
      </c>
      <c r="N424" s="26" t="s">
        <v>43</v>
      </c>
      <c r="O424" s="29">
        <v>6.0416666666666667E-2</v>
      </c>
      <c r="P424" s="29">
        <v>6.3194444444444442E-2</v>
      </c>
      <c r="Q424" s="30">
        <f t="shared" ca="1" si="104"/>
        <v>2.7777777777777748E-3</v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>
        <v>12</v>
      </c>
      <c r="H425" s="134">
        <f>IFERROR(IF($G425="","",$G425*$S$432/$G$432/Cadastro!$E$33),"")</f>
        <v>0</v>
      </c>
      <c r="I425" s="135">
        <f>IFERROR(IF($D425="","",VLOOKUP($D425,Cadastro!$C$4:$G$7,5,FALSE)),"")</f>
        <v>0.6</v>
      </c>
      <c r="J425" s="136">
        <f t="shared" si="102"/>
        <v>0</v>
      </c>
      <c r="K425" s="34">
        <f t="shared" si="103"/>
        <v>50.400000000000006</v>
      </c>
      <c r="L425" s="33" t="s">
        <v>27</v>
      </c>
      <c r="M425" s="33" t="s">
        <v>46</v>
      </c>
      <c r="N425" s="33" t="s">
        <v>43</v>
      </c>
      <c r="O425" s="29">
        <v>7.3611111111111113E-2</v>
      </c>
      <c r="P425" s="29">
        <v>7.5694444444444439E-2</v>
      </c>
      <c r="Q425" s="35">
        <f t="shared" ca="1" si="104"/>
        <v>2.0833333333333259E-3</v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>
        <v>17</v>
      </c>
      <c r="H426" s="134">
        <f>IFERROR(IF($G426="","",$G426*$S$432/$G$432/Cadastro!$E$33),"")</f>
        <v>0</v>
      </c>
      <c r="I426" s="135">
        <f>IFERROR(IF($D426="","",VLOOKUP($D426,Cadastro!$C$4:$G$7,5,FALSE)),"")</f>
        <v>0.6</v>
      </c>
      <c r="J426" s="136">
        <f t="shared" si="102"/>
        <v>0</v>
      </c>
      <c r="K426" s="28">
        <f t="shared" si="103"/>
        <v>71.400000000000006</v>
      </c>
      <c r="L426" s="26" t="s">
        <v>26</v>
      </c>
      <c r="M426" s="26" t="s">
        <v>167</v>
      </c>
      <c r="N426" s="26" t="s">
        <v>34</v>
      </c>
      <c r="O426" s="29">
        <v>0.16180555555555556</v>
      </c>
      <c r="P426" s="29">
        <v>0.18055555555555555</v>
      </c>
      <c r="Q426" s="30">
        <f t="shared" ca="1" si="104"/>
        <v>1.8749999999999989E-2</v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>
        <v>16</v>
      </c>
      <c r="H427" s="134">
        <f>IFERROR(IF($G427="","",$G427*$S$432/$G$432/Cadastro!$E$33),"")</f>
        <v>0</v>
      </c>
      <c r="I427" s="135">
        <f>IFERROR(IF($D427="","",VLOOKUP($D427,Cadastro!$C$4:$G$7,5,FALSE)),"")</f>
        <v>0.6</v>
      </c>
      <c r="J427" s="136">
        <f t="shared" si="102"/>
        <v>0</v>
      </c>
      <c r="K427" s="34">
        <f t="shared" si="103"/>
        <v>67.2</v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>
        <v>4</v>
      </c>
      <c r="H428" s="134">
        <f>IFERROR(IF($G428="","",$G428*$S$432/$G$432/Cadastro!$E$33),"")</f>
        <v>0</v>
      </c>
      <c r="I428" s="135">
        <f>IFERROR(IF($D428="","",VLOOKUP($D428,Cadastro!$C$4:$G$7,5,FALSE)),"")</f>
        <v>0.6</v>
      </c>
      <c r="J428" s="136">
        <f t="shared" si="102"/>
        <v>0</v>
      </c>
      <c r="K428" s="28">
        <f t="shared" si="103"/>
        <v>16.8</v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>
        <v>13</v>
      </c>
      <c r="H429" s="134">
        <f>IFERROR(IF($G429="","",$G429*$S$432/$G$432/Cadastro!$E$33),"")</f>
        <v>0</v>
      </c>
      <c r="I429" s="135">
        <f>IFERROR(IF($D429="","",VLOOKUP($D429,Cadastro!$C$4:$G$7,5,FALSE)),"")</f>
        <v>0.6</v>
      </c>
      <c r="J429" s="136">
        <f t="shared" si="102"/>
        <v>0</v>
      </c>
      <c r="K429" s="34">
        <f t="shared" si="103"/>
        <v>54.6</v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>
        <v>20</v>
      </c>
      <c r="H430" s="134">
        <f>IFERROR(IF($G430="","",$G430*$S$432/$G$432/Cadastro!$E$33),"")</f>
        <v>0</v>
      </c>
      <c r="I430" s="135">
        <f>IFERROR(IF($D430="","",VLOOKUP($D430,Cadastro!$C$4:$G$7,5,FALSE)),"")</f>
        <v>0.6</v>
      </c>
      <c r="J430" s="136">
        <f t="shared" si="102"/>
        <v>0</v>
      </c>
      <c r="K430" s="28">
        <f t="shared" si="103"/>
        <v>84</v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>
        <v>8</v>
      </c>
      <c r="H431" s="137">
        <f>IFERROR(IF($G431="","",$G431*$S$432/$G$432/Cadastro!$E$33),"")</f>
        <v>0</v>
      </c>
      <c r="I431" s="138">
        <f>IFERROR(IF($D431="","",VLOOKUP($D431,Cadastro!$C$4:$G$7,5,FALSE)),"")</f>
        <v>0.6</v>
      </c>
      <c r="J431" s="139">
        <f t="shared" si="102"/>
        <v>0</v>
      </c>
      <c r="K431" s="34">
        <f t="shared" si="103"/>
        <v>33.6</v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247</v>
      </c>
      <c r="B432" s="79"/>
      <c r="C432" s="79"/>
      <c r="D432" s="79"/>
      <c r="E432" s="79"/>
      <c r="F432" s="111"/>
      <c r="G432" s="80">
        <f>SUM(G420:G431)</f>
        <v>171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718.2</v>
      </c>
      <c r="L432" s="37"/>
      <c r="M432" s="37"/>
      <c r="N432" s="37"/>
      <c r="O432" s="37"/>
      <c r="P432" s="37"/>
      <c r="Q432" s="38">
        <f ca="1">IFERROR(SUM(Q420:Q431),"")</f>
        <v>7.9166666666666802E-2</v>
      </c>
      <c r="R432" s="36" t="s">
        <v>245</v>
      </c>
      <c r="S432" s="45"/>
      <c r="T432" s="122">
        <f>IFERROR(J432,"")</f>
        <v>0</v>
      </c>
    </row>
    <row r="433" spans="1:20" ht="18" customHeight="1">
      <c r="A433" s="83" t="s">
        <v>248</v>
      </c>
      <c r="B433" s="82"/>
      <c r="C433" s="82"/>
      <c r="D433" s="82"/>
      <c r="E433" s="82"/>
      <c r="F433" s="112"/>
      <c r="G433" s="91">
        <f>G419+G432</f>
        <v>318</v>
      </c>
      <c r="H433" s="112">
        <f>IFERROR(H419+H432,"")</f>
        <v>590.82999999999993</v>
      </c>
      <c r="I433" s="116"/>
      <c r="J433" s="125">
        <f>IFERROR(J419+J432,"")</f>
        <v>85.079520000000002</v>
      </c>
      <c r="K433" s="40">
        <f>K419+K432</f>
        <v>1335.6000000000001</v>
      </c>
      <c r="L433" s="41"/>
      <c r="M433" s="41"/>
      <c r="N433" s="41"/>
      <c r="O433" s="41"/>
      <c r="P433" s="41"/>
      <c r="Q433" s="42">
        <f ca="1">IFERROR(Q419+Q432,"")</f>
        <v>0.17013888888888903</v>
      </c>
      <c r="R433" s="40" t="s">
        <v>249</v>
      </c>
      <c r="S433" s="143">
        <f>IFERROR(S419+S432,"")</f>
        <v>590830</v>
      </c>
      <c r="T433" s="144">
        <f>IFERROR(J433,"")</f>
        <v>85.079520000000002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45"/>
      <c r="T459" s="122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45"/>
      <c r="T486" s="122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247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45"/>
      <c r="T513" s="122">
        <f>IFERROR(J513,"")</f>
        <v>0</v>
      </c>
    </row>
    <row r="514" spans="1:20" ht="18" customHeight="1">
      <c r="A514" s="83" t="s">
        <v>248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45"/>
      <c r="T540" s="122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45"/>
      <c r="T567" s="122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45"/>
      <c r="T594" s="122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45"/>
      <c r="T621" s="122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45"/>
      <c r="T648" s="122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45"/>
      <c r="T675" s="122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45"/>
      <c r="T702" s="122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45"/>
      <c r="T729" s="122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75"/>
      <c r="T837" s="117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13">
        <f>IFERROR(S824+S837,"")</f>
        <v>0</v>
      </c>
      <c r="T838" s="97">
        <f>IFERROR(J838,"")</f>
        <v>0</v>
      </c>
    </row>
  </sheetData>
  <sheetProtection algorithmName="SHA-512" hashValue="yGJdA/lqfZVSPgXUXmdYkWK8SERml5tC5o+rbaIKyY+gYt6zszxYCklhyp2snYv5zb26tq21RRk7BTb6BWrjMw==" saltValue="PgeBFLM8fu/4ApGRBj4SpA==" spinCount="100000" sheet="1" objects="1" scenarios="1"/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tabSelected="1" zoomScale="80" zoomScaleNormal="80" workbookViewId="0">
      <pane ySplit="1" topLeftCell="A407" activePane="bottomLeft" state="frozen"/>
      <selection pane="bottomLeft" activeCell="G432" sqref="G432"/>
    </sheetView>
  </sheetViews>
  <sheetFormatPr defaultColWidth="8.5703125" defaultRowHeight="14.4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271</v>
      </c>
      <c r="I1" s="133" t="s">
        <v>20</v>
      </c>
      <c r="J1" s="133" t="s">
        <v>272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272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245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307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259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142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259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165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259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142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276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259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169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308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259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259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259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259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259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259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245</v>
      </c>
      <c r="S27" s="39">
        <v>358000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249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259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259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259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259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259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259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259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245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175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282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307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307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165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141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245</v>
      </c>
      <c r="S54" s="39">
        <v>279980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249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130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259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130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259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259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130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259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259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137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309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259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259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259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259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245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310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156</v>
      </c>
      <c r="N70" s="26" t="s">
        <v>193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165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165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245</v>
      </c>
      <c r="S81" s="39">
        <v>185920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249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259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311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145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312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245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145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145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313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165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245</v>
      </c>
      <c r="S108" s="39">
        <v>434370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249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245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165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165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314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142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138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206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245</v>
      </c>
      <c r="S135" s="39">
        <v>416350</v>
      </c>
      <c r="T135" s="119">
        <f>IFERROR(J135,"")</f>
        <v>0</v>
      </c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249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315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212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145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290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245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282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245</v>
      </c>
      <c r="S162" s="39">
        <v>169760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249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259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259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316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259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259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259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259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259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165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259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165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259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245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259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317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259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130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156</v>
      </c>
      <c r="N181" s="33" t="s">
        <v>141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259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293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293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259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245</v>
      </c>
      <c r="S189" s="39">
        <v>72220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249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156</v>
      </c>
      <c r="N194" s="26" t="s">
        <v>190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156</v>
      </c>
      <c r="N195" s="26" t="s">
        <v>190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130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130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245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318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245</v>
      </c>
      <c r="S216" s="39">
        <v>148720</v>
      </c>
      <c r="T216" s="119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249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142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165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142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319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142</v>
      </c>
      <c r="N222" s="26" t="s">
        <v>68</v>
      </c>
      <c r="O222" s="29">
        <v>0.69930555555555551</v>
      </c>
      <c r="P222" s="29" t="s">
        <v>320</v>
      </c>
      <c r="Q222" s="30" t="str">
        <f t="shared" ca="1" si="49"/>
        <v/>
      </c>
      <c r="R222" s="27" t="s">
        <v>321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245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245</v>
      </c>
      <c r="S243" s="39">
        <v>352720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249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322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243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243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245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259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259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259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259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259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259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259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259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259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259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259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259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39">
        <v>327900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249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243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243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243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259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243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243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243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243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243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243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243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39">
        <v>462190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206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206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259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191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259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259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259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245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145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259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259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142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259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142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259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259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259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259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259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259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259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245</v>
      </c>
      <c r="S324" s="39">
        <v>289490</v>
      </c>
      <c r="T324" s="119">
        <f>IFERROR(J324,"")</f>
        <v>41.68656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249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145</v>
      </c>
      <c r="N326" s="26" t="s">
        <v>137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300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145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323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133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145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301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259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245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142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142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245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249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282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165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142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245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142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212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245</v>
      </c>
      <c r="S378" s="39">
        <v>360560</v>
      </c>
      <c r="T378" s="119">
        <f>IFERROR(J378,"")</f>
        <v>75.71759999999999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249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324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304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245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165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165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245</v>
      </c>
      <c r="S405" s="39">
        <v>489360</v>
      </c>
      <c r="T405" s="119">
        <f>IFERROR(J405,"")</f>
        <v>99.305125714285708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249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325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245</v>
      </c>
      <c r="S419" s="39">
        <v>447620</v>
      </c>
      <c r="T419" s="119">
        <f>IFERROR(J419,"")</f>
        <v>64.457279999999997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6</v>
      </c>
      <c r="H420" s="140">
        <f>IFERROR(IF($G420="","",$G420*$S$432/$G$432/Cadastro!$E$33),"")</f>
        <v>0</v>
      </c>
      <c r="I420" s="141">
        <f>IFERROR(IF($D420="","",VLOOKUP($D420,Cadastro!$C$4:$G$7,5,FALSE)),"")</f>
        <v>0.6</v>
      </c>
      <c r="J420" s="142">
        <f t="shared" ref="J420:J431" si="100">IFERROR(IF($H420="","",$H420*$F420*$I420),"")</f>
        <v>0</v>
      </c>
      <c r="K420" s="28">
        <f t="shared" ref="K420:K431" si="101">IF(G420="","",IF(E420="PC 17",G420*4.2,IF(E420="PC 19",G420*5,IF(E420="CB",G420*24,""))))</f>
        <v>25.200000000000003</v>
      </c>
      <c r="L420" s="26" t="s">
        <v>27</v>
      </c>
      <c r="M420" s="26" t="s">
        <v>54</v>
      </c>
      <c r="N420" s="26" t="s">
        <v>63</v>
      </c>
      <c r="O420" s="29">
        <v>0.86875000000000002</v>
      </c>
      <c r="P420" s="29">
        <v>0.8979166666666667</v>
      </c>
      <c r="Q420" s="30">
        <f t="shared" ref="Q420:Q431" ca="1" si="102">IFERROR(IF(O420="","",IF(P420="",MOD(NOW()-O420,1),IF(P420&gt;=O420,P420-O420,P420+1-O420))),"")</f>
        <v>2.9166666666666674E-2</v>
      </c>
      <c r="R420" s="86" t="s">
        <v>326</v>
      </c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>
        <v>3</v>
      </c>
      <c r="H421" s="134">
        <f>IFERROR(IF($G421="","",$G421*$S$432/$G$432/Cadastro!$E$33),"")</f>
        <v>0</v>
      </c>
      <c r="I421" s="135">
        <f>IFERROR(IF($D421="","",VLOOKUP($D421,Cadastro!$C$4:$G$7,5,FALSE)),"")</f>
        <v>0.6</v>
      </c>
      <c r="J421" s="136">
        <f t="shared" si="100"/>
        <v>0</v>
      </c>
      <c r="K421" s="34">
        <f t="shared" si="101"/>
        <v>12.600000000000001</v>
      </c>
      <c r="L421" s="33" t="s">
        <v>27</v>
      </c>
      <c r="M421" s="33" t="s">
        <v>54</v>
      </c>
      <c r="N421" s="33" t="s">
        <v>69</v>
      </c>
      <c r="O421" s="29">
        <v>0.9145833333333333</v>
      </c>
      <c r="P421" s="29">
        <v>0.95138888888888884</v>
      </c>
      <c r="Q421" s="85">
        <f t="shared" ca="1" si="102"/>
        <v>3.6805555555555536E-2</v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>
        <v>2</v>
      </c>
      <c r="H422" s="134">
        <f>IFERROR(IF($G422="","",$G422*$S$432/$G$432/Cadastro!$E$33),"")</f>
        <v>0</v>
      </c>
      <c r="I422" s="135">
        <f>IFERROR(IF($D422="","",VLOOKUP($D422,Cadastro!$C$4:$G$7,5,FALSE)),"")</f>
        <v>0.6</v>
      </c>
      <c r="J422" s="136">
        <f t="shared" si="100"/>
        <v>0</v>
      </c>
      <c r="K422" s="28">
        <f t="shared" si="101"/>
        <v>8.4</v>
      </c>
      <c r="L422" s="26" t="s">
        <v>27</v>
      </c>
      <c r="M422" s="26" t="s">
        <v>165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2"/>
        <v>1.0416666666666741E-2</v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>
        <v>2</v>
      </c>
      <c r="H423" s="134">
        <f>IFERROR(IF($G423="","",$G423*$S$432/$G$432/Cadastro!$E$33),"")</f>
        <v>0</v>
      </c>
      <c r="I423" s="135">
        <f>IFERROR(IF($D423="","",VLOOKUP($D423,Cadastro!$C$4:$G$7,5,FALSE)),"")</f>
        <v>0.6</v>
      </c>
      <c r="J423" s="136">
        <f t="shared" si="100"/>
        <v>0</v>
      </c>
      <c r="K423" s="34">
        <f t="shared" si="101"/>
        <v>8.4</v>
      </c>
      <c r="L423" s="33" t="s">
        <v>27</v>
      </c>
      <c r="M423" s="33" t="s">
        <v>54</v>
      </c>
      <c r="N423" s="33" t="s">
        <v>63</v>
      </c>
      <c r="O423" s="29">
        <v>9.0277777777777776E-2</v>
      </c>
      <c r="P423" s="29">
        <v>9.8611111111111108E-2</v>
      </c>
      <c r="Q423" s="35">
        <f t="shared" ca="1" si="102"/>
        <v>8.3333333333333315E-3</v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>
        <v>4</v>
      </c>
      <c r="H424" s="134">
        <f>IFERROR(IF($G424="","",$G424*$S$432/$G$432/Cadastro!$E$33),"")</f>
        <v>0</v>
      </c>
      <c r="I424" s="135">
        <f>IFERROR(IF($D424="","",VLOOKUP($D424,Cadastro!$C$4:$G$7,5,FALSE)),"")</f>
        <v>0.6</v>
      </c>
      <c r="J424" s="136">
        <f t="shared" si="100"/>
        <v>0</v>
      </c>
      <c r="K424" s="28">
        <f t="shared" si="101"/>
        <v>16.8</v>
      </c>
      <c r="L424" s="26" t="s">
        <v>27</v>
      </c>
      <c r="M424" s="26" t="s">
        <v>54</v>
      </c>
      <c r="N424" s="26" t="s">
        <v>35</v>
      </c>
      <c r="O424" s="29">
        <v>0.25277777777777777</v>
      </c>
      <c r="P424" s="29">
        <v>0.26041666666666669</v>
      </c>
      <c r="Q424" s="30">
        <f t="shared" ca="1" si="102"/>
        <v>7.6388888888889173E-3</v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>
        <v>4</v>
      </c>
      <c r="H425" s="134">
        <f>IFERROR(IF($G425="","",$G425*$S$432/$G$432/Cadastro!$E$33),"")</f>
        <v>0</v>
      </c>
      <c r="I425" s="135">
        <f>IFERROR(IF($D425="","",VLOOKUP($D425,Cadastro!$C$4:$G$7,5,FALSE)),"")</f>
        <v>0.6</v>
      </c>
      <c r="J425" s="136">
        <f t="shared" si="100"/>
        <v>0</v>
      </c>
      <c r="K425" s="34">
        <f t="shared" si="101"/>
        <v>16.8</v>
      </c>
      <c r="L425" s="33" t="s">
        <v>27</v>
      </c>
      <c r="M425" s="33" t="s">
        <v>165</v>
      </c>
      <c r="N425" s="33" t="s">
        <v>81</v>
      </c>
      <c r="O425" s="29">
        <v>0.2673611111111111</v>
      </c>
      <c r="P425" s="29"/>
      <c r="Q425" s="35">
        <f t="shared" ca="1" si="102"/>
        <v>1.4540740739903413E-2</v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>
        <v>5</v>
      </c>
      <c r="H426" s="134">
        <f>IFERROR(IF($G426="","",$G426*$S$432/$G$432/Cadastro!$E$33),"")</f>
        <v>0</v>
      </c>
      <c r="I426" s="135">
        <f>IFERROR(IF($D426="","",VLOOKUP($D426,Cadastro!$C$4:$G$7,5,FALSE)),"")</f>
        <v>0.6</v>
      </c>
      <c r="J426" s="136">
        <f t="shared" si="100"/>
        <v>0</v>
      </c>
      <c r="K426" s="28">
        <f t="shared" si="101"/>
        <v>21</v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>
        <v>4</v>
      </c>
      <c r="H427" s="134">
        <f>IFERROR(IF($G427="","",$G427*$S$432/$G$432/Cadastro!$E$33),"")</f>
        <v>0</v>
      </c>
      <c r="I427" s="135">
        <f>IFERROR(IF($D427="","",VLOOKUP($D427,Cadastro!$C$4:$G$7,5,FALSE)),"")</f>
        <v>0.6</v>
      </c>
      <c r="J427" s="136">
        <f t="shared" si="100"/>
        <v>0</v>
      </c>
      <c r="K427" s="34">
        <f t="shared" si="101"/>
        <v>16.8</v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>
        <v>0</v>
      </c>
      <c r="H428" s="134">
        <f>IFERROR(IF($G428="","",$G428*$S$432/$G$432/Cadastro!$E$33),"")</f>
        <v>0</v>
      </c>
      <c r="I428" s="135">
        <f>IFERROR(IF($D428="","",VLOOKUP($D428,Cadastro!$C$4:$G$7,5,FALSE)),"")</f>
        <v>0.6</v>
      </c>
      <c r="J428" s="136">
        <f t="shared" si="100"/>
        <v>0</v>
      </c>
      <c r="K428" s="28">
        <f t="shared" si="101"/>
        <v>0</v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>
        <v>5</v>
      </c>
      <c r="H429" s="134">
        <f>IFERROR(IF($G429="","",$G429*$S$432/$G$432/Cadastro!$E$33),"")</f>
        <v>0</v>
      </c>
      <c r="I429" s="135">
        <f>IFERROR(IF($D429="","",VLOOKUP($D429,Cadastro!$C$4:$G$7,5,FALSE)),"")</f>
        <v>0.6</v>
      </c>
      <c r="J429" s="136">
        <f t="shared" si="100"/>
        <v>0</v>
      </c>
      <c r="K429" s="34">
        <f t="shared" si="101"/>
        <v>21</v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>
        <v>6</v>
      </c>
      <c r="H430" s="134">
        <f>IFERROR(IF($G430="","",$G430*$S$432/$G$432/Cadastro!$E$33),"")</f>
        <v>0</v>
      </c>
      <c r="I430" s="135">
        <f>IFERROR(IF($D430="","",VLOOKUP($D430,Cadastro!$C$4:$G$7,5,FALSE)),"")</f>
        <v>0.6</v>
      </c>
      <c r="J430" s="136">
        <f t="shared" si="100"/>
        <v>0</v>
      </c>
      <c r="K430" s="28">
        <f t="shared" si="101"/>
        <v>25.200000000000003</v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>
        <v>0</v>
      </c>
      <c r="H431" s="137">
        <f>IFERROR(IF($G431="","",$G431*$S$432/$G$432/Cadastro!$E$33),"")</f>
        <v>0</v>
      </c>
      <c r="I431" s="138">
        <f>IFERROR(IF($D431="","",VLOOKUP($D431,Cadastro!$C$4:$G$7,5,FALSE)),"")</f>
        <v>0.6</v>
      </c>
      <c r="J431" s="139">
        <f t="shared" si="100"/>
        <v>0</v>
      </c>
      <c r="K431" s="34">
        <f t="shared" si="101"/>
        <v>0</v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41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172.2</v>
      </c>
      <c r="L432" s="37"/>
      <c r="M432" s="37"/>
      <c r="N432" s="37"/>
      <c r="O432" s="37"/>
      <c r="P432" s="37"/>
      <c r="Q432" s="38">
        <f ca="1">IFERROR(SUM(Q420:Q431),"")</f>
        <v>0.10690185185101461</v>
      </c>
      <c r="R432" s="36" t="s">
        <v>245</v>
      </c>
      <c r="S432" s="39"/>
      <c r="T432" s="119">
        <f>IFERROR(J432,"")</f>
        <v>0</v>
      </c>
    </row>
    <row r="433" spans="1:20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162</v>
      </c>
      <c r="H433" s="112">
        <f>IFERROR(H419+H432,"")</f>
        <v>447.62</v>
      </c>
      <c r="I433" s="116"/>
      <c r="J433" s="125">
        <f>IFERROR(J419+J432,"")</f>
        <v>64.457279999999997</v>
      </c>
      <c r="K433" s="40">
        <f>K419+K432</f>
        <v>680.40000000000009</v>
      </c>
      <c r="L433" s="41"/>
      <c r="M433" s="41"/>
      <c r="N433" s="41"/>
      <c r="O433" s="41"/>
      <c r="P433" s="41"/>
      <c r="Q433" s="42">
        <f ca="1">IFERROR(Q419+Q432,"")</f>
        <v>0.17981851851768135</v>
      </c>
      <c r="R433" s="40" t="s">
        <v>249</v>
      </c>
      <c r="S433" s="48">
        <f>IFERROR(S419+S432,"")</f>
        <v>447620</v>
      </c>
      <c r="T433" s="121">
        <f>IFERROR(J433,"")</f>
        <v>64.457279999999997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395" activePane="bottomLeft" state="frozen"/>
      <selection pane="bottomLeft" activeCell="G432" sqref="G432"/>
    </sheetView>
  </sheetViews>
  <sheetFormatPr defaultColWidth="8.5703125" defaultRowHeight="14.4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271</v>
      </c>
      <c r="I1" s="133" t="s">
        <v>20</v>
      </c>
      <c r="J1" s="133" t="s">
        <v>272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272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245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259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259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327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259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279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259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137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307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259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137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328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259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259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259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169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329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259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259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259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245</v>
      </c>
      <c r="S27" s="39">
        <v>491520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249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259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259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259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259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259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259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259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259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259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259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8" t="s">
        <v>244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245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330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245</v>
      </c>
      <c r="S54" s="39">
        <v>352430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249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259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214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259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331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259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137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332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259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259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259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259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259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259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245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225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333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137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307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214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245</v>
      </c>
      <c r="S81" s="39">
        <v>612410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249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259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170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245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170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137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307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245</v>
      </c>
      <c r="S108" s="39">
        <v>956070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249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170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225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230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230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170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334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245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214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335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282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137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307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245</v>
      </c>
      <c r="S135" s="39">
        <v>912240</v>
      </c>
      <c r="T135" s="119">
        <f>IFERROR(J135,"")</f>
        <v>0</v>
      </c>
    </row>
    <row r="136" spans="1:22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249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170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336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337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148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170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290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244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245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170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338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147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339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245</v>
      </c>
      <c r="S162" s="39">
        <v>573230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249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147</v>
      </c>
      <c r="N164" s="26" t="s">
        <v>141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259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170</v>
      </c>
      <c r="N165" s="33" t="s">
        <v>191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259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170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259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259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164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259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148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259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170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340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259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148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259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259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259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245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341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259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148</v>
      </c>
      <c r="N178" s="26" t="s">
        <v>137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170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259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259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259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259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259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245</v>
      </c>
      <c r="S189" s="39">
        <v>692750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249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170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164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342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165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245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343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344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345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245</v>
      </c>
      <c r="S216" s="45">
        <v>607180</v>
      </c>
      <c r="T216" s="122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249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346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347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245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348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349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159</v>
      </c>
      <c r="N233" s="33" t="s">
        <v>137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245</v>
      </c>
      <c r="S243" s="39">
        <v>795250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249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174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27" t="s">
        <v>269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159</v>
      </c>
      <c r="N249" s="33" t="s">
        <v>137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350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245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259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259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259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259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259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259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259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259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259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259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259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259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245</v>
      </c>
      <c r="S270" s="39">
        <v>683360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249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259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245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243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243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259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243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243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243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243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243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243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243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243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245</v>
      </c>
      <c r="S297" s="39">
        <v>904710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249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191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259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259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259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259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245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165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170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259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259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259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259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259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259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259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259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259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259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245</v>
      </c>
      <c r="S324" s="39">
        <v>1049720</v>
      </c>
      <c r="T324" s="119">
        <f>IFERROR(J324,"")</f>
        <v>151.15967999999998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249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170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259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8" t="s">
        <v>244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245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170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170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170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351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352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245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249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148</v>
      </c>
      <c r="N354" s="33" t="s">
        <v>137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353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354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244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245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139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170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164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355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174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245</v>
      </c>
      <c r="S378" s="39">
        <v>1137080</v>
      </c>
      <c r="T378" s="119">
        <f>IFERROR(J378,"")</f>
        <v>238.78679999999994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249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139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259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136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170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304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356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245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225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170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357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245</v>
      </c>
      <c r="S405" s="39">
        <v>989450</v>
      </c>
      <c r="T405" s="119">
        <f>IFERROR(J405,"")</f>
        <v>195.72390675675675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249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232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358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170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170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137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245</v>
      </c>
      <c r="S419" s="39">
        <v>627410</v>
      </c>
      <c r="T419" s="119">
        <f>IFERROR(J419,"")</f>
        <v>90.347039999999993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21</v>
      </c>
      <c r="H420" s="140">
        <f>IFERROR(IF($G420="","",$G420*$S$432/$G$432/Cadastro!$E$33),"")</f>
        <v>0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0</v>
      </c>
      <c r="K420" s="28">
        <f t="shared" ref="K420:K431" si="103">IF(G420="","",IF(E420="PC 17",G420*4.2,IF(E420="PC 19",G420*5,IF(E420="CB",G420*24,""))))</f>
        <v>88.2</v>
      </c>
      <c r="L420" s="26" t="s">
        <v>27</v>
      </c>
      <c r="M420" s="26" t="s">
        <v>64</v>
      </c>
      <c r="N420" s="26" t="s">
        <v>63</v>
      </c>
      <c r="O420" s="29">
        <v>0.82777777777777772</v>
      </c>
      <c r="P420" s="29">
        <v>0.84722222222222221</v>
      </c>
      <c r="Q420" s="30">
        <f t="shared" ref="Q420:Q431" ca="1" si="104">IFERROR(IF(O420="","",IF(P420="",MOD(NOW()-O420,1),IF(P420&gt;=O420,P420-O420,P420+1-O420))),"")</f>
        <v>1.9444444444444486E-2</v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>
        <v>6</v>
      </c>
      <c r="H421" s="134">
        <f>IFERROR(IF($G421="","",$G421*$S$432/$G$432/Cadastro!$E$33),"")</f>
        <v>0</v>
      </c>
      <c r="I421" s="135">
        <f>IFERROR(IF($D421="","",VLOOKUP($D421,Cadastro!$C$4:$G$7,5,FALSE)),"")</f>
        <v>0.6</v>
      </c>
      <c r="J421" s="136">
        <f t="shared" si="102"/>
        <v>0</v>
      </c>
      <c r="K421" s="34">
        <f t="shared" si="103"/>
        <v>25.200000000000003</v>
      </c>
      <c r="L421" s="33" t="s">
        <v>27</v>
      </c>
      <c r="M421" s="33" t="s">
        <v>59</v>
      </c>
      <c r="N421" s="33" t="s">
        <v>58</v>
      </c>
      <c r="O421" s="29">
        <v>0.85833333333333328</v>
      </c>
      <c r="P421" s="29">
        <v>0.86250000000000004</v>
      </c>
      <c r="Q421" s="35">
        <f t="shared" ca="1" si="104"/>
        <v>4.1666666666667629E-3</v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>
        <v>31</v>
      </c>
      <c r="H422" s="134">
        <f>IFERROR(IF($G422="","",$G422*$S$432/$G$432/Cadastro!$E$33),"")</f>
        <v>0</v>
      </c>
      <c r="I422" s="135">
        <f>IFERROR(IF($D422="","",VLOOKUP($D422,Cadastro!$C$4:$G$7,5,FALSE)),"")</f>
        <v>0.6</v>
      </c>
      <c r="J422" s="136">
        <f t="shared" si="102"/>
        <v>0</v>
      </c>
      <c r="K422" s="28">
        <f t="shared" si="103"/>
        <v>130.20000000000002</v>
      </c>
      <c r="L422" s="26" t="s">
        <v>27</v>
      </c>
      <c r="M422" s="26" t="s">
        <v>64</v>
      </c>
      <c r="N422" s="26" t="s">
        <v>69</v>
      </c>
      <c r="O422" s="29">
        <v>0.93888888888888888</v>
      </c>
      <c r="P422" s="29">
        <v>0.94374999999999998</v>
      </c>
      <c r="Q422" s="30">
        <f t="shared" ca="1" si="104"/>
        <v>4.8611111111110938E-3</v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>
        <v>16</v>
      </c>
      <c r="H423" s="134">
        <f>IFERROR(IF($G423="","",$G423*$S$432/$G$432/Cadastro!$E$33),"")</f>
        <v>0</v>
      </c>
      <c r="I423" s="135">
        <f>IFERROR(IF($D423="","",VLOOKUP($D423,Cadastro!$C$4:$G$7,5,FALSE)),"")</f>
        <v>0.6</v>
      </c>
      <c r="J423" s="136">
        <f t="shared" si="102"/>
        <v>0</v>
      </c>
      <c r="K423" s="34">
        <f t="shared" si="103"/>
        <v>67.2</v>
      </c>
      <c r="L423" s="33" t="s">
        <v>26</v>
      </c>
      <c r="M423" s="33" t="s">
        <v>170</v>
      </c>
      <c r="N423" s="33" t="s">
        <v>34</v>
      </c>
      <c r="O423" s="29">
        <v>0.95486111111111116</v>
      </c>
      <c r="P423" s="29">
        <v>0.97916666666666663</v>
      </c>
      <c r="Q423" s="35">
        <f t="shared" ca="1" si="104"/>
        <v>2.4305555555555469E-2</v>
      </c>
      <c r="R423" s="27" t="s">
        <v>359</v>
      </c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>
        <v>14</v>
      </c>
      <c r="H424" s="134">
        <f>IFERROR(IF($G424="","",$G424*$S$432/$G$432/Cadastro!$E$33),"")</f>
        <v>0</v>
      </c>
      <c r="I424" s="135">
        <f>IFERROR(IF($D424="","",VLOOKUP($D424,Cadastro!$C$4:$G$7,5,FALSE)),"")</f>
        <v>0.6</v>
      </c>
      <c r="J424" s="136">
        <f t="shared" si="102"/>
        <v>0</v>
      </c>
      <c r="K424" s="28">
        <f t="shared" si="103"/>
        <v>58.800000000000004</v>
      </c>
      <c r="L424" s="26" t="s">
        <v>27</v>
      </c>
      <c r="M424" s="26" t="s">
        <v>64</v>
      </c>
      <c r="N424" s="26" t="s">
        <v>69</v>
      </c>
      <c r="O424" s="29">
        <v>1.5277777777777777E-2</v>
      </c>
      <c r="P424" s="29">
        <v>2.4305555555555556E-2</v>
      </c>
      <c r="Q424" s="30">
        <f t="shared" ca="1" si="104"/>
        <v>9.0277777777777787E-3</v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>
        <v>13</v>
      </c>
      <c r="H425" s="134">
        <f>IFERROR(IF($G425="","",$G425*$S$432/$G$432/Cadastro!$E$33),"")</f>
        <v>0</v>
      </c>
      <c r="I425" s="135">
        <f>IFERROR(IF($D425="","",VLOOKUP($D425,Cadastro!$C$4:$G$7,5,FALSE)),"")</f>
        <v>0.6</v>
      </c>
      <c r="J425" s="136">
        <f t="shared" si="102"/>
        <v>0</v>
      </c>
      <c r="K425" s="34">
        <f t="shared" si="103"/>
        <v>54.6</v>
      </c>
      <c r="L425" s="33" t="s">
        <v>27</v>
      </c>
      <c r="M425" s="33" t="s">
        <v>136</v>
      </c>
      <c r="N425" s="33" t="s">
        <v>121</v>
      </c>
      <c r="O425" s="29">
        <v>4.1666666666666664E-2</v>
      </c>
      <c r="P425" s="29">
        <v>4.9305555555555554E-2</v>
      </c>
      <c r="Q425" s="35">
        <f t="shared" ca="1" si="104"/>
        <v>7.6388888888888895E-3</v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>
        <v>20</v>
      </c>
      <c r="H426" s="134">
        <f>IFERROR(IF($G426="","",$G426*$S$432/$G$432/Cadastro!$E$33),"")</f>
        <v>0</v>
      </c>
      <c r="I426" s="135">
        <f>IFERROR(IF($D426="","",VLOOKUP($D426,Cadastro!$C$4:$G$7,5,FALSE)),"")</f>
        <v>0.6</v>
      </c>
      <c r="J426" s="136">
        <f t="shared" si="102"/>
        <v>0</v>
      </c>
      <c r="K426" s="28">
        <f t="shared" si="103"/>
        <v>84</v>
      </c>
      <c r="L426" s="26" t="s">
        <v>27</v>
      </c>
      <c r="M426" s="26" t="s">
        <v>59</v>
      </c>
      <c r="N426" s="26" t="s">
        <v>69</v>
      </c>
      <c r="O426" s="29">
        <v>0.17916666666666667</v>
      </c>
      <c r="P426" s="29">
        <v>0.19305555555555556</v>
      </c>
      <c r="Q426" s="30">
        <f t="shared" ca="1" si="104"/>
        <v>1.3888888888888895E-2</v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>
        <v>19</v>
      </c>
      <c r="H427" s="134">
        <f>IFERROR(IF($G427="","",$G427*$S$432/$G$432/Cadastro!$E$33),"")</f>
        <v>0</v>
      </c>
      <c r="I427" s="135">
        <f>IFERROR(IF($D427="","",VLOOKUP($D427,Cadastro!$C$4:$G$7,5,FALSE)),"")</f>
        <v>0.6</v>
      </c>
      <c r="J427" s="136">
        <f t="shared" si="102"/>
        <v>0</v>
      </c>
      <c r="K427" s="34">
        <f t="shared" si="103"/>
        <v>79.8</v>
      </c>
      <c r="L427" s="33" t="s">
        <v>26</v>
      </c>
      <c r="M427" s="33" t="s">
        <v>170</v>
      </c>
      <c r="N427" s="33" t="s">
        <v>34</v>
      </c>
      <c r="O427" s="29">
        <v>0.25138888888888888</v>
      </c>
      <c r="P427" s="29">
        <v>0.26250000000000001</v>
      </c>
      <c r="Q427" s="35">
        <f t="shared" ca="1" si="104"/>
        <v>1.1111111111111127E-2</v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>
        <v>13</v>
      </c>
      <c r="H428" s="134">
        <f>IFERROR(IF($G428="","",$G428*$S$432/$G$432/Cadastro!$E$33),"")</f>
        <v>0</v>
      </c>
      <c r="I428" s="135">
        <f>IFERROR(IF($D428="","",VLOOKUP($D428,Cadastro!$C$4:$G$7,5,FALSE)),"")</f>
        <v>0.6</v>
      </c>
      <c r="J428" s="136">
        <f t="shared" si="102"/>
        <v>0</v>
      </c>
      <c r="K428" s="28">
        <f t="shared" si="103"/>
        <v>54.6</v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>
        <v>15</v>
      </c>
      <c r="H429" s="134">
        <f>IFERROR(IF($G429="","",$G429*$S$432/$G$432/Cadastro!$E$33),"")</f>
        <v>0</v>
      </c>
      <c r="I429" s="135">
        <f>IFERROR(IF($D429="","",VLOOKUP($D429,Cadastro!$C$4:$G$7,5,FALSE)),"")</f>
        <v>0.6</v>
      </c>
      <c r="J429" s="136">
        <f t="shared" si="102"/>
        <v>0</v>
      </c>
      <c r="K429" s="34">
        <f t="shared" si="103"/>
        <v>63</v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>
        <v>16</v>
      </c>
      <c r="H430" s="134">
        <f>IFERROR(IF($G430="","",$G430*$S$432/$G$432/Cadastro!$E$33),"")</f>
        <v>0</v>
      </c>
      <c r="I430" s="135">
        <f>IFERROR(IF($D430="","",VLOOKUP($D430,Cadastro!$C$4:$G$7,5,FALSE)),"")</f>
        <v>0.6</v>
      </c>
      <c r="J430" s="136">
        <f t="shared" si="102"/>
        <v>0</v>
      </c>
      <c r="K430" s="28">
        <f t="shared" si="103"/>
        <v>67.2</v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>
        <v>4</v>
      </c>
      <c r="H431" s="137">
        <f>IFERROR(IF($G431="","",$G431*$S$432/$G$432/Cadastro!$E$33),"")</f>
        <v>0</v>
      </c>
      <c r="I431" s="138">
        <f>IFERROR(IF($D431="","",VLOOKUP($D431,Cadastro!$C$4:$G$7,5,FALSE)),"")</f>
        <v>0.6</v>
      </c>
      <c r="J431" s="139">
        <f t="shared" si="102"/>
        <v>0</v>
      </c>
      <c r="K431" s="34">
        <f t="shared" si="103"/>
        <v>16.8</v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188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789.6</v>
      </c>
      <c r="L432" s="37"/>
      <c r="M432" s="37"/>
      <c r="N432" s="37"/>
      <c r="O432" s="61"/>
      <c r="P432" s="61"/>
      <c r="Q432" s="38">
        <f ca="1">IFERROR(SUM(Q420:Q431),"")</f>
        <v>9.4444444444444497E-2</v>
      </c>
      <c r="R432" s="36" t="s">
        <v>245</v>
      </c>
      <c r="S432" s="39"/>
      <c r="T432" s="119">
        <f>IFERROR(J432,"")</f>
        <v>0</v>
      </c>
    </row>
    <row r="433" spans="1:21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330</v>
      </c>
      <c r="H433" s="112">
        <f>IFERROR(H419+H432,"")</f>
        <v>627.40999999999985</v>
      </c>
      <c r="I433" s="116"/>
      <c r="J433" s="125">
        <f>IFERROR(J419+J432,"")</f>
        <v>90.347039999999993</v>
      </c>
      <c r="K433" s="40">
        <f>K419+K432</f>
        <v>1386</v>
      </c>
      <c r="L433" s="41"/>
      <c r="M433" s="41"/>
      <c r="N433" s="41"/>
      <c r="O433" s="63"/>
      <c r="P433" s="63"/>
      <c r="Q433" s="42">
        <f ca="1">IFERROR(Q419+Q432,"")</f>
        <v>0.20972222222222231</v>
      </c>
      <c r="R433" s="40" t="s">
        <v>249</v>
      </c>
      <c r="S433" s="48">
        <f>IFERROR(S419+S432,"")</f>
        <v>627410</v>
      </c>
      <c r="T433" s="121">
        <f>IFERROR(J433,"")</f>
        <v>90.347039999999993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249</v>
      </c>
      <c r="S838" s="48">
        <f>IFERROR(S824+S837,"")</f>
        <v>0</v>
      </c>
      <c r="T838" s="121">
        <f>IFERROR(J838,"")</f>
        <v>0</v>
      </c>
    </row>
  </sheetData>
  <sheetProtection algorithmName="SHA-512" hashValue="bvw+RGYaUQuFq9Nz3KeyxCGoE7oj3kds1lTfP/UkR9+s3IwCE9QDw5zVVtvRw8iwUwoh3tcyVO+EuOGXUPyC4A==" saltValue="MBjXyA7K/JEGpLssZ3ih0g==" spinCount="100000" sheet="1" objects="1" scenarios="1"/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2026-08-17T10:46:09Z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