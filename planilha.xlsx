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8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0282" documentId="8_{AF585B22-221D-4780-BB9C-493D365A6A02}" xr6:coauthVersionLast="47" xr6:coauthVersionMax="47" xr10:uidLastSave="{15E0900A-37A1-4A10-BAC7-FF5A3BD6A02E}"/>
  <bookViews>
    <workbookView xWindow="-110" yWindow="-110" windowWidth="25820" windowHeight="15500" tabRatio="500" firstSheet="4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8" i="1" l="1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<sst xmlns="http://schemas.openxmlformats.org/spreadsheetml/2006/main" count="8946" uniqueCount="373">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</sst>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5" sqref="G25:G34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64593351</v>
      </c>
      <c r="D35" s="13">
        <f>IFERROR(SUM(D4:D34),"")</f>
        <v>25494250</v>
      </c>
      <c r="E35" s="13">
        <f>IFERROR(SUM(E4:E34),"")</f>
        <v>14327890</v>
      </c>
      <c r="F35" s="13">
        <f>IFERROR(SUM(F4:F34),"")</f>
        <v>28724440</v>
      </c>
      <c r="G35" s="13">
        <f>IFERROR(SUM(G4:G34),"")</f>
        <v>68546580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6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/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203</v>
      </c>
      <c r="L58" s="16"/>
      <c r="M58" s="16"/>
    </row>
    <row r="59" spans="1:13" ht="15" customHeight="1">
      <c r="H59" s="109"/>
      <c r="I59" s="17"/>
      <c r="J59" s="17"/>
      <c r="K59" s="17" t="s">
        <v>204</v>
      </c>
      <c r="L59" s="17"/>
      <c r="M59" s="17"/>
    </row>
    <row r="60" spans="1:13" ht="15" customHeight="1">
      <c r="H60" s="109"/>
      <c r="I60" s="16"/>
      <c r="J60" s="16"/>
      <c r="K60" s="86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205</v>
      </c>
      <c r="L61" s="17"/>
      <c r="M61" s="17"/>
    </row>
    <row r="62" spans="1:13" ht="15" customHeight="1">
      <c r="H62" s="109"/>
      <c r="I62" s="16"/>
      <c r="J62" s="16"/>
      <c r="K62" s="16" t="s">
        <v>206</v>
      </c>
      <c r="L62" s="16"/>
      <c r="M62" s="16"/>
    </row>
    <row r="63" spans="1:13" ht="15" customHeight="1">
      <c r="H63" s="109"/>
      <c r="I63" s="17"/>
      <c r="J63" s="17"/>
      <c r="K63" s="17" t="s">
        <v>207</v>
      </c>
      <c r="L63" s="17"/>
      <c r="M63" s="17"/>
    </row>
    <row r="64" spans="1:13" ht="15" customHeight="1">
      <c r="H64" s="109"/>
      <c r="I64" s="16"/>
      <c r="J64" s="16"/>
      <c r="K64" s="16" t="s">
        <v>208</v>
      </c>
      <c r="L64" s="16"/>
      <c r="M64" s="16"/>
    </row>
    <row r="65" spans="8:13" ht="15" customHeight="1">
      <c r="H65" s="109"/>
      <c r="I65" s="17"/>
      <c r="J65" s="17"/>
      <c r="K65" s="17" t="s">
        <v>209</v>
      </c>
      <c r="L65" s="17"/>
      <c r="M65" s="17"/>
    </row>
    <row r="66" spans="8:13" ht="15" customHeight="1">
      <c r="H66" s="109"/>
      <c r="I66" s="16"/>
      <c r="J66" s="16"/>
      <c r="K66" s="16" t="s">
        <v>210</v>
      </c>
      <c r="L66" s="16"/>
      <c r="M66" s="16"/>
    </row>
    <row r="67" spans="8:13" ht="15" customHeight="1">
      <c r="H67" s="109"/>
      <c r="I67" s="17"/>
      <c r="J67" s="17"/>
      <c r="K67" s="17" t="s">
        <v>211</v>
      </c>
      <c r="L67" s="17"/>
      <c r="M67" s="17"/>
    </row>
    <row r="68" spans="8:13" ht="15" customHeight="1">
      <c r="H68" s="109"/>
      <c r="I68" s="16"/>
      <c r="J68" s="16"/>
      <c r="K68" s="16" t="s">
        <v>212</v>
      </c>
      <c r="L68" s="16"/>
      <c r="M68" s="16"/>
    </row>
    <row r="69" spans="8:13" ht="15" customHeight="1">
      <c r="H69" s="109"/>
      <c r="I69" s="17"/>
      <c r="J69" s="17"/>
      <c r="K69" s="17" t="s">
        <v>213</v>
      </c>
      <c r="L69" s="17"/>
      <c r="M69" s="17"/>
    </row>
    <row r="70" spans="8:13" ht="15" customHeight="1">
      <c r="H70" s="109"/>
      <c r="I70" s="16"/>
      <c r="J70" s="16"/>
      <c r="K70" s="16" t="s">
        <v>214</v>
      </c>
      <c r="L70" s="16"/>
      <c r="M70" s="16"/>
    </row>
    <row r="71" spans="8:13" ht="15" customHeight="1">
      <c r="H71" s="109"/>
      <c r="I71" s="17"/>
      <c r="J71" s="17"/>
      <c r="K71" s="17" t="s">
        <v>215</v>
      </c>
      <c r="L71" s="17"/>
      <c r="M71" s="17"/>
    </row>
    <row r="72" spans="8:13" ht="15" customHeight="1">
      <c r="H72" s="109"/>
      <c r="I72" s="16"/>
      <c r="J72" s="16"/>
      <c r="K72" s="16" t="s">
        <v>216</v>
      </c>
      <c r="L72" s="16"/>
      <c r="M72" s="16"/>
    </row>
    <row r="73" spans="8:13" ht="15" customHeight="1">
      <c r="H73" s="109"/>
      <c r="I73" s="17"/>
      <c r="J73" s="17"/>
      <c r="K73" s="17"/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563" activePane="bottomLeft" state="frozen"/>
      <selection pane="bottomLeft" activeCell="D576" sqref="D576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85.855468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227</v>
      </c>
      <c r="E2" s="59" t="s">
        <v>228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229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228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228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228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228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228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228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228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228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228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228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228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2" t="s">
        <v>230</v>
      </c>
      <c r="B14" s="103"/>
      <c r="C14" s="103"/>
      <c r="D14" s="103"/>
      <c r="E14" s="104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231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228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228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228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228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228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228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228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228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228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228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228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2" t="s">
        <v>232</v>
      </c>
      <c r="B27" s="103"/>
      <c r="C27" s="103"/>
      <c r="D27" s="103"/>
      <c r="E27" s="104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231</v>
      </c>
      <c r="O27" s="39">
        <v>1183060</v>
      </c>
    </row>
    <row r="28" spans="1:15" ht="18" customHeight="1">
      <c r="A28" s="99" t="s">
        <v>233</v>
      </c>
      <c r="B28" s="100"/>
      <c r="C28" s="100"/>
      <c r="D28" s="100"/>
      <c r="E28" s="101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234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228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228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235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228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228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228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228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228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228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228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2" t="s">
        <v>230</v>
      </c>
      <c r="B41" s="103"/>
      <c r="C41" s="103"/>
      <c r="D41" s="103"/>
      <c r="E41" s="104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231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228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228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228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228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228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228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228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228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228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228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228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2" t="s">
        <v>232</v>
      </c>
      <c r="B54" s="103"/>
      <c r="C54" s="103"/>
      <c r="D54" s="103"/>
      <c r="E54" s="104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231</v>
      </c>
      <c r="O54" s="39">
        <v>959290</v>
      </c>
    </row>
    <row r="55" spans="1:15" ht="18" customHeight="1">
      <c r="A55" s="99" t="s">
        <v>233</v>
      </c>
      <c r="B55" s="100"/>
      <c r="C55" s="100"/>
      <c r="D55" s="100"/>
      <c r="E55" s="101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234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228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228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228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228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228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228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228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228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228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228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228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228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2" t="s">
        <v>230</v>
      </c>
      <c r="B68" s="103"/>
      <c r="C68" s="103"/>
      <c r="D68" s="103"/>
      <c r="E68" s="104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231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228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228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236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228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228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228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228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228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228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228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228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2" t="s">
        <v>232</v>
      </c>
      <c r="B81" s="103"/>
      <c r="C81" s="103"/>
      <c r="D81" s="103"/>
      <c r="E81" s="104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231</v>
      </c>
      <c r="O81" s="39">
        <v>878050</v>
      </c>
    </row>
    <row r="82" spans="1:15" ht="18" customHeight="1">
      <c r="A82" s="99" t="s">
        <v>233</v>
      </c>
      <c r="B82" s="100"/>
      <c r="C82" s="100"/>
      <c r="D82" s="100"/>
      <c r="E82" s="101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234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228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237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228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228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2" t="s">
        <v>230</v>
      </c>
      <c r="B95" s="103"/>
      <c r="C95" s="103"/>
      <c r="D95" s="103"/>
      <c r="E95" s="104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231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238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2" t="s">
        <v>232</v>
      </c>
      <c r="B108" s="103"/>
      <c r="C108" s="103"/>
      <c r="D108" s="103"/>
      <c r="E108" s="104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231</v>
      </c>
      <c r="O108" s="39">
        <v>1700000</v>
      </c>
    </row>
    <row r="109" spans="1:15" ht="18" customHeight="1">
      <c r="A109" s="99" t="s">
        <v>233</v>
      </c>
      <c r="B109" s="100"/>
      <c r="C109" s="100"/>
      <c r="D109" s="100"/>
      <c r="E109" s="101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234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228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228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228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228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228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228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228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228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228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228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228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228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2" t="s">
        <v>230</v>
      </c>
      <c r="B122" s="103"/>
      <c r="C122" s="103"/>
      <c r="D122" s="103"/>
      <c r="E122" s="104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231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2" t="s">
        <v>232</v>
      </c>
      <c r="B135" s="103"/>
      <c r="C135" s="103"/>
      <c r="D135" s="103"/>
      <c r="E135" s="104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231</v>
      </c>
      <c r="O135" s="39">
        <v>862330</v>
      </c>
    </row>
    <row r="136" spans="1:15" ht="18" customHeight="1">
      <c r="A136" s="99" t="s">
        <v>233</v>
      </c>
      <c r="B136" s="100"/>
      <c r="C136" s="100"/>
      <c r="D136" s="100"/>
      <c r="E136" s="101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234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2" t="s">
        <v>230</v>
      </c>
      <c r="B149" s="103"/>
      <c r="C149" s="103"/>
      <c r="D149" s="103"/>
      <c r="E149" s="104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231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228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228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228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228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228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228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228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228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228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228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2" t="s">
        <v>232</v>
      </c>
      <c r="B162" s="103"/>
      <c r="C162" s="103"/>
      <c r="D162" s="103"/>
      <c r="E162" s="104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231</v>
      </c>
      <c r="O162" s="44">
        <v>1546080</v>
      </c>
    </row>
    <row r="163" spans="1:15" ht="18" customHeight="1">
      <c r="A163" s="99" t="s">
        <v>233</v>
      </c>
      <c r="B163" s="100"/>
      <c r="C163" s="100"/>
      <c r="D163" s="100"/>
      <c r="E163" s="101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234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228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228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228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228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228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228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228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228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228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228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228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2" t="s">
        <v>230</v>
      </c>
      <c r="B176" s="103"/>
      <c r="C176" s="103"/>
      <c r="D176" s="103"/>
      <c r="E176" s="104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231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228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228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228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228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228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228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228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228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228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228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228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228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2" t="s">
        <v>232</v>
      </c>
      <c r="B189" s="103"/>
      <c r="C189" s="103"/>
      <c r="D189" s="103"/>
      <c r="E189" s="104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39">
        <v>2355810</v>
      </c>
    </row>
    <row r="190" spans="1:15" ht="18" customHeight="1">
      <c r="A190" s="99" t="s">
        <v>233</v>
      </c>
      <c r="B190" s="100"/>
      <c r="C190" s="100"/>
      <c r="D190" s="100"/>
      <c r="E190" s="101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234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228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228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228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228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228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228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228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228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228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228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228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228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2" t="s">
        <v>230</v>
      </c>
      <c r="B203" s="103"/>
      <c r="C203" s="103"/>
      <c r="D203" s="103"/>
      <c r="E203" s="104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231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228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228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228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228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228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228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228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228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228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228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228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2" t="s">
        <v>232</v>
      </c>
      <c r="B216" s="103"/>
      <c r="C216" s="103"/>
      <c r="D216" s="103"/>
      <c r="E216" s="104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231</v>
      </c>
      <c r="O216" s="45">
        <v>2013260</v>
      </c>
    </row>
    <row r="217" spans="1:15" ht="18" customHeight="1">
      <c r="A217" s="99" t="s">
        <v>233</v>
      </c>
      <c r="B217" s="100"/>
      <c r="C217" s="100"/>
      <c r="D217" s="100"/>
      <c r="E217" s="101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234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228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239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228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228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228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228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228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228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228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228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228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228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2" t="s">
        <v>230</v>
      </c>
      <c r="B230" s="103"/>
      <c r="C230" s="103"/>
      <c r="D230" s="103"/>
      <c r="E230" s="104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231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228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228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228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228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228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228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228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228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228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2" t="s">
        <v>232</v>
      </c>
      <c r="B243" s="103"/>
      <c r="C243" s="103"/>
      <c r="D243" s="103"/>
      <c r="E243" s="104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231</v>
      </c>
      <c r="O243" s="39">
        <v>1545480</v>
      </c>
    </row>
    <row r="244" spans="1:15" ht="18" customHeight="1">
      <c r="A244" s="99" t="s">
        <v>233</v>
      </c>
      <c r="B244" s="100"/>
      <c r="C244" s="100"/>
      <c r="D244" s="100"/>
      <c r="E244" s="101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234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228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228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228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228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228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228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228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228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228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228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228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228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2" t="s">
        <v>230</v>
      </c>
      <c r="B257" s="103"/>
      <c r="C257" s="103"/>
      <c r="D257" s="103"/>
      <c r="E257" s="104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231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228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228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228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228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228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228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228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228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228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228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228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2" t="s">
        <v>232</v>
      </c>
      <c r="B270" s="103"/>
      <c r="C270" s="103"/>
      <c r="D270" s="103"/>
      <c r="E270" s="104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39">
        <v>1182690</v>
      </c>
    </row>
    <row r="271" spans="1:15" ht="18" customHeight="1">
      <c r="A271" s="99" t="s">
        <v>233</v>
      </c>
      <c r="B271" s="100"/>
      <c r="C271" s="100"/>
      <c r="D271" s="100"/>
      <c r="E271" s="101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234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228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228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228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228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228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228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228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228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228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228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228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228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2" t="s">
        <v>230</v>
      </c>
      <c r="B284" s="103"/>
      <c r="C284" s="103"/>
      <c r="D284" s="103"/>
      <c r="E284" s="104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231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228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241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228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228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228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242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228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242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228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242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228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242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228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242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228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242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228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242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228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242</v>
      </c>
      <c r="O296" s="47"/>
    </row>
    <row r="297" spans="1:15" ht="15.75" customHeight="1">
      <c r="A297" s="102" t="s">
        <v>232</v>
      </c>
      <c r="B297" s="103"/>
      <c r="C297" s="103"/>
      <c r="D297" s="103"/>
      <c r="E297" s="104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231</v>
      </c>
      <c r="O297" s="39">
        <v>1843460</v>
      </c>
    </row>
    <row r="298" spans="1:15" ht="18" customHeight="1">
      <c r="A298" s="99" t="s">
        <v>233</v>
      </c>
      <c r="B298" s="100"/>
      <c r="C298" s="100"/>
      <c r="D298" s="100"/>
      <c r="E298" s="101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234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228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243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228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228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244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228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228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228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228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228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228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228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228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228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2" t="s">
        <v>230</v>
      </c>
      <c r="B311" s="103"/>
      <c r="C311" s="103"/>
      <c r="D311" s="103"/>
      <c r="E311" s="104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231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228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245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228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245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245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245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228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245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2" t="s">
        <v>232</v>
      </c>
      <c r="B324" s="103"/>
      <c r="C324" s="103"/>
      <c r="D324" s="103"/>
      <c r="E324" s="104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39">
        <v>1940000</v>
      </c>
    </row>
    <row r="325" spans="1:15" ht="18" customHeight="1">
      <c r="A325" s="99" t="s">
        <v>233</v>
      </c>
      <c r="B325" s="100"/>
      <c r="C325" s="100"/>
      <c r="D325" s="100"/>
      <c r="E325" s="101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234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228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246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228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228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228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228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228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228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228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228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228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228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228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2" t="s">
        <v>230</v>
      </c>
      <c r="B338" s="103"/>
      <c r="C338" s="103"/>
      <c r="D338" s="103"/>
      <c r="E338" s="104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231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228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228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228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228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228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228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228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228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228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228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228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228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2" t="s">
        <v>232</v>
      </c>
      <c r="B351" s="103"/>
      <c r="C351" s="103"/>
      <c r="D351" s="103"/>
      <c r="E351" s="104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231</v>
      </c>
      <c r="O351" s="39">
        <v>701874</v>
      </c>
    </row>
    <row r="352" spans="1:15" ht="18" customHeight="1">
      <c r="A352" s="99" t="s">
        <v>233</v>
      </c>
      <c r="B352" s="100"/>
      <c r="C352" s="100"/>
      <c r="D352" s="100"/>
      <c r="E352" s="101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234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228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247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228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228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228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228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228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228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228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228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228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228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228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2" t="s">
        <v>230</v>
      </c>
      <c r="B365" s="103"/>
      <c r="C365" s="103"/>
      <c r="D365" s="103"/>
      <c r="E365" s="104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231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228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228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228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228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228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228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228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228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228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228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228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228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2" t="s">
        <v>232</v>
      </c>
      <c r="B378" s="103"/>
      <c r="C378" s="103"/>
      <c r="D378" s="103"/>
      <c r="E378" s="104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231</v>
      </c>
      <c r="O378" s="39">
        <v>1088710</v>
      </c>
    </row>
    <row r="379" spans="1:15" ht="18" customHeight="1">
      <c r="A379" s="99" t="s">
        <v>233</v>
      </c>
      <c r="B379" s="100"/>
      <c r="C379" s="100"/>
      <c r="D379" s="100"/>
      <c r="E379" s="101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234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228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209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228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248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228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249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228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228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228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228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228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228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228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228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228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2" t="s">
        <v>230</v>
      </c>
      <c r="B392" s="103"/>
      <c r="C392" s="103"/>
      <c r="D392" s="103"/>
      <c r="E392" s="104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231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228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228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250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228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228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228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228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228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228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228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228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228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2" t="s">
        <v>232</v>
      </c>
      <c r="B405" s="103"/>
      <c r="C405" s="103"/>
      <c r="D405" s="103"/>
      <c r="E405" s="104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231</v>
      </c>
      <c r="O405" s="39">
        <v>1202270</v>
      </c>
    </row>
    <row r="406" spans="1:15" ht="18" customHeight="1">
      <c r="A406" s="99" t="s">
        <v>233</v>
      </c>
      <c r="B406" s="100"/>
      <c r="C406" s="100"/>
      <c r="D406" s="100"/>
      <c r="E406" s="101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234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228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251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228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228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252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228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228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228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228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228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253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228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253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228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228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2" t="s">
        <v>230</v>
      </c>
      <c r="B419" s="103"/>
      <c r="C419" s="103"/>
      <c r="D419" s="103"/>
      <c r="E419" s="104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231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228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228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228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228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228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228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228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228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228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228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228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228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2" t="s">
        <v>232</v>
      </c>
      <c r="B432" s="103"/>
      <c r="C432" s="103"/>
      <c r="D432" s="103"/>
      <c r="E432" s="104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39">
        <v>1801910</v>
      </c>
    </row>
    <row r="433" spans="1:15" ht="18" customHeight="1">
      <c r="A433" s="99" t="s">
        <v>233</v>
      </c>
      <c r="B433" s="100"/>
      <c r="C433" s="100"/>
      <c r="D433" s="100"/>
      <c r="E433" s="101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234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228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213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254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228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228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228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228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228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228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228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228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228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228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228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2" t="s">
        <v>230</v>
      </c>
      <c r="B446" s="103"/>
      <c r="C446" s="103"/>
      <c r="D446" s="103"/>
      <c r="E446" s="104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231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255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214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255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255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255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255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255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255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255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255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255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255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255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2" t="s">
        <v>232</v>
      </c>
      <c r="B459" s="103"/>
      <c r="C459" s="103"/>
      <c r="D459" s="103"/>
      <c r="E459" s="104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231</v>
      </c>
      <c r="O459" s="39">
        <v>2675000</v>
      </c>
    </row>
    <row r="460" spans="1:15" ht="18" customHeight="1">
      <c r="A460" s="99" t="s">
        <v>233</v>
      </c>
      <c r="B460" s="100"/>
      <c r="C460" s="100"/>
      <c r="D460" s="100"/>
      <c r="E460" s="101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234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2" t="s">
        <v>230</v>
      </c>
      <c r="B473" s="103"/>
      <c r="C473" s="103"/>
      <c r="D473" s="103"/>
      <c r="E473" s="104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2" t="s">
        <v>232</v>
      </c>
      <c r="B486" s="103"/>
      <c r="C486" s="103"/>
      <c r="D486" s="103"/>
      <c r="E486" s="104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39">
        <v>2310070</v>
      </c>
    </row>
    <row r="487" spans="1:15" ht="18" customHeight="1">
      <c r="A487" s="99" t="s">
        <v>233</v>
      </c>
      <c r="B487" s="100"/>
      <c r="C487" s="100"/>
      <c r="D487" s="100"/>
      <c r="E487" s="101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255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228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228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228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228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228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2" t="s">
        <v>230</v>
      </c>
      <c r="B500" s="103"/>
      <c r="C500" s="103"/>
      <c r="D500" s="103"/>
      <c r="E500" s="104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231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228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228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228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228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228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228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228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228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228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228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228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2" t="s">
        <v>232</v>
      </c>
      <c r="B513" s="103"/>
      <c r="C513" s="103"/>
      <c r="D513" s="103"/>
      <c r="E513" s="104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39">
        <v>1298429</v>
      </c>
    </row>
    <row r="514" spans="1:15" ht="18" customHeight="1">
      <c r="A514" s="99" t="s">
        <v>233</v>
      </c>
      <c r="B514" s="100"/>
      <c r="C514" s="100"/>
      <c r="D514" s="100"/>
      <c r="E514" s="101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234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228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256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228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228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228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228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228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228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228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228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228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228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228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2" t="s">
        <v>230</v>
      </c>
      <c r="B527" s="103"/>
      <c r="C527" s="103"/>
      <c r="D527" s="103"/>
      <c r="E527" s="104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231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228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228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257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228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228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228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228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228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228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228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228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228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228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2" t="s">
        <v>232</v>
      </c>
      <c r="B540" s="103"/>
      <c r="C540" s="103"/>
      <c r="D540" s="103"/>
      <c r="E540" s="104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231</v>
      </c>
      <c r="O540" s="39">
        <v>1240140</v>
      </c>
    </row>
    <row r="541" spans="1:15" ht="18" customHeight="1">
      <c r="A541" s="99" t="s">
        <v>233</v>
      </c>
      <c r="B541" s="100"/>
      <c r="C541" s="100"/>
      <c r="D541" s="100"/>
      <c r="E541" s="101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234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228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206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258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228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228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228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228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228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228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228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228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228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228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228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2" t="s">
        <v>230</v>
      </c>
      <c r="B554" s="103"/>
      <c r="C554" s="103"/>
      <c r="D554" s="103"/>
      <c r="E554" s="104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231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228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228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228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228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228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228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228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228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228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228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228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228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2" t="s">
        <v>232</v>
      </c>
      <c r="B567" s="103"/>
      <c r="C567" s="103"/>
      <c r="D567" s="103"/>
      <c r="E567" s="104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231</v>
      </c>
      <c r="O567" s="39">
        <v>1482110</v>
      </c>
    </row>
    <row r="568" spans="1:15" ht="18" customHeight="1">
      <c r="A568" s="99" t="s">
        <v>233</v>
      </c>
      <c r="B568" s="100"/>
      <c r="C568" s="100"/>
      <c r="D568" s="100"/>
      <c r="E568" s="101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234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255</v>
      </c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255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255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255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255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255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255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255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255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255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255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255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2" t="s">
        <v>230</v>
      </c>
      <c r="B581" s="103"/>
      <c r="C581" s="103"/>
      <c r="D581" s="103"/>
      <c r="E581" s="10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2" t="s">
        <v>232</v>
      </c>
      <c r="B594" s="103"/>
      <c r="C594" s="103"/>
      <c r="D594" s="103"/>
      <c r="E594" s="10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99" t="s">
        <v>233</v>
      </c>
      <c r="B595" s="100"/>
      <c r="C595" s="100"/>
      <c r="D595" s="100"/>
      <c r="E595" s="10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2" t="s">
        <v>230</v>
      </c>
      <c r="B608" s="103"/>
      <c r="C608" s="103"/>
      <c r="D608" s="103"/>
      <c r="E608" s="10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2" t="s">
        <v>232</v>
      </c>
      <c r="B621" s="103"/>
      <c r="C621" s="103"/>
      <c r="D621" s="103"/>
      <c r="E621" s="10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99" t="s">
        <v>233</v>
      </c>
      <c r="B622" s="100"/>
      <c r="C622" s="100"/>
      <c r="D622" s="100"/>
      <c r="E622" s="10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2" t="s">
        <v>230</v>
      </c>
      <c r="B635" s="103"/>
      <c r="C635" s="103"/>
      <c r="D635" s="103"/>
      <c r="E635" s="10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2" t="s">
        <v>232</v>
      </c>
      <c r="B648" s="103"/>
      <c r="C648" s="103"/>
      <c r="D648" s="103"/>
      <c r="E648" s="10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99" t="s">
        <v>233</v>
      </c>
      <c r="B649" s="100"/>
      <c r="C649" s="100"/>
      <c r="D649" s="100"/>
      <c r="E649" s="10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2" t="s">
        <v>230</v>
      </c>
      <c r="B662" s="103"/>
      <c r="C662" s="103"/>
      <c r="D662" s="103"/>
      <c r="E662" s="10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2" t="s">
        <v>232</v>
      </c>
      <c r="B675" s="103"/>
      <c r="C675" s="103"/>
      <c r="D675" s="103"/>
      <c r="E675" s="10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99" t="s">
        <v>233</v>
      </c>
      <c r="B676" s="100"/>
      <c r="C676" s="100"/>
      <c r="D676" s="100"/>
      <c r="E676" s="10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2" t="s">
        <v>230</v>
      </c>
      <c r="B689" s="103"/>
      <c r="C689" s="103"/>
      <c r="D689" s="103"/>
      <c r="E689" s="10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2" t="s">
        <v>232</v>
      </c>
      <c r="B702" s="103"/>
      <c r="C702" s="103"/>
      <c r="D702" s="103"/>
      <c r="E702" s="10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99" t="s">
        <v>233</v>
      </c>
      <c r="B703" s="100"/>
      <c r="C703" s="100"/>
      <c r="D703" s="100"/>
      <c r="E703" s="10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2" t="s">
        <v>230</v>
      </c>
      <c r="B716" s="103"/>
      <c r="C716" s="103"/>
      <c r="D716" s="103"/>
      <c r="E716" s="10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2" t="s">
        <v>232</v>
      </c>
      <c r="B729" s="103"/>
      <c r="C729" s="103"/>
      <c r="D729" s="103"/>
      <c r="E729" s="10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99" t="s">
        <v>233</v>
      </c>
      <c r="B730" s="100"/>
      <c r="C730" s="100"/>
      <c r="D730" s="100"/>
      <c r="E730" s="10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2" t="s">
        <v>230</v>
      </c>
      <c r="B743" s="103"/>
      <c r="C743" s="103"/>
      <c r="D743" s="103"/>
      <c r="E743" s="10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2" t="s">
        <v>232</v>
      </c>
      <c r="B756" s="103"/>
      <c r="C756" s="103"/>
      <c r="D756" s="103"/>
      <c r="E756" s="10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99" t="s">
        <v>233</v>
      </c>
      <c r="B757" s="100"/>
      <c r="C757" s="100"/>
      <c r="D757" s="100"/>
      <c r="E757" s="10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2" t="s">
        <v>230</v>
      </c>
      <c r="B770" s="103"/>
      <c r="C770" s="103"/>
      <c r="D770" s="103"/>
      <c r="E770" s="10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2" t="s">
        <v>232</v>
      </c>
      <c r="B783" s="103"/>
      <c r="C783" s="103"/>
      <c r="D783" s="103"/>
      <c r="E783" s="10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99" t="s">
        <v>233</v>
      </c>
      <c r="B784" s="100"/>
      <c r="C784" s="100"/>
      <c r="D784" s="100"/>
      <c r="E784" s="10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2" t="s">
        <v>230</v>
      </c>
      <c r="B797" s="103"/>
      <c r="C797" s="103"/>
      <c r="D797" s="103"/>
      <c r="E797" s="10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2" t="s">
        <v>232</v>
      </c>
      <c r="B810" s="103"/>
      <c r="C810" s="103"/>
      <c r="D810" s="103"/>
      <c r="E810" s="10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59" t="s">
        <v>228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564" activePane="bottomLeft" state="frozen"/>
      <selection pane="bottomLeft" activeCell="H570" sqref="H570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2" t="s">
        <v>230</v>
      </c>
      <c r="B14" s="103"/>
      <c r="C14" s="103"/>
      <c r="D14" s="103"/>
      <c r="E14" s="104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231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255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255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255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255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255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255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255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255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2" t="s">
        <v>232</v>
      </c>
      <c r="B27" s="103"/>
      <c r="C27" s="103"/>
      <c r="D27" s="103"/>
      <c r="E27" s="104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231</v>
      </c>
      <c r="O27" s="77">
        <v>393200</v>
      </c>
    </row>
    <row r="28" spans="1:15" ht="18" customHeight="1">
      <c r="A28" s="99" t="s">
        <v>233</v>
      </c>
      <c r="B28" s="100"/>
      <c r="C28" s="100"/>
      <c r="D28" s="100"/>
      <c r="E28" s="101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234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259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255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255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2" t="s">
        <v>230</v>
      </c>
      <c r="B41" s="103"/>
      <c r="C41" s="103"/>
      <c r="D41" s="103"/>
      <c r="E41" s="104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231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255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255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255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260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255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255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255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255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255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255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255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255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255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2" t="s">
        <v>232</v>
      </c>
      <c r="B54" s="103"/>
      <c r="C54" s="103"/>
      <c r="D54" s="103"/>
      <c r="E54" s="104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231</v>
      </c>
      <c r="O54" s="84">
        <v>276360</v>
      </c>
    </row>
    <row r="55" spans="1:15" ht="18" customHeight="1">
      <c r="A55" s="99" t="s">
        <v>233</v>
      </c>
      <c r="B55" s="100"/>
      <c r="C55" s="100"/>
      <c r="D55" s="100"/>
      <c r="E55" s="101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234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261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262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2" t="s">
        <v>230</v>
      </c>
      <c r="B68" s="103"/>
      <c r="C68" s="103"/>
      <c r="D68" s="103"/>
      <c r="E68" s="104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231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255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2" t="s">
        <v>232</v>
      </c>
      <c r="B81" s="103"/>
      <c r="C81" s="103"/>
      <c r="D81" s="103"/>
      <c r="E81" s="104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231</v>
      </c>
      <c r="O81" s="54">
        <v>787860</v>
      </c>
    </row>
    <row r="82" spans="1:15" ht="18" customHeight="1">
      <c r="A82" s="99" t="s">
        <v>233</v>
      </c>
      <c r="B82" s="100"/>
      <c r="C82" s="100"/>
      <c r="D82" s="100"/>
      <c r="E82" s="101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234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255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263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255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255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255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255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2" t="s">
        <v>230</v>
      </c>
      <c r="B95" s="103"/>
      <c r="C95" s="103"/>
      <c r="D95" s="103"/>
      <c r="E95" s="104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231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264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265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266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2" t="s">
        <v>232</v>
      </c>
      <c r="B108" s="103"/>
      <c r="C108" s="103"/>
      <c r="D108" s="103"/>
      <c r="E108" s="104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231</v>
      </c>
      <c r="O108" s="54">
        <v>1087080</v>
      </c>
    </row>
    <row r="109" spans="1:15" ht="18" customHeight="1">
      <c r="A109" s="99" t="s">
        <v>233</v>
      </c>
      <c r="B109" s="100"/>
      <c r="C109" s="100"/>
      <c r="D109" s="100"/>
      <c r="E109" s="101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234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267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2" t="s">
        <v>230</v>
      </c>
      <c r="B122" s="103"/>
      <c r="C122" s="103"/>
      <c r="D122" s="103"/>
      <c r="E122" s="104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231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268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246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269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2" t="s">
        <v>232</v>
      </c>
      <c r="B135" s="103"/>
      <c r="C135" s="103"/>
      <c r="D135" s="103"/>
      <c r="E135" s="104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231</v>
      </c>
      <c r="O135" s="54">
        <v>794480</v>
      </c>
    </row>
    <row r="136" spans="1:15" ht="18" customHeight="1">
      <c r="A136" s="99" t="s">
        <v>233</v>
      </c>
      <c r="B136" s="100"/>
      <c r="C136" s="100"/>
      <c r="D136" s="100"/>
      <c r="E136" s="101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234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271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2" t="s">
        <v>230</v>
      </c>
      <c r="B149" s="103"/>
      <c r="C149" s="103"/>
      <c r="D149" s="103"/>
      <c r="E149" s="104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231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273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204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2" t="s">
        <v>232</v>
      </c>
      <c r="B162" s="103"/>
      <c r="C162" s="103"/>
      <c r="D162" s="103"/>
      <c r="E162" s="104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231</v>
      </c>
      <c r="O162" s="54">
        <v>882280</v>
      </c>
    </row>
    <row r="163" spans="1:15" ht="18" customHeight="1">
      <c r="A163" s="99" t="s">
        <v>233</v>
      </c>
      <c r="B163" s="100"/>
      <c r="C163" s="100"/>
      <c r="D163" s="100"/>
      <c r="E163" s="101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234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255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255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255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255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255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255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255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255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255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2" t="s">
        <v>230</v>
      </c>
      <c r="B176" s="103"/>
      <c r="C176" s="103"/>
      <c r="D176" s="103"/>
      <c r="E176" s="104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231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2" t="s">
        <v>232</v>
      </c>
      <c r="B189" s="103"/>
      <c r="C189" s="103"/>
      <c r="D189" s="103"/>
      <c r="E189" s="104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231</v>
      </c>
      <c r="O189" s="77"/>
    </row>
    <row r="190" spans="1:15" ht="18" customHeight="1">
      <c r="A190" s="99" t="s">
        <v>233</v>
      </c>
      <c r="B190" s="100"/>
      <c r="C190" s="100"/>
      <c r="D190" s="100"/>
      <c r="E190" s="10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234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2" t="s">
        <v>230</v>
      </c>
      <c r="B203" s="103"/>
      <c r="C203" s="103"/>
      <c r="D203" s="103"/>
      <c r="E203" s="104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231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275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276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2" t="s">
        <v>232</v>
      </c>
      <c r="B216" s="103"/>
      <c r="C216" s="103"/>
      <c r="D216" s="103"/>
      <c r="E216" s="104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231</v>
      </c>
      <c r="O216" s="77">
        <v>648410</v>
      </c>
    </row>
    <row r="217" spans="1:15" ht="18" customHeight="1">
      <c r="A217" s="99" t="s">
        <v>233</v>
      </c>
      <c r="B217" s="100"/>
      <c r="C217" s="100"/>
      <c r="D217" s="100"/>
      <c r="E217" s="101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234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277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278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255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255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255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255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255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230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231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204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279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273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255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255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2" t="s">
        <v>232</v>
      </c>
      <c r="B243" s="103"/>
      <c r="C243" s="103"/>
      <c r="D243" s="103"/>
      <c r="E243" s="104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231</v>
      </c>
      <c r="O243" s="77">
        <v>849060</v>
      </c>
    </row>
    <row r="244" spans="1:15" ht="18" customHeight="1">
      <c r="A244" s="99" t="s">
        <v>233</v>
      </c>
      <c r="B244" s="100"/>
      <c r="C244" s="100"/>
      <c r="D244" s="100"/>
      <c r="E244" s="101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234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255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255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255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255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2" t="s">
        <v>230</v>
      </c>
      <c r="B257" s="103"/>
      <c r="C257" s="103"/>
      <c r="D257" s="103"/>
      <c r="E257" s="104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231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2" t="s">
        <v>232</v>
      </c>
      <c r="B270" s="103"/>
      <c r="C270" s="103"/>
      <c r="D270" s="103"/>
      <c r="E270" s="104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231</v>
      </c>
      <c r="O270" s="77">
        <v>625070</v>
      </c>
    </row>
    <row r="271" spans="1:15" ht="18" customHeight="1">
      <c r="A271" s="99" t="s">
        <v>233</v>
      </c>
      <c r="B271" s="100"/>
      <c r="C271" s="100"/>
      <c r="D271" s="100"/>
      <c r="E271" s="101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234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281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282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2" t="s">
        <v>230</v>
      </c>
      <c r="B284" s="103"/>
      <c r="C284" s="103"/>
      <c r="D284" s="103"/>
      <c r="E284" s="104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231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2" t="s">
        <v>232</v>
      </c>
      <c r="B297" s="103"/>
      <c r="C297" s="103"/>
      <c r="D297" s="103"/>
      <c r="E297" s="104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231</v>
      </c>
      <c r="O297" s="77">
        <v>761660</v>
      </c>
    </row>
    <row r="298" spans="1:15" ht="18" customHeight="1">
      <c r="A298" s="99" t="s">
        <v>233</v>
      </c>
      <c r="B298" s="100"/>
      <c r="C298" s="100"/>
      <c r="D298" s="100"/>
      <c r="E298" s="101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234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284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284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255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2" t="s">
        <v>230</v>
      </c>
      <c r="B311" s="103"/>
      <c r="C311" s="103"/>
      <c r="D311" s="103"/>
      <c r="E311" s="104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231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255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286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2" t="s">
        <v>232</v>
      </c>
      <c r="B324" s="103"/>
      <c r="C324" s="103"/>
      <c r="D324" s="103"/>
      <c r="E324" s="104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231</v>
      </c>
      <c r="O324" s="77">
        <v>524410</v>
      </c>
    </row>
    <row r="325" spans="1:15" ht="18" customHeight="1">
      <c r="A325" s="99" t="s">
        <v>233</v>
      </c>
      <c r="B325" s="100"/>
      <c r="C325" s="100"/>
      <c r="D325" s="100"/>
      <c r="E325" s="101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234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255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255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255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255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287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228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255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255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255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255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255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255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255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2" t="s">
        <v>230</v>
      </c>
      <c r="B338" s="103"/>
      <c r="C338" s="103"/>
      <c r="D338" s="103"/>
      <c r="E338" s="104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231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288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289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2" t="s">
        <v>232</v>
      </c>
      <c r="B351" s="103"/>
      <c r="C351" s="103"/>
      <c r="D351" s="103"/>
      <c r="E351" s="104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231</v>
      </c>
      <c r="O351" s="77">
        <v>598420</v>
      </c>
    </row>
    <row r="352" spans="1:15" ht="18" customHeight="1">
      <c r="A352" s="99" t="s">
        <v>233</v>
      </c>
      <c r="B352" s="100"/>
      <c r="C352" s="100"/>
      <c r="D352" s="100"/>
      <c r="E352" s="101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234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255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255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2" t="s">
        <v>230</v>
      </c>
      <c r="B365" s="103"/>
      <c r="C365" s="103"/>
      <c r="D365" s="103"/>
      <c r="E365" s="104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231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255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255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255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6.4358564814028796E-2</v>
      </c>
      <c r="N377" s="46"/>
      <c r="O377" s="47"/>
    </row>
    <row r="378" spans="1:15" ht="15.75" customHeight="1">
      <c r="A378" s="102" t="s">
        <v>232</v>
      </c>
      <c r="B378" s="103"/>
      <c r="C378" s="103"/>
      <c r="D378" s="103"/>
      <c r="E378" s="104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0.22199745370291768</v>
      </c>
      <c r="N378" s="36" t="s">
        <v>231</v>
      </c>
      <c r="O378" s="77">
        <v>511980</v>
      </c>
    </row>
    <row r="379" spans="1:15" ht="18" customHeight="1">
      <c r="A379" s="99" t="s">
        <v>233</v>
      </c>
      <c r="B379" s="100"/>
      <c r="C379" s="100"/>
      <c r="D379" s="100"/>
      <c r="E379" s="101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0.33171967592513985</v>
      </c>
      <c r="N379" s="40" t="s">
        <v>234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255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255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210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255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255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273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255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290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255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255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255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255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2" t="s">
        <v>230</v>
      </c>
      <c r="B392" s="103"/>
      <c r="C392" s="103"/>
      <c r="D392" s="103"/>
      <c r="E392" s="104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231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255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291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246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2" t="s">
        <v>232</v>
      </c>
      <c r="B405" s="103"/>
      <c r="C405" s="103"/>
      <c r="D405" s="103"/>
      <c r="E405" s="104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231</v>
      </c>
      <c r="O405" s="77">
        <v>552440</v>
      </c>
    </row>
    <row r="406" spans="1:15" ht="18" customHeight="1">
      <c r="A406" s="99" t="s">
        <v>233</v>
      </c>
      <c r="B406" s="100"/>
      <c r="C406" s="100"/>
      <c r="D406" s="100"/>
      <c r="E406" s="101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234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255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255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255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255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255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255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255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228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255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255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2" t="s">
        <v>230</v>
      </c>
      <c r="B419" s="103"/>
      <c r="C419" s="103"/>
      <c r="D419" s="103"/>
      <c r="E419" s="104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231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255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4.2830787038838025E-2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232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0.21366412037217139</v>
      </c>
      <c r="N432" s="36" t="s">
        <v>231</v>
      </c>
      <c r="O432" s="77">
        <v>484540</v>
      </c>
    </row>
    <row r="433" spans="1:15" ht="18" customHeight="1">
      <c r="A433" s="93" t="s">
        <v>233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0.35880300926106024</v>
      </c>
      <c r="N433" s="40" t="s">
        <v>234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293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294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2" t="s">
        <v>230</v>
      </c>
      <c r="B446" s="103"/>
      <c r="C446" s="103"/>
      <c r="D446" s="103"/>
      <c r="E446" s="104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231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295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228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2" t="s">
        <v>232</v>
      </c>
      <c r="B459" s="103"/>
      <c r="C459" s="103"/>
      <c r="D459" s="103"/>
      <c r="E459" s="104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231</v>
      </c>
      <c r="O459" s="77">
        <v>631190</v>
      </c>
    </row>
    <row r="460" spans="1:15" ht="18" customHeight="1">
      <c r="A460" s="99" t="s">
        <v>233</v>
      </c>
      <c r="B460" s="100"/>
      <c r="C460" s="100"/>
      <c r="D460" s="100"/>
      <c r="E460" s="101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234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296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297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298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228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228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228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228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2" t="s">
        <v>230</v>
      </c>
      <c r="B473" s="103"/>
      <c r="C473" s="103"/>
      <c r="D473" s="103"/>
      <c r="E473" s="104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231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299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2" t="s">
        <v>232</v>
      </c>
      <c r="B486" s="103"/>
      <c r="C486" s="103"/>
      <c r="D486" s="103"/>
      <c r="E486" s="104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231</v>
      </c>
      <c r="O486" s="77">
        <v>969510</v>
      </c>
    </row>
    <row r="487" spans="1:15" ht="18" customHeight="1">
      <c r="A487" s="99" t="s">
        <v>233</v>
      </c>
      <c r="B487" s="100"/>
      <c r="C487" s="100"/>
      <c r="D487" s="100"/>
      <c r="E487" s="101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234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228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228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300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228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255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255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255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255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255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255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2" t="s">
        <v>230</v>
      </c>
      <c r="B500" s="103"/>
      <c r="C500" s="103"/>
      <c r="D500" s="103"/>
      <c r="E500" s="104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231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232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231</v>
      </c>
      <c r="O513" s="77">
        <v>556040</v>
      </c>
    </row>
    <row r="514" spans="1:15" ht="18" customHeight="1">
      <c r="A514" s="93" t="s">
        <v>233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234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301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2" t="s">
        <v>230</v>
      </c>
      <c r="B527" s="103"/>
      <c r="C527" s="103"/>
      <c r="D527" s="103"/>
      <c r="E527" s="104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231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2" t="s">
        <v>232</v>
      </c>
      <c r="B540" s="103"/>
      <c r="C540" s="103"/>
      <c r="D540" s="103"/>
      <c r="E540" s="104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231</v>
      </c>
      <c r="O540" s="77">
        <v>548610</v>
      </c>
    </row>
    <row r="541" spans="1:15" ht="18" customHeight="1">
      <c r="A541" s="99" t="s">
        <v>233</v>
      </c>
      <c r="B541" s="100"/>
      <c r="C541" s="100"/>
      <c r="D541" s="100"/>
      <c r="E541" s="101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234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255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255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302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255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255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255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255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255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255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255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255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255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255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2" t="s">
        <v>230</v>
      </c>
      <c r="B554" s="103"/>
      <c r="C554" s="103"/>
      <c r="D554" s="103"/>
      <c r="E554" s="104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231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255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255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255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255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255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303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255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255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255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255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255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255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255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2" t="s">
        <v>232</v>
      </c>
      <c r="B567" s="103"/>
      <c r="C567" s="103"/>
      <c r="D567" s="103"/>
      <c r="E567" s="104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231</v>
      </c>
      <c r="O567" s="77">
        <v>722660</v>
      </c>
    </row>
    <row r="568" spans="1:15" ht="18" customHeight="1">
      <c r="A568" s="99" t="s">
        <v>233</v>
      </c>
      <c r="B568" s="100"/>
      <c r="C568" s="100"/>
      <c r="D568" s="100"/>
      <c r="E568" s="101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234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255</v>
      </c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255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255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255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255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255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255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255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255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255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255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255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2" t="s">
        <v>230</v>
      </c>
      <c r="B581" s="103"/>
      <c r="C581" s="103"/>
      <c r="D581" s="103"/>
      <c r="E581" s="10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77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2" t="s">
        <v>232</v>
      </c>
      <c r="B594" s="103"/>
      <c r="C594" s="103"/>
      <c r="D594" s="103"/>
      <c r="E594" s="10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77"/>
    </row>
    <row r="595" spans="1:15" ht="18" customHeight="1">
      <c r="A595" s="99" t="s">
        <v>233</v>
      </c>
      <c r="B595" s="100"/>
      <c r="C595" s="100"/>
      <c r="D595" s="100"/>
      <c r="E595" s="10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83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2" t="s">
        <v>230</v>
      </c>
      <c r="B608" s="103"/>
      <c r="C608" s="103"/>
      <c r="D608" s="103"/>
      <c r="E608" s="10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77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2" t="s">
        <v>232</v>
      </c>
      <c r="B621" s="103"/>
      <c r="C621" s="103"/>
      <c r="D621" s="103"/>
      <c r="E621" s="10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77"/>
    </row>
    <row r="622" spans="1:15" ht="18" customHeight="1">
      <c r="A622" s="99" t="s">
        <v>233</v>
      </c>
      <c r="B622" s="100"/>
      <c r="C622" s="100"/>
      <c r="D622" s="100"/>
      <c r="E622" s="10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83">
        <f>O608+O621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2" t="s">
        <v>230</v>
      </c>
      <c r="B635" s="103"/>
      <c r="C635" s="103"/>
      <c r="D635" s="103"/>
      <c r="E635" s="10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77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2" t="s">
        <v>232</v>
      </c>
      <c r="B648" s="103"/>
      <c r="C648" s="103"/>
      <c r="D648" s="103"/>
      <c r="E648" s="10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77"/>
    </row>
    <row r="649" spans="1:15" ht="18" customHeight="1">
      <c r="A649" s="99" t="s">
        <v>233</v>
      </c>
      <c r="B649" s="100"/>
      <c r="C649" s="100"/>
      <c r="D649" s="100"/>
      <c r="E649" s="10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83">
        <f>O635+O648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2" t="s">
        <v>230</v>
      </c>
      <c r="B662" s="103"/>
      <c r="C662" s="103"/>
      <c r="D662" s="103"/>
      <c r="E662" s="10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77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2" t="s">
        <v>232</v>
      </c>
      <c r="B675" s="103"/>
      <c r="C675" s="103"/>
      <c r="D675" s="103"/>
      <c r="E675" s="10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77"/>
    </row>
    <row r="676" spans="1:15" ht="18" customHeight="1">
      <c r="A676" s="99" t="s">
        <v>233</v>
      </c>
      <c r="B676" s="100"/>
      <c r="C676" s="100"/>
      <c r="D676" s="100"/>
      <c r="E676" s="10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83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2" t="s">
        <v>230</v>
      </c>
      <c r="B689" s="103"/>
      <c r="C689" s="103"/>
      <c r="D689" s="103"/>
      <c r="E689" s="10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2" t="s">
        <v>232</v>
      </c>
      <c r="B702" s="103"/>
      <c r="C702" s="103"/>
      <c r="D702" s="103"/>
      <c r="E702" s="10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77"/>
    </row>
    <row r="703" spans="1:15" ht="18" customHeight="1">
      <c r="A703" s="99" t="s">
        <v>233</v>
      </c>
      <c r="B703" s="100"/>
      <c r="C703" s="100"/>
      <c r="D703" s="100"/>
      <c r="E703" s="10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2" t="s">
        <v>230</v>
      </c>
      <c r="B716" s="103"/>
      <c r="C716" s="103"/>
      <c r="D716" s="103"/>
      <c r="E716" s="10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2" t="s">
        <v>232</v>
      </c>
      <c r="B729" s="103"/>
      <c r="C729" s="103"/>
      <c r="D729" s="103"/>
      <c r="E729" s="10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77"/>
    </row>
    <row r="730" spans="1:15" ht="18" customHeight="1">
      <c r="A730" s="99" t="s">
        <v>233</v>
      </c>
      <c r="B730" s="100"/>
      <c r="C730" s="100"/>
      <c r="D730" s="100"/>
      <c r="E730" s="10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2" t="s">
        <v>230</v>
      </c>
      <c r="B743" s="103"/>
      <c r="C743" s="103"/>
      <c r="D743" s="103"/>
      <c r="E743" s="10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2" t="s">
        <v>232</v>
      </c>
      <c r="B756" s="103"/>
      <c r="C756" s="103"/>
      <c r="D756" s="103"/>
      <c r="E756" s="10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99" t="s">
        <v>233</v>
      </c>
      <c r="B757" s="100"/>
      <c r="C757" s="100"/>
      <c r="D757" s="100"/>
      <c r="E757" s="10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2" t="s">
        <v>230</v>
      </c>
      <c r="B770" s="103"/>
      <c r="C770" s="103"/>
      <c r="D770" s="103"/>
      <c r="E770" s="10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2" t="s">
        <v>232</v>
      </c>
      <c r="B783" s="103"/>
      <c r="C783" s="103"/>
      <c r="D783" s="103"/>
      <c r="E783" s="10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99" t="s">
        <v>233</v>
      </c>
      <c r="B784" s="100"/>
      <c r="C784" s="100"/>
      <c r="D784" s="100"/>
      <c r="E784" s="10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2" t="s">
        <v>230</v>
      </c>
      <c r="B797" s="103"/>
      <c r="C797" s="103"/>
      <c r="D797" s="103"/>
      <c r="E797" s="10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2" t="s">
        <v>232</v>
      </c>
      <c r="B810" s="103"/>
      <c r="C810" s="103"/>
      <c r="D810" s="103"/>
      <c r="E810" s="10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99" t="s">
        <v>233</v>
      </c>
      <c r="B811" s="100"/>
      <c r="C811" s="100"/>
      <c r="D811" s="100"/>
      <c r="E811" s="10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82">
        <f>IFERROR(O797+O810,"")</f>
        <v>0</v>
      </c>
    </row>
  </sheetData>
  <mergeCells count="85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563" zoomScale="50" zoomScaleNormal="50" workbookViewId="0">
      <selection activeCell="E580" sqref="E580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304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305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2" t="s">
        <v>230</v>
      </c>
      <c r="B14" s="103"/>
      <c r="C14" s="103"/>
      <c r="D14" s="103"/>
      <c r="E14" s="104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231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255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255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255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255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255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255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255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255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2" t="s">
        <v>232</v>
      </c>
      <c r="B27" s="103"/>
      <c r="C27" s="103"/>
      <c r="D27" s="103"/>
      <c r="E27" s="104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231</v>
      </c>
      <c r="O27" s="39">
        <v>308500</v>
      </c>
    </row>
    <row r="28" spans="1:15" ht="18" customHeight="1">
      <c r="A28" s="99" t="s">
        <v>233</v>
      </c>
      <c r="B28" s="100"/>
      <c r="C28" s="100"/>
      <c r="D28" s="100"/>
      <c r="E28" s="101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234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306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255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255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255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2" t="s">
        <v>230</v>
      </c>
      <c r="B41" s="103"/>
      <c r="C41" s="103"/>
      <c r="D41" s="103"/>
      <c r="E41" s="104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231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255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255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255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255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255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255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255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255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255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255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2" t="s">
        <v>232</v>
      </c>
      <c r="B54" s="103"/>
      <c r="C54" s="103"/>
      <c r="D54" s="103"/>
      <c r="E54" s="104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231</v>
      </c>
      <c r="O54" s="39">
        <v>124290</v>
      </c>
    </row>
    <row r="55" spans="1:15" ht="18" customHeight="1">
      <c r="A55" s="99" t="s">
        <v>233</v>
      </c>
      <c r="B55" s="100"/>
      <c r="C55" s="100"/>
      <c r="D55" s="100"/>
      <c r="E55" s="101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234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255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255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255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255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307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255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255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255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255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255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255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255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255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2" t="s">
        <v>230</v>
      </c>
      <c r="B68" s="103"/>
      <c r="C68" s="103"/>
      <c r="D68" s="103"/>
      <c r="E68" s="104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231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295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2" t="s">
        <v>232</v>
      </c>
      <c r="B81" s="103"/>
      <c r="C81" s="103"/>
      <c r="D81" s="103"/>
      <c r="E81" s="104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231</v>
      </c>
      <c r="O81" s="39">
        <v>396340</v>
      </c>
    </row>
    <row r="82" spans="1:15" ht="18" customHeight="1">
      <c r="A82" s="99" t="s">
        <v>233</v>
      </c>
      <c r="B82" s="100"/>
      <c r="C82" s="100"/>
      <c r="D82" s="100"/>
      <c r="E82" s="101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234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308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2" t="s">
        <v>230</v>
      </c>
      <c r="B95" s="103"/>
      <c r="C95" s="103"/>
      <c r="D95" s="103"/>
      <c r="E95" s="104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231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2" t="s">
        <v>232</v>
      </c>
      <c r="B108" s="103"/>
      <c r="C108" s="103"/>
      <c r="D108" s="103"/>
      <c r="E108" s="104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231</v>
      </c>
      <c r="O108" s="39">
        <v>41230</v>
      </c>
    </row>
    <row r="109" spans="1:15" ht="18" customHeight="1">
      <c r="A109" s="99" t="s">
        <v>233</v>
      </c>
      <c r="B109" s="100"/>
      <c r="C109" s="100"/>
      <c r="D109" s="100"/>
      <c r="E109" s="101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234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2" t="s">
        <v>230</v>
      </c>
      <c r="B122" s="103"/>
      <c r="C122" s="103"/>
      <c r="D122" s="103"/>
      <c r="E122" s="104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231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2" t="s">
        <v>232</v>
      </c>
      <c r="B135" s="103"/>
      <c r="C135" s="103"/>
      <c r="D135" s="103"/>
      <c r="E135" s="104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231</v>
      </c>
      <c r="O135" s="39">
        <v>381250</v>
      </c>
    </row>
    <row r="136" spans="1:15" ht="18" customHeight="1">
      <c r="A136" s="99" t="s">
        <v>233</v>
      </c>
      <c r="B136" s="100"/>
      <c r="C136" s="100"/>
      <c r="D136" s="100"/>
      <c r="E136" s="101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234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309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272</v>
      </c>
      <c r="K141" s="29">
        <v>0.71597222222222223</v>
      </c>
      <c r="L141" s="29" t="s">
        <v>310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228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228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2" t="s">
        <v>230</v>
      </c>
      <c r="B149" s="103"/>
      <c r="C149" s="103"/>
      <c r="D149" s="103"/>
      <c r="E149" s="104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231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311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2" t="s">
        <v>232</v>
      </c>
      <c r="B162" s="103"/>
      <c r="C162" s="103"/>
      <c r="D162" s="103"/>
      <c r="E162" s="104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231</v>
      </c>
      <c r="O162" s="39">
        <v>337120</v>
      </c>
    </row>
    <row r="163" spans="1:15" ht="18" customHeight="1">
      <c r="A163" s="99" t="s">
        <v>233</v>
      </c>
      <c r="B163" s="100"/>
      <c r="C163" s="100"/>
      <c r="D163" s="100"/>
      <c r="E163" s="101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234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228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255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255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312</v>
      </c>
      <c r="N166" s="27" t="s">
        <v>313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255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255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255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255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255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255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255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255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2" t="s">
        <v>230</v>
      </c>
      <c r="B176" s="103"/>
      <c r="C176" s="103"/>
      <c r="D176" s="103"/>
      <c r="E176" s="104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231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255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255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255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255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255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255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255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255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255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255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255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255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2" t="s">
        <v>232</v>
      </c>
      <c r="B189" s="103"/>
      <c r="C189" s="103"/>
      <c r="D189" s="103"/>
      <c r="E189" s="104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231</v>
      </c>
      <c r="O189" s="39">
        <v>747210</v>
      </c>
    </row>
    <row r="190" spans="1:15" ht="18" customHeight="1">
      <c r="A190" s="99" t="s">
        <v>233</v>
      </c>
      <c r="B190" s="100"/>
      <c r="C190" s="100"/>
      <c r="D190" s="100"/>
      <c r="E190" s="101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234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255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255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314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255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255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255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255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255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255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255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255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2" t="s">
        <v>230</v>
      </c>
      <c r="B203" s="103"/>
      <c r="C203" s="103"/>
      <c r="D203" s="103"/>
      <c r="E203" s="104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231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2" t="s">
        <v>232</v>
      </c>
      <c r="B216" s="103"/>
      <c r="C216" s="103"/>
      <c r="D216" s="103"/>
      <c r="E216" s="104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231</v>
      </c>
      <c r="O216" s="39">
        <v>468430</v>
      </c>
    </row>
    <row r="217" spans="1:15" ht="18" customHeight="1">
      <c r="A217" s="99" t="s">
        <v>233</v>
      </c>
      <c r="B217" s="100"/>
      <c r="C217" s="100"/>
      <c r="D217" s="100"/>
      <c r="E217" s="101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234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255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255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255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255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255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2" t="s">
        <v>230</v>
      </c>
      <c r="B230" s="103"/>
      <c r="C230" s="103"/>
      <c r="D230" s="103"/>
      <c r="E230" s="104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231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255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2" t="s">
        <v>232</v>
      </c>
      <c r="B243" s="103"/>
      <c r="C243" s="103"/>
      <c r="D243" s="103"/>
      <c r="E243" s="104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231</v>
      </c>
      <c r="O243" s="39">
        <v>575930</v>
      </c>
    </row>
    <row r="244" spans="1:15" ht="18" customHeight="1">
      <c r="A244" s="99" t="s">
        <v>233</v>
      </c>
      <c r="B244" s="100"/>
      <c r="C244" s="100"/>
      <c r="D244" s="100"/>
      <c r="E244" s="101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234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206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255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255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255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2" t="s">
        <v>230</v>
      </c>
      <c r="B257" s="103"/>
      <c r="C257" s="103"/>
      <c r="D257" s="103"/>
      <c r="E257" s="104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231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255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315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316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2" t="s">
        <v>232</v>
      </c>
      <c r="B270" s="103"/>
      <c r="C270" s="103"/>
      <c r="D270" s="103"/>
      <c r="E270" s="104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231</v>
      </c>
      <c r="O270" s="39">
        <v>483510</v>
      </c>
    </row>
    <row r="271" spans="1:15" ht="18" customHeight="1">
      <c r="A271" s="99" t="s">
        <v>233</v>
      </c>
      <c r="B271" s="100"/>
      <c r="C271" s="100"/>
      <c r="D271" s="100"/>
      <c r="E271" s="101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234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2" t="s">
        <v>230</v>
      </c>
      <c r="B284" s="103"/>
      <c r="C284" s="103"/>
      <c r="D284" s="103"/>
      <c r="E284" s="104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231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317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255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318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2" t="s">
        <v>232</v>
      </c>
      <c r="B297" s="103"/>
      <c r="C297" s="103"/>
      <c r="D297" s="103"/>
      <c r="E297" s="104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231</v>
      </c>
      <c r="O297" s="39">
        <v>487980</v>
      </c>
    </row>
    <row r="298" spans="1:15" ht="18" customHeight="1">
      <c r="A298" s="99" t="s">
        <v>233</v>
      </c>
      <c r="B298" s="100"/>
      <c r="C298" s="100"/>
      <c r="D298" s="100"/>
      <c r="E298" s="101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234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319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228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2" t="s">
        <v>230</v>
      </c>
      <c r="B311" s="103"/>
      <c r="C311" s="103"/>
      <c r="D311" s="103"/>
      <c r="E311" s="104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231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255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320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321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2" t="s">
        <v>232</v>
      </c>
      <c r="B324" s="103"/>
      <c r="C324" s="103"/>
      <c r="D324" s="103"/>
      <c r="E324" s="104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231</v>
      </c>
      <c r="O324" s="39">
        <v>609460</v>
      </c>
    </row>
    <row r="325" spans="1:15" ht="18" customHeight="1">
      <c r="A325" s="99" t="s">
        <v>233</v>
      </c>
      <c r="B325" s="100"/>
      <c r="C325" s="100"/>
      <c r="D325" s="100"/>
      <c r="E325" s="101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234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255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322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255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255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255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228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255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309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255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255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255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255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255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255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2" t="s">
        <v>230</v>
      </c>
      <c r="B338" s="103"/>
      <c r="C338" s="103"/>
      <c r="D338" s="103"/>
      <c r="E338" s="104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231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2" t="s">
        <v>232</v>
      </c>
      <c r="B351" s="103"/>
      <c r="C351" s="103"/>
      <c r="D351" s="103"/>
      <c r="E351" s="104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231</v>
      </c>
      <c r="O351" s="39">
        <v>437940</v>
      </c>
    </row>
    <row r="352" spans="1:15" ht="18" customHeight="1">
      <c r="A352" s="99" t="s">
        <v>233</v>
      </c>
      <c r="B352" s="100"/>
      <c r="C352" s="100"/>
      <c r="D352" s="100"/>
      <c r="E352" s="101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234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255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255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2" t="s">
        <v>230</v>
      </c>
      <c r="B365" s="103"/>
      <c r="C365" s="103"/>
      <c r="D365" s="103"/>
      <c r="E365" s="104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231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255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255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255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255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255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255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255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2" t="s">
        <v>232</v>
      </c>
      <c r="B378" s="103"/>
      <c r="C378" s="103"/>
      <c r="D378" s="103"/>
      <c r="E378" s="104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231</v>
      </c>
      <c r="O378" s="39">
        <v>473310</v>
      </c>
    </row>
    <row r="379" spans="1:15" ht="18" customHeight="1">
      <c r="A379" s="99" t="s">
        <v>233</v>
      </c>
      <c r="B379" s="100"/>
      <c r="C379" s="100"/>
      <c r="D379" s="100"/>
      <c r="E379" s="101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234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255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255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255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255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255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255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255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255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255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2" t="s">
        <v>230</v>
      </c>
      <c r="B392" s="103"/>
      <c r="C392" s="103"/>
      <c r="D392" s="103"/>
      <c r="E392" s="104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231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2" t="s">
        <v>232</v>
      </c>
      <c r="B405" s="103"/>
      <c r="C405" s="103"/>
      <c r="D405" s="103"/>
      <c r="E405" s="104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231</v>
      </c>
      <c r="O405" s="39">
        <v>507450</v>
      </c>
    </row>
    <row r="406" spans="1:15" ht="18" customHeight="1">
      <c r="A406" s="99" t="s">
        <v>233</v>
      </c>
      <c r="B406" s="100"/>
      <c r="C406" s="100"/>
      <c r="D406" s="100"/>
      <c r="E406" s="101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234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255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255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255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255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255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255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255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228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228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255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255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2" t="s">
        <v>230</v>
      </c>
      <c r="B419" s="103"/>
      <c r="C419" s="103"/>
      <c r="D419" s="103"/>
      <c r="E419" s="104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231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228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2" t="s">
        <v>232</v>
      </c>
      <c r="B432" s="103"/>
      <c r="C432" s="103"/>
      <c r="D432" s="103"/>
      <c r="E432" s="104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231</v>
      </c>
      <c r="O432" s="39">
        <v>229150</v>
      </c>
    </row>
    <row r="433" spans="1:15" ht="18" customHeight="1">
      <c r="A433" s="99" t="s">
        <v>233</v>
      </c>
      <c r="B433" s="100"/>
      <c r="C433" s="100"/>
      <c r="D433" s="100"/>
      <c r="E433" s="101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234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323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2" t="s">
        <v>230</v>
      </c>
      <c r="B446" s="103"/>
      <c r="C446" s="103"/>
      <c r="D446" s="103"/>
      <c r="E446" s="104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231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228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2" t="s">
        <v>232</v>
      </c>
      <c r="B459" s="103"/>
      <c r="C459" s="103"/>
      <c r="D459" s="103"/>
      <c r="E459" s="104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231</v>
      </c>
      <c r="O459" s="39">
        <v>409980</v>
      </c>
    </row>
    <row r="460" spans="1:15" ht="18" customHeight="1">
      <c r="A460" s="99" t="s">
        <v>233</v>
      </c>
      <c r="B460" s="100"/>
      <c r="C460" s="100"/>
      <c r="D460" s="100"/>
      <c r="E460" s="101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234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228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228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228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228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2" t="s">
        <v>230</v>
      </c>
      <c r="B473" s="103"/>
      <c r="C473" s="103"/>
      <c r="D473" s="103"/>
      <c r="E473" s="104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231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2" t="s">
        <v>232</v>
      </c>
      <c r="B486" s="103"/>
      <c r="C486" s="103"/>
      <c r="D486" s="103"/>
      <c r="E486" s="104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231</v>
      </c>
      <c r="O486" s="39">
        <v>341550</v>
      </c>
    </row>
    <row r="487" spans="1:15" ht="18" customHeight="1">
      <c r="A487" s="99" t="s">
        <v>233</v>
      </c>
      <c r="B487" s="100"/>
      <c r="C487" s="100"/>
      <c r="D487" s="100"/>
      <c r="E487" s="101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234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324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228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228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228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228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255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255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255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255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255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2" t="s">
        <v>230</v>
      </c>
      <c r="B500" s="103"/>
      <c r="C500" s="103"/>
      <c r="D500" s="103"/>
      <c r="E500" s="104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231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2" t="s">
        <v>232</v>
      </c>
      <c r="B513" s="103"/>
      <c r="C513" s="103"/>
      <c r="D513" s="103"/>
      <c r="E513" s="104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231</v>
      </c>
      <c r="O513" s="39">
        <v>276610</v>
      </c>
    </row>
    <row r="514" spans="1:15" ht="18" customHeight="1">
      <c r="A514" s="99" t="s">
        <v>233</v>
      </c>
      <c r="B514" s="100"/>
      <c r="C514" s="100"/>
      <c r="D514" s="100"/>
      <c r="E514" s="101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234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2" t="s">
        <v>230</v>
      </c>
      <c r="B527" s="103"/>
      <c r="C527" s="103"/>
      <c r="D527" s="103"/>
      <c r="E527" s="104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231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325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326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327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2" t="s">
        <v>232</v>
      </c>
      <c r="B540" s="103"/>
      <c r="C540" s="103"/>
      <c r="D540" s="103"/>
      <c r="E540" s="104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231</v>
      </c>
      <c r="O540" s="39">
        <v>194990</v>
      </c>
    </row>
    <row r="541" spans="1:15" ht="18" customHeight="1">
      <c r="A541" s="99" t="s">
        <v>233</v>
      </c>
      <c r="B541" s="100"/>
      <c r="C541" s="100"/>
      <c r="D541" s="100"/>
      <c r="E541" s="101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234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255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328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255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255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255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255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255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255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255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255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255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255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255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2" t="s">
        <v>230</v>
      </c>
      <c r="B554" s="103"/>
      <c r="C554" s="103"/>
      <c r="D554" s="103"/>
      <c r="E554" s="104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231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255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255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255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180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329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255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255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255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255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255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255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255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255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255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2" t="s">
        <v>232</v>
      </c>
      <c r="B567" s="103"/>
      <c r="C567" s="103"/>
      <c r="D567" s="103"/>
      <c r="E567" s="104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231</v>
      </c>
      <c r="O567" s="39">
        <v>315860</v>
      </c>
    </row>
    <row r="568" spans="1:15" ht="18" customHeight="1">
      <c r="A568" s="99" t="s">
        <v>233</v>
      </c>
      <c r="B568" s="100"/>
      <c r="C568" s="100"/>
      <c r="D568" s="100"/>
      <c r="E568" s="101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234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255</v>
      </c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255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255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255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255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255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255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255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255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255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255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255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2" t="s">
        <v>230</v>
      </c>
      <c r="B581" s="103"/>
      <c r="C581" s="103"/>
      <c r="D581" s="103"/>
      <c r="E581" s="10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2" t="s">
        <v>232</v>
      </c>
      <c r="B594" s="103"/>
      <c r="C594" s="103"/>
      <c r="D594" s="103"/>
      <c r="E594" s="10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99" t="s">
        <v>233</v>
      </c>
      <c r="B595" s="100"/>
      <c r="C595" s="100"/>
      <c r="D595" s="100"/>
      <c r="E595" s="10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2" t="s">
        <v>230</v>
      </c>
      <c r="B608" s="103"/>
      <c r="C608" s="103"/>
      <c r="D608" s="103"/>
      <c r="E608" s="10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2" t="s">
        <v>232</v>
      </c>
      <c r="B621" s="103"/>
      <c r="C621" s="103"/>
      <c r="D621" s="103"/>
      <c r="E621" s="10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99" t="s">
        <v>233</v>
      </c>
      <c r="B622" s="100"/>
      <c r="C622" s="100"/>
      <c r="D622" s="100"/>
      <c r="E622" s="10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2" t="s">
        <v>230</v>
      </c>
      <c r="B635" s="103"/>
      <c r="C635" s="103"/>
      <c r="D635" s="103"/>
      <c r="E635" s="10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2" t="s">
        <v>232</v>
      </c>
      <c r="B648" s="103"/>
      <c r="C648" s="103"/>
      <c r="D648" s="103"/>
      <c r="E648" s="10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99" t="s">
        <v>233</v>
      </c>
      <c r="B649" s="100"/>
      <c r="C649" s="100"/>
      <c r="D649" s="100"/>
      <c r="E649" s="10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2" t="s">
        <v>230</v>
      </c>
      <c r="B662" s="103"/>
      <c r="C662" s="103"/>
      <c r="D662" s="103"/>
      <c r="E662" s="10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2" t="s">
        <v>232</v>
      </c>
      <c r="B675" s="103"/>
      <c r="C675" s="103"/>
      <c r="D675" s="103"/>
      <c r="E675" s="10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99" t="s">
        <v>233</v>
      </c>
      <c r="B676" s="100"/>
      <c r="C676" s="100"/>
      <c r="D676" s="100"/>
      <c r="E676" s="10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2" t="s">
        <v>230</v>
      </c>
      <c r="B689" s="103"/>
      <c r="C689" s="103"/>
      <c r="D689" s="103"/>
      <c r="E689" s="10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2" t="s">
        <v>232</v>
      </c>
      <c r="B702" s="103"/>
      <c r="C702" s="103"/>
      <c r="D702" s="103"/>
      <c r="E702" s="10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99" t="s">
        <v>233</v>
      </c>
      <c r="B703" s="100"/>
      <c r="C703" s="100"/>
      <c r="D703" s="100"/>
      <c r="E703" s="10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2" t="s">
        <v>230</v>
      </c>
      <c r="B716" s="103"/>
      <c r="C716" s="103"/>
      <c r="D716" s="103"/>
      <c r="E716" s="10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2" t="s">
        <v>232</v>
      </c>
      <c r="B729" s="103"/>
      <c r="C729" s="103"/>
      <c r="D729" s="103"/>
      <c r="E729" s="10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99" t="s">
        <v>233</v>
      </c>
      <c r="B730" s="100"/>
      <c r="C730" s="100"/>
      <c r="D730" s="100"/>
      <c r="E730" s="10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2" t="s">
        <v>230</v>
      </c>
      <c r="B743" s="103"/>
      <c r="C743" s="103"/>
      <c r="D743" s="103"/>
      <c r="E743" s="10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2" t="s">
        <v>232</v>
      </c>
      <c r="B756" s="103"/>
      <c r="C756" s="103"/>
      <c r="D756" s="103"/>
      <c r="E756" s="10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99" t="s">
        <v>233</v>
      </c>
      <c r="B757" s="100"/>
      <c r="C757" s="100"/>
      <c r="D757" s="100"/>
      <c r="E757" s="10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2" t="s">
        <v>230</v>
      </c>
      <c r="B770" s="103"/>
      <c r="C770" s="103"/>
      <c r="D770" s="103"/>
      <c r="E770" s="10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2" t="s">
        <v>232</v>
      </c>
      <c r="B783" s="103"/>
      <c r="C783" s="103"/>
      <c r="D783" s="103"/>
      <c r="E783" s="10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99" t="s">
        <v>233</v>
      </c>
      <c r="B784" s="100"/>
      <c r="C784" s="100"/>
      <c r="D784" s="100"/>
      <c r="E784" s="10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2" t="s">
        <v>230</v>
      </c>
      <c r="B797" s="103"/>
      <c r="C797" s="103"/>
      <c r="D797" s="103"/>
      <c r="E797" s="10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2" t="s">
        <v>232</v>
      </c>
      <c r="B810" s="103"/>
      <c r="C810" s="103"/>
      <c r="D810" s="103"/>
      <c r="E810" s="10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99" t="s">
        <v>233</v>
      </c>
      <c r="B811" s="100"/>
      <c r="C811" s="100"/>
      <c r="D811" s="100"/>
      <c r="E811" s="10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549" activePane="bottomLeft" state="frozen"/>
      <selection pane="bottomLeft" activeCell="K570" sqref="K570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330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295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2" t="s">
        <v>230</v>
      </c>
      <c r="B14" s="103"/>
      <c r="C14" s="103"/>
      <c r="D14" s="103"/>
      <c r="E14" s="104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231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331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255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255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255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255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255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255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255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255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2" t="s">
        <v>232</v>
      </c>
      <c r="B27" s="103"/>
      <c r="C27" s="103"/>
      <c r="D27" s="103"/>
      <c r="E27" s="104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231</v>
      </c>
      <c r="O27" s="39">
        <v>202230</v>
      </c>
    </row>
    <row r="28" spans="1:15" ht="18" customHeight="1">
      <c r="A28" s="99" t="s">
        <v>233</v>
      </c>
      <c r="B28" s="100"/>
      <c r="C28" s="100"/>
      <c r="D28" s="100"/>
      <c r="E28" s="101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234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332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333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255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255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2" t="s">
        <v>230</v>
      </c>
      <c r="B41" s="103"/>
      <c r="C41" s="103"/>
      <c r="D41" s="103"/>
      <c r="E41" s="104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231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255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255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255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255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255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255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255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255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255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255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2" t="s">
        <v>232</v>
      </c>
      <c r="B54" s="103"/>
      <c r="C54" s="103"/>
      <c r="D54" s="103"/>
      <c r="E54" s="104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231</v>
      </c>
      <c r="O54" s="39">
        <v>473910</v>
      </c>
    </row>
    <row r="55" spans="1:15" ht="18" customHeight="1">
      <c r="A55" s="99" t="s">
        <v>233</v>
      </c>
      <c r="B55" s="100"/>
      <c r="C55" s="100"/>
      <c r="D55" s="100"/>
      <c r="E55" s="101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234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255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255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255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334</v>
      </c>
      <c r="L58" s="29">
        <v>0.54097222222222219</v>
      </c>
      <c r="M58" s="30" t="str">
        <f t="shared" ca="1" si="13"/>
        <v/>
      </c>
      <c r="N58" s="27" t="s">
        <v>335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255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255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255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255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255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255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255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255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255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2" t="s">
        <v>230</v>
      </c>
      <c r="B68" s="103"/>
      <c r="C68" s="103"/>
      <c r="D68" s="103"/>
      <c r="E68" s="104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231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304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336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337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338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339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255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2" t="s">
        <v>232</v>
      </c>
      <c r="B81" s="103"/>
      <c r="C81" s="103"/>
      <c r="D81" s="103"/>
      <c r="E81" s="104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231</v>
      </c>
      <c r="O81" s="39">
        <v>565120</v>
      </c>
    </row>
    <row r="82" spans="1:15" ht="18" customHeight="1">
      <c r="A82" s="99" t="s">
        <v>233</v>
      </c>
      <c r="B82" s="100"/>
      <c r="C82" s="100"/>
      <c r="D82" s="100"/>
      <c r="E82" s="101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234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340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255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255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228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2" t="s">
        <v>230</v>
      </c>
      <c r="B95" s="103"/>
      <c r="C95" s="103"/>
      <c r="D95" s="103"/>
      <c r="E95" s="104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231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2" t="s">
        <v>232</v>
      </c>
      <c r="B108" s="103"/>
      <c r="C108" s="103"/>
      <c r="D108" s="103"/>
      <c r="E108" s="104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231</v>
      </c>
      <c r="O108" s="39">
        <v>558590</v>
      </c>
    </row>
    <row r="109" spans="1:15" ht="18" customHeight="1">
      <c r="A109" s="99" t="s">
        <v>233</v>
      </c>
      <c r="B109" s="100"/>
      <c r="C109" s="100"/>
      <c r="D109" s="100"/>
      <c r="E109" s="101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234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341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2" t="s">
        <v>230</v>
      </c>
      <c r="B122" s="103"/>
      <c r="C122" s="103"/>
      <c r="D122" s="103"/>
      <c r="E122" s="104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231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342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343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5.4636342596495524E-2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270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2" t="s">
        <v>232</v>
      </c>
      <c r="B135" s="103"/>
      <c r="C135" s="103"/>
      <c r="D135" s="103"/>
      <c r="E135" s="104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0.25394189815205115</v>
      </c>
      <c r="N135" s="36" t="s">
        <v>231</v>
      </c>
      <c r="O135" s="39">
        <v>729290</v>
      </c>
    </row>
    <row r="136" spans="1:18" ht="18" customHeight="1">
      <c r="A136" s="99" t="s">
        <v>233</v>
      </c>
      <c r="B136" s="100"/>
      <c r="C136" s="100"/>
      <c r="D136" s="100"/>
      <c r="E136" s="101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0.62130300926316218</v>
      </c>
      <c r="N136" s="40" t="s">
        <v>234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344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2" t="s">
        <v>230</v>
      </c>
      <c r="B149" s="103"/>
      <c r="C149" s="103"/>
      <c r="D149" s="103"/>
      <c r="E149" s="104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231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309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345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255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2" t="s">
        <v>232</v>
      </c>
      <c r="B162" s="103"/>
      <c r="C162" s="103"/>
      <c r="D162" s="103"/>
      <c r="E162" s="104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231</v>
      </c>
      <c r="O162" s="39">
        <v>697320</v>
      </c>
    </row>
    <row r="163" spans="1:15" ht="18" customHeight="1">
      <c r="A163" s="99" t="s">
        <v>233</v>
      </c>
      <c r="B163" s="100"/>
      <c r="C163" s="100"/>
      <c r="D163" s="100"/>
      <c r="E163" s="101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234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228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255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255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255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255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346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255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255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255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255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255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2" t="s">
        <v>230</v>
      </c>
      <c r="B176" s="103"/>
      <c r="C176" s="103"/>
      <c r="D176" s="103"/>
      <c r="E176" s="104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231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255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255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255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255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255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255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255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255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255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255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255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255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2" t="s">
        <v>232</v>
      </c>
      <c r="B189" s="103"/>
      <c r="C189" s="103"/>
      <c r="D189" s="103"/>
      <c r="E189" s="104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231</v>
      </c>
      <c r="O189" s="39">
        <v>973580</v>
      </c>
    </row>
    <row r="190" spans="1:15" ht="18" customHeight="1">
      <c r="A190" s="99" t="s">
        <v>233</v>
      </c>
      <c r="B190" s="100"/>
      <c r="C190" s="100"/>
      <c r="D190" s="100"/>
      <c r="E190" s="101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234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255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255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255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347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255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348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255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255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255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255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255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255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2" t="s">
        <v>230</v>
      </c>
      <c r="B203" s="103"/>
      <c r="C203" s="103"/>
      <c r="D203" s="103"/>
      <c r="E203" s="104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231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349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2" t="s">
        <v>232</v>
      </c>
      <c r="B216" s="103"/>
      <c r="C216" s="103"/>
      <c r="D216" s="103"/>
      <c r="E216" s="104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231</v>
      </c>
      <c r="O216" s="45">
        <v>1060630</v>
      </c>
    </row>
    <row r="217" spans="1:15" ht="18" customHeight="1">
      <c r="A217" s="99" t="s">
        <v>233</v>
      </c>
      <c r="B217" s="100"/>
      <c r="C217" s="100"/>
      <c r="D217" s="100"/>
      <c r="E217" s="101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234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350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351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255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255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352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255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255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255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2" t="s">
        <v>230</v>
      </c>
      <c r="B230" s="103"/>
      <c r="C230" s="103"/>
      <c r="D230" s="103"/>
      <c r="E230" s="104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231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353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2" t="s">
        <v>232</v>
      </c>
      <c r="B243" s="103"/>
      <c r="C243" s="103"/>
      <c r="D243" s="103"/>
      <c r="E243" s="104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231</v>
      </c>
      <c r="O243" s="39">
        <v>982340</v>
      </c>
    </row>
    <row r="244" spans="1:15" ht="18" customHeight="1">
      <c r="A244" s="99" t="s">
        <v>233</v>
      </c>
      <c r="B244" s="100"/>
      <c r="C244" s="100"/>
      <c r="D244" s="100"/>
      <c r="E244" s="101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234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354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205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255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255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255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255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255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2" t="s">
        <v>230</v>
      </c>
      <c r="B257" s="103"/>
      <c r="C257" s="103"/>
      <c r="D257" s="103"/>
      <c r="E257" s="104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231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255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2" t="s">
        <v>232</v>
      </c>
      <c r="B270" s="103"/>
      <c r="C270" s="103"/>
      <c r="D270" s="103"/>
      <c r="E270" s="104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231</v>
      </c>
      <c r="O270" s="39">
        <v>1208450</v>
      </c>
    </row>
    <row r="271" spans="1:15" ht="18" customHeight="1">
      <c r="A271" s="99" t="s">
        <v>233</v>
      </c>
      <c r="B271" s="100"/>
      <c r="C271" s="100"/>
      <c r="D271" s="100"/>
      <c r="E271" s="101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234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2" t="s">
        <v>230</v>
      </c>
      <c r="B284" s="103"/>
      <c r="C284" s="103"/>
      <c r="D284" s="103"/>
      <c r="E284" s="104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231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255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2" t="s">
        <v>232</v>
      </c>
      <c r="B297" s="103"/>
      <c r="C297" s="103"/>
      <c r="D297" s="103"/>
      <c r="E297" s="104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231</v>
      </c>
      <c r="O297" s="39">
        <v>1049090</v>
      </c>
    </row>
    <row r="298" spans="1:15" ht="18" customHeight="1">
      <c r="A298" s="99" t="s">
        <v>233</v>
      </c>
      <c r="B298" s="100"/>
      <c r="C298" s="100"/>
      <c r="D298" s="100"/>
      <c r="E298" s="101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234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355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207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208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255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2" t="s">
        <v>230</v>
      </c>
      <c r="B311" s="103"/>
      <c r="C311" s="103"/>
      <c r="D311" s="103"/>
      <c r="E311" s="104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231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228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267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2" t="s">
        <v>232</v>
      </c>
      <c r="B324" s="103"/>
      <c r="C324" s="103"/>
      <c r="D324" s="103"/>
      <c r="E324" s="104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231</v>
      </c>
      <c r="O324" s="39">
        <v>1063720</v>
      </c>
    </row>
    <row r="325" spans="1:15" ht="18" customHeight="1">
      <c r="A325" s="99" t="s">
        <v>233</v>
      </c>
      <c r="B325" s="100"/>
      <c r="C325" s="100"/>
      <c r="D325" s="100"/>
      <c r="E325" s="101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234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255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255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295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255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255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228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255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255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255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255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255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255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255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2" t="s">
        <v>230</v>
      </c>
      <c r="B338" s="103"/>
      <c r="C338" s="103"/>
      <c r="D338" s="103"/>
      <c r="E338" s="104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231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356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357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2" t="s">
        <v>232</v>
      </c>
      <c r="B351" s="103"/>
      <c r="C351" s="103"/>
      <c r="D351" s="103"/>
      <c r="E351" s="104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231</v>
      </c>
      <c r="O351" s="39">
        <v>696140</v>
      </c>
    </row>
    <row r="352" spans="1:15" ht="18" customHeight="1">
      <c r="A352" s="99" t="s">
        <v>233</v>
      </c>
      <c r="B352" s="100"/>
      <c r="C352" s="100"/>
      <c r="D352" s="100"/>
      <c r="E352" s="101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234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309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255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255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230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231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255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255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255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358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255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255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255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255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2" t="s">
        <v>232</v>
      </c>
      <c r="B378" s="103"/>
      <c r="C378" s="103"/>
      <c r="D378" s="103"/>
      <c r="E378" s="104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231</v>
      </c>
      <c r="O378" s="39">
        <v>704750</v>
      </c>
    </row>
    <row r="379" spans="1:15" ht="18" customHeight="1">
      <c r="A379" s="99" t="s">
        <v>233</v>
      </c>
      <c r="B379" s="100"/>
      <c r="C379" s="100"/>
      <c r="D379" s="100"/>
      <c r="E379" s="101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234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255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359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255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255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346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255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255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255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255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255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255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2" t="s">
        <v>230</v>
      </c>
      <c r="B392" s="103"/>
      <c r="C392" s="103"/>
      <c r="D392" s="103"/>
      <c r="E392" s="104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231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360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361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2" t="s">
        <v>232</v>
      </c>
      <c r="B405" s="103"/>
      <c r="C405" s="103"/>
      <c r="D405" s="103"/>
      <c r="E405" s="104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231</v>
      </c>
      <c r="O405" s="39">
        <v>958130</v>
      </c>
    </row>
    <row r="406" spans="1:15" ht="18" customHeight="1">
      <c r="A406" s="99" t="s">
        <v>233</v>
      </c>
      <c r="B406" s="100"/>
      <c r="C406" s="100"/>
      <c r="D406" s="100"/>
      <c r="E406" s="101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234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255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255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255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255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255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255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255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255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255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228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2" t="s">
        <v>230</v>
      </c>
      <c r="B419" s="103"/>
      <c r="C419" s="103"/>
      <c r="D419" s="103"/>
      <c r="E419" s="104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231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255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362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2" t="s">
        <v>232</v>
      </c>
      <c r="B432" s="103"/>
      <c r="C432" s="103"/>
      <c r="D432" s="103"/>
      <c r="E432" s="104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231</v>
      </c>
      <c r="O432" s="39">
        <v>605220</v>
      </c>
    </row>
    <row r="433" spans="1:17" ht="18" customHeight="1">
      <c r="A433" s="99" t="s">
        <v>233</v>
      </c>
      <c r="B433" s="100"/>
      <c r="C433" s="100"/>
      <c r="D433" s="100"/>
      <c r="E433" s="101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234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212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2" t="s">
        <v>230</v>
      </c>
      <c r="B446" s="103"/>
      <c r="C446" s="103"/>
      <c r="D446" s="103"/>
      <c r="E446" s="104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231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363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215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2" t="s">
        <v>232</v>
      </c>
      <c r="B459" s="103"/>
      <c r="C459" s="103"/>
      <c r="D459" s="103"/>
      <c r="E459" s="104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231</v>
      </c>
      <c r="O459" s="39">
        <v>615330</v>
      </c>
    </row>
    <row r="460" spans="1:15" ht="18" customHeight="1">
      <c r="A460" s="99" t="s">
        <v>233</v>
      </c>
      <c r="B460" s="100"/>
      <c r="C460" s="100"/>
      <c r="D460" s="100"/>
      <c r="E460" s="101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234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364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365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339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228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228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228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228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2" t="s">
        <v>230</v>
      </c>
      <c r="B473" s="103"/>
      <c r="C473" s="103"/>
      <c r="D473" s="103"/>
      <c r="E473" s="104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231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2" t="s">
        <v>232</v>
      </c>
      <c r="B486" s="103"/>
      <c r="C486" s="103"/>
      <c r="D486" s="103"/>
      <c r="E486" s="104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231</v>
      </c>
      <c r="O486" s="39">
        <v>1120830</v>
      </c>
    </row>
    <row r="487" spans="1:15" ht="18" customHeight="1">
      <c r="A487" s="99" t="s">
        <v>233</v>
      </c>
      <c r="B487" s="100"/>
      <c r="C487" s="100"/>
      <c r="D487" s="100"/>
      <c r="E487" s="101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234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339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228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228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228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228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255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255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255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255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255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255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2" t="s">
        <v>230</v>
      </c>
      <c r="B500" s="103"/>
      <c r="C500" s="103"/>
      <c r="D500" s="103"/>
      <c r="E500" s="104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231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366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2" t="s">
        <v>232</v>
      </c>
      <c r="B513" s="103"/>
      <c r="C513" s="103"/>
      <c r="D513" s="103"/>
      <c r="E513" s="104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231</v>
      </c>
      <c r="O513" s="39">
        <v>416720</v>
      </c>
    </row>
    <row r="514" spans="1:15" ht="18" customHeight="1">
      <c r="A514" s="99" t="s">
        <v>233</v>
      </c>
      <c r="B514" s="100"/>
      <c r="C514" s="100"/>
      <c r="D514" s="100"/>
      <c r="E514" s="101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234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216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367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368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2" t="s">
        <v>230</v>
      </c>
      <c r="B527" s="103"/>
      <c r="C527" s="103"/>
      <c r="D527" s="103"/>
      <c r="E527" s="104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231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2" t="s">
        <v>232</v>
      </c>
      <c r="B540" s="103"/>
      <c r="C540" s="103"/>
      <c r="D540" s="103"/>
      <c r="E540" s="104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231</v>
      </c>
      <c r="O540" s="39">
        <v>404370</v>
      </c>
    </row>
    <row r="541" spans="1:15" ht="18" customHeight="1">
      <c r="A541" s="99" t="s">
        <v>233</v>
      </c>
      <c r="B541" s="100"/>
      <c r="C541" s="100"/>
      <c r="D541" s="100"/>
      <c r="E541" s="101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234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255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369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255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370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255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371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255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255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255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255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255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255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255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255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255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2" t="s">
        <v>230</v>
      </c>
      <c r="B554" s="103"/>
      <c r="C554" s="103"/>
      <c r="D554" s="103"/>
      <c r="E554" s="104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231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255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127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255</v>
      </c>
      <c r="F556" s="27">
        <v>5</v>
      </c>
      <c r="G556" s="28">
        <f t="shared" si="123"/>
        <v>21</v>
      </c>
      <c r="H556" s="26" t="s">
        <v>20</v>
      </c>
      <c r="I556" s="26" t="s">
        <v>138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255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180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372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255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255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255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255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255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255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255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255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255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2" t="s">
        <v>232</v>
      </c>
      <c r="B567" s="103"/>
      <c r="C567" s="103"/>
      <c r="D567" s="103"/>
      <c r="E567" s="104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231</v>
      </c>
      <c r="O567" s="39">
        <v>499820</v>
      </c>
    </row>
    <row r="568" spans="1:15" ht="18" customHeight="1">
      <c r="A568" s="99" t="s">
        <v>233</v>
      </c>
      <c r="B568" s="100"/>
      <c r="C568" s="100"/>
      <c r="D568" s="100"/>
      <c r="E568" s="101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234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255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100</v>
      </c>
      <c r="K569" s="29">
        <v>0.29166666666666669</v>
      </c>
      <c r="L569" s="29"/>
      <c r="M569" s="35">
        <f t="shared" ref="M569:M574" ca="1" si="127">IFERROR(IF(K569="","",IF(L569="",MOD(NOW()-K569,1),IF(L569&gt;=K569,L569-K569,L569+1-K569))),"")</f>
        <v>1.2275231485546101E-2</v>
      </c>
      <c r="N569" s="27"/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255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255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255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255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255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255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255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255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255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255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255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2" t="s">
        <v>230</v>
      </c>
      <c r="B581" s="103"/>
      <c r="C581" s="103"/>
      <c r="D581" s="103"/>
      <c r="E581" s="10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1.2275231485546101E-2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2" t="s">
        <v>232</v>
      </c>
      <c r="B594" s="103"/>
      <c r="C594" s="103"/>
      <c r="D594" s="103"/>
      <c r="E594" s="10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99" t="s">
        <v>233</v>
      </c>
      <c r="B595" s="100"/>
      <c r="C595" s="100"/>
      <c r="D595" s="100"/>
      <c r="E595" s="10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1.2275231485546101E-2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2" t="s">
        <v>230</v>
      </c>
      <c r="B608" s="103"/>
      <c r="C608" s="103"/>
      <c r="D608" s="103"/>
      <c r="E608" s="10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2" t="s">
        <v>232</v>
      </c>
      <c r="B621" s="103"/>
      <c r="C621" s="103"/>
      <c r="D621" s="103"/>
      <c r="E621" s="10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99" t="s">
        <v>233</v>
      </c>
      <c r="B622" s="100"/>
      <c r="C622" s="100"/>
      <c r="D622" s="100"/>
      <c r="E622" s="10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2" t="s">
        <v>230</v>
      </c>
      <c r="B635" s="103"/>
      <c r="C635" s="103"/>
      <c r="D635" s="103"/>
      <c r="E635" s="10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2" t="s">
        <v>232</v>
      </c>
      <c r="B648" s="103"/>
      <c r="C648" s="103"/>
      <c r="D648" s="103"/>
      <c r="E648" s="10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99" t="s">
        <v>233</v>
      </c>
      <c r="B649" s="100"/>
      <c r="C649" s="100"/>
      <c r="D649" s="100"/>
      <c r="E649" s="10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2" t="s">
        <v>230</v>
      </c>
      <c r="B662" s="103"/>
      <c r="C662" s="103"/>
      <c r="D662" s="103"/>
      <c r="E662" s="10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2" t="s">
        <v>232</v>
      </c>
      <c r="B675" s="103"/>
      <c r="C675" s="103"/>
      <c r="D675" s="103"/>
      <c r="E675" s="10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99" t="s">
        <v>233</v>
      </c>
      <c r="B676" s="100"/>
      <c r="C676" s="100"/>
      <c r="D676" s="100"/>
      <c r="E676" s="10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2" t="s">
        <v>230</v>
      </c>
      <c r="B689" s="103"/>
      <c r="C689" s="103"/>
      <c r="D689" s="103"/>
      <c r="E689" s="10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2" t="s">
        <v>232</v>
      </c>
      <c r="B702" s="103"/>
      <c r="C702" s="103"/>
      <c r="D702" s="103"/>
      <c r="E702" s="10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99" t="s">
        <v>233</v>
      </c>
      <c r="B703" s="100"/>
      <c r="C703" s="100"/>
      <c r="D703" s="100"/>
      <c r="E703" s="10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2" t="s">
        <v>230</v>
      </c>
      <c r="B716" s="103"/>
      <c r="C716" s="103"/>
      <c r="D716" s="103"/>
      <c r="E716" s="10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2" t="s">
        <v>232</v>
      </c>
      <c r="B729" s="103"/>
      <c r="C729" s="103"/>
      <c r="D729" s="103"/>
      <c r="E729" s="10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99" t="s">
        <v>233</v>
      </c>
      <c r="B730" s="100"/>
      <c r="C730" s="100"/>
      <c r="D730" s="100"/>
      <c r="E730" s="10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2" t="s">
        <v>230</v>
      </c>
      <c r="B743" s="103"/>
      <c r="C743" s="103"/>
      <c r="D743" s="103"/>
      <c r="E743" s="10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2" t="s">
        <v>232</v>
      </c>
      <c r="B756" s="103"/>
      <c r="C756" s="103"/>
      <c r="D756" s="103"/>
      <c r="E756" s="10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99" t="s">
        <v>233</v>
      </c>
      <c r="B757" s="100"/>
      <c r="C757" s="100"/>
      <c r="D757" s="100"/>
      <c r="E757" s="10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2" t="s">
        <v>230</v>
      </c>
      <c r="B770" s="103"/>
      <c r="C770" s="103"/>
      <c r="D770" s="103"/>
      <c r="E770" s="10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2" t="s">
        <v>232</v>
      </c>
      <c r="B783" s="103"/>
      <c r="C783" s="103"/>
      <c r="D783" s="103"/>
      <c r="E783" s="10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99" t="s">
        <v>233</v>
      </c>
      <c r="B784" s="100"/>
      <c r="C784" s="100"/>
      <c r="D784" s="100"/>
      <c r="E784" s="10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2" t="s">
        <v>230</v>
      </c>
      <c r="B797" s="103"/>
      <c r="C797" s="103"/>
      <c r="D797" s="103"/>
      <c r="E797" s="10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2" t="s">
        <v>232</v>
      </c>
      <c r="B810" s="103"/>
      <c r="C810" s="103"/>
      <c r="D810" s="103"/>
      <c r="E810" s="10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99" t="s">
        <v>233</v>
      </c>
      <c r="B811" s="100"/>
      <c r="C811" s="100"/>
      <c r="D811" s="100"/>
      <c r="E811" s="10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234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2026-07-22T11:17:49Z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