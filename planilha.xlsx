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3" documentId="13_ncr:1_{0A10D8D4-8450-4366-8075-B53B08E6B7EA}" xr6:coauthVersionLast="47" xr6:coauthVersionMax="47" xr10:uidLastSave="{0AC559AA-4271-4C3A-8A95-04C161B6C89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90" i="6" s="1"/>
  <c r="J490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90" i="5" s="1"/>
  <c r="J490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90" i="4" s="1"/>
  <c r="J490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<sst xmlns="http://schemas.openxmlformats.org/spreadsheetml/2006/main" count="8319" uniqueCount="382">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</sst>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1" sqref="F49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>
        <v>0.40347222222222223</v>
      </c>
      <c r="M488" s="30">
        <f t="shared" ref="M488:M499" ca="1" si="105">IFERROR(IF(K488="","",IF(L488="",MOD(NOW()-K488,1),IF(L488&gt;=K488,L488-K488,L488+1-K488))),"")</f>
        <v>9.2361111111111116E-2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>
        <v>6</v>
      </c>
      <c r="G490" s="28">
        <f t="shared" si="104"/>
        <v>30</v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6</v>
      </c>
      <c r="G500" s="36">
        <f>SUM(G488:G499)</f>
        <v>30</v>
      </c>
      <c r="H500" s="37"/>
      <c r="I500" s="37"/>
      <c r="J500" s="37"/>
      <c r="K500" s="37"/>
      <c r="L500" s="37"/>
      <c r="M500" s="38">
        <f ca="1">IFERROR(SUM(M488:M499),"")</f>
        <v>9.2361111111111116E-2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6</v>
      </c>
      <c r="G514" s="40">
        <f>G500+G513</f>
        <v>30</v>
      </c>
      <c r="H514" s="41"/>
      <c r="I514" s="41"/>
      <c r="J514" s="41"/>
      <c r="K514" s="41"/>
      <c r="L514" s="41"/>
      <c r="M514" s="42">
        <f ca="1">IFERROR(M500+M513,"")</f>
        <v>9.2361111111111116E-2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90" sqref="N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0.30488344906916609</v>
      </c>
      <c r="R53" s="46" t="s">
        <v>291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0.44377233795805499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0.5284945601802773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 t="s">
        <v>299</v>
      </c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10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2"/>
        <v>0</v>
      </c>
      <c r="K490" s="28">
        <f t="shared" si="123"/>
        <v>42</v>
      </c>
      <c r="L490" s="26" t="s">
        <v>25</v>
      </c>
      <c r="M490" s="26" t="s">
        <v>146</v>
      </c>
      <c r="N490" s="26" t="s">
        <v>138</v>
      </c>
      <c r="O490" s="29">
        <v>0.42430555555555555</v>
      </c>
      <c r="P490" s="29"/>
      <c r="Q490" s="30">
        <f t="shared" ca="1" si="124"/>
        <v>2.1056712939753197E-3</v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37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155.4</v>
      </c>
      <c r="L500" s="37"/>
      <c r="M500" s="37"/>
      <c r="N500" s="37"/>
      <c r="O500" s="37"/>
      <c r="P500" s="37"/>
      <c r="Q500" s="38">
        <f ca="1">IFERROR(SUM(Q488:Q499),"")</f>
        <v>4.1689004627308679E-2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37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155.4</v>
      </c>
      <c r="L514" s="41"/>
      <c r="M514" s="41"/>
      <c r="N514" s="41"/>
      <c r="O514" s="41"/>
      <c r="P514" s="41"/>
      <c r="Q514" s="42">
        <f ca="1">IFERROR(Q500+Q513,"")</f>
        <v>4.1689004627308679E-2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7" activePane="bottomLeft" state="frozen"/>
      <selection pane="bottomLeft" activeCell="G491" sqref="G4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5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0"/>
        <v>0</v>
      </c>
      <c r="K490" s="28">
        <f t="shared" si="121"/>
        <v>21</v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37</v>
      </c>
      <c r="E493" s="15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17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71.400000000000006</v>
      </c>
      <c r="L500" s="37"/>
      <c r="M500" s="37"/>
      <c r="N500" s="37"/>
      <c r="O500" s="37"/>
      <c r="P500" s="37"/>
      <c r="Q500" s="38">
        <f ca="1">IFERROR(SUM(Q488:Q499),"")</f>
        <v>3.4722222222222654E-3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17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71.400000000000006</v>
      </c>
      <c r="L514" s="41"/>
      <c r="M514" s="41"/>
      <c r="N514" s="41"/>
      <c r="O514" s="41"/>
      <c r="P514" s="41"/>
      <c r="Q514" s="42">
        <f ca="1">IFERROR(Q500+Q513,"")</f>
        <v>3.4722222222222654E-3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1" sqref="G4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23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2"/>
        <v>0</v>
      </c>
      <c r="K490" s="28">
        <f t="shared" si="123"/>
        <v>96.600000000000009</v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52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218.4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52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218.4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2026-08-19T14:14:07Z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