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32" documentId="8_{AF585B22-221D-4780-BB9C-493D365A6A02}" xr6:coauthVersionLast="47" xr6:coauthVersionMax="47" xr10:uidLastSave="{F75E738C-D068-4569-9FD5-ADFCCC6298B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<sst xmlns="http://schemas.openxmlformats.org/spreadsheetml/2006/main" count="12511" uniqueCount="443">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</sst>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N827" sqref="N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0.67296203703153878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0.83060092592042767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0.94032314814264983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0.65143425925634801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0.82226759258968141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0.96740648147857033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25</v>
      </c>
      <c r="G827" s="104">
        <f>IF(F827="","",IF(E827="PC 17",F827*4.2,IF(E827="PC 19",F827*5,"")))</f>
        <v>105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/>
      <c r="M827" s="79">
        <f ca="1">IFERROR(IF(K827="","",IF(L827="",MOD(NOW()-K827,1),IF(L827&gt;=K827,L827-K827,L827+1-K827))),"")</f>
        <v>1.1850925926410127E-2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60</v>
      </c>
      <c r="G837" s="109">
        <f>SUM(G825:G836)</f>
        <v>264.8</v>
      </c>
      <c r="H837" s="37"/>
      <c r="I837" s="37"/>
      <c r="J837" s="37"/>
      <c r="K837" s="37"/>
      <c r="L837" s="37"/>
      <c r="M837" s="110">
        <f ca="1">IFERROR(SUM(M825:M836),"")</f>
        <v>1.9489814815298989E-2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229</v>
      </c>
      <c r="G838" s="111">
        <f>G824+G837</f>
        <v>974.60000000000014</v>
      </c>
      <c r="H838" s="41"/>
      <c r="I838" s="41"/>
      <c r="J838" s="41"/>
      <c r="K838" s="41"/>
      <c r="L838" s="41"/>
      <c r="M838" s="112">
        <f ca="1">IFERROR(M824+M837,"")</f>
        <v>0.12435092592641012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15</v>
      </c>
      <c r="G827" s="104">
        <f>IF(F827="","",IF(E827="PC 17",F827*4.2,IF(E827="PC 19",F827*5,"")))</f>
        <v>63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33</v>
      </c>
      <c r="G837" s="109">
        <f>SUM(G825:G836)</f>
        <v>147.4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128</v>
      </c>
      <c r="G838" s="111">
        <f>G824+G837</f>
        <v>546.4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27" sqref="F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0.66323981481400551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0.86254537036956114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1.2299064814806722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20</v>
      </c>
      <c r="G837" s="109">
        <f>SUM(G825:G836)</f>
        <v>84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139</v>
      </c>
      <c r="G838" s="111">
        <f>G824+G837</f>
        <v>583.80000000000007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