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67" documentId="8_{AF585B22-221D-4780-BB9C-493D365A6A02}" xr6:coauthVersionLast="47" xr6:coauthVersionMax="47" xr10:uidLastSave="{4E8D6226-D017-414D-9D3B-D0BDC1EB90A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<sst xmlns="http://schemas.openxmlformats.org/spreadsheetml/2006/main" count="9117" uniqueCount="376">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</sst>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3" sqref="F5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>
        <v>20</v>
      </c>
      <c r="G582" s="28">
        <f t="shared" ref="G582:G593" si="129">IF(F582="","",IF(E582="PC 17",F582*4.2,IF(E582="PC 19",F582*5,"")))</f>
        <v>100</v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20</v>
      </c>
      <c r="G594" s="36">
        <f>SUM(G582:G593)</f>
        <v>100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206</v>
      </c>
      <c r="G595" s="40">
        <f>G581+G594</f>
        <v>1030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0.61719641203671927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0.77483530092560815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0.88455752314783032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0.5956686342615285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0.76650196759486189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0.91164085648375082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16</v>
      </c>
      <c r="G594" s="36">
        <f>SUM(G582:G593)</f>
        <v>67.2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246</v>
      </c>
      <c r="G595" s="40">
        <f>G581+G594</f>
        <v>1033.2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</v>
      </c>
      <c r="G594" s="36">
        <f>SUM(G582:G593)</f>
        <v>12.600000000000001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56</v>
      </c>
      <c r="G595" s="40">
        <f>G581+G594</f>
        <v>235.20000000000002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L583" sqref="L5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0.60747418981918599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0.80677974537474162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1.1741408564858526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0.85624999999999996</v>
      </c>
      <c r="M582" s="30">
        <f t="shared" ref="M582:M593" ca="1" si="130">IFERROR(IF(K582="","",IF(L582="",MOD(NOW()-K582,1),IF(L582&gt;=K582,L582-K582,L582+1-K582))),"")</f>
        <v>6.4583333333333326E-2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6.4583333333333326E-2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0.56458333333333321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2026-07-23T00:34:16Z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