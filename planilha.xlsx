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97" documentId="8_{C51EB6CB-002B-4D6B-B68F-DDEBDB4460C0}" xr6:coauthVersionLast="47" xr6:coauthVersionMax="47" xr10:uidLastSave="{379245DC-6C94-4E96-AABD-C888D0451116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<sst xmlns="http://schemas.openxmlformats.org/spreadsheetml/2006/main" count="3015" uniqueCount="275">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</sst>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846660</v>
      </c>
      <c r="D8" s="8">
        <f>IFERROR('Linha 1'!O136,"")</f>
        <v>791070</v>
      </c>
      <c r="E8" s="8">
        <f>IFERROR('Linha 2'!O136,"")</f>
        <v>320370</v>
      </c>
      <c r="F8" s="8">
        <f>IFERROR('Linha 3'!O136,"")</f>
        <v>811580</v>
      </c>
      <c r="G8" s="9">
        <f t="shared" si="0"/>
        <v>1923020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13832305</v>
      </c>
      <c r="D35" s="13">
        <f>IFERROR(SUM(D4:D34),"")</f>
        <v>4591580</v>
      </c>
      <c r="E35" s="13">
        <f>IFERROR(SUM(E4:E34),"")</f>
        <v>2567780</v>
      </c>
      <c r="F35" s="13">
        <f>IFERROR(SUM(F4:F34),"")</f>
        <v>5816020</v>
      </c>
      <c r="G35" s="13">
        <f>IFERROR(SUM(G4:G34),"")</f>
        <v>12975380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08" activePane="bottomLeft" state="frozen"/>
      <selection pane="bottomLeft" activeCell="F127" sqref="F12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231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229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229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229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229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229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229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229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146</v>
      </c>
      <c r="G135" s="36">
        <f>SUM(G123:G134)</f>
        <v>730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268</v>
      </c>
      <c r="G136" s="40">
        <f>G122+G135</f>
        <v>1340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235</v>
      </c>
      <c r="O136" s="43">
        <f>IFERROR(O122+O135,"")</f>
        <v>846660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6" t="s">
        <v>234</v>
      </c>
      <c r="B811" s="107"/>
      <c r="C811" s="107"/>
      <c r="D811" s="107"/>
      <c r="E811" s="10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08" activePane="bottomLeft" state="frozen"/>
      <selection pane="bottomLeft" activeCell="E129" sqref="E1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0.86651296295895008</v>
      </c>
      <c r="N53" s="46" t="s">
        <v>250</v>
      </c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1.0054018518478389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1.0901240740700613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156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153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132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17</v>
      </c>
      <c r="I126" s="26" t="s">
        <v>132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65</v>
      </c>
      <c r="G135" s="36">
        <f>SUM(G123:G134)</f>
        <v>273</v>
      </c>
      <c r="H135" s="37"/>
      <c r="I135" s="37"/>
      <c r="J135" s="37"/>
      <c r="K135" s="37"/>
      <c r="L135" s="37"/>
      <c r="M135" s="38">
        <f ca="1">IFERROR(SUM(M123:M134),"")</f>
        <v>2.5694444444444464E-2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249</v>
      </c>
      <c r="G136" s="40">
        <f>G122+G135</f>
        <v>1045.8000000000002</v>
      </c>
      <c r="H136" s="41"/>
      <c r="I136" s="41"/>
      <c r="J136" s="41"/>
      <c r="K136" s="41"/>
      <c r="L136" s="41"/>
      <c r="M136" s="42">
        <f ca="1">IFERROR(M122+M135,"")</f>
        <v>0.12083333333333335</v>
      </c>
      <c r="N136" s="40" t="s">
        <v>235</v>
      </c>
      <c r="O136" s="82">
        <f>IFERROR(O122+O135,"")</f>
        <v>791070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97" zoomScale="50" zoomScaleNormal="50" workbookViewId="0">
      <selection activeCell="L128" sqref="L1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233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230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154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9</v>
      </c>
      <c r="G124" s="28">
        <f t="shared" si="27"/>
        <v>37.800000000000004</v>
      </c>
      <c r="H124" s="26" t="s">
        <v>20</v>
      </c>
      <c r="I124" s="26" t="s">
        <v>154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265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 t="s">
        <v>17</v>
      </c>
      <c r="I127" s="33" t="s">
        <v>132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/>
      <c r="F128" s="27"/>
      <c r="G128" s="28" t="str">
        <f t="shared" si="27"/>
        <v/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44</v>
      </c>
      <c r="G135" s="36">
        <f>SUM(G123:G134)</f>
        <v>184.8</v>
      </c>
      <c r="H135" s="37"/>
      <c r="I135" s="37"/>
      <c r="J135" s="37"/>
      <c r="K135" s="37"/>
      <c r="L135" s="37"/>
      <c r="M135" s="38">
        <f ca="1">IFERROR(SUM(M123:M134),"")</f>
        <v>6.3194444444444442E-2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122</v>
      </c>
      <c r="G136" s="40">
        <f>G122+G135</f>
        <v>512.40000000000009</v>
      </c>
      <c r="H136" s="41"/>
      <c r="I136" s="41"/>
      <c r="J136" s="41"/>
      <c r="K136" s="41"/>
      <c r="L136" s="41"/>
      <c r="M136" s="42">
        <f ca="1">IFERROR(M122+M135,"")</f>
        <v>6.3194444444444442E-2</v>
      </c>
      <c r="N136" s="40" t="s">
        <v>235</v>
      </c>
      <c r="O136" s="43">
        <f>IFERROR(O122+O135,"")</f>
        <v>320370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230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230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93" activePane="bottomLeft" state="frozen"/>
      <selection pane="bottomLeft" activeCell="J126" sqref="J12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230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233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230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233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230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233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230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233</v>
      </c>
      <c r="B108" s="101"/>
      <c r="C108" s="101"/>
      <c r="D108" s="101"/>
      <c r="E108" s="102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 t="s">
        <v>19</v>
      </c>
      <c r="I114" s="26" t="s">
        <v>159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273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230</v>
      </c>
      <c r="B122" s="101"/>
      <c r="C122" s="101"/>
      <c r="D122" s="101"/>
      <c r="E122" s="102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231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241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203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241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274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241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0.99513888888888891</v>
      </c>
      <c r="L125" s="29"/>
      <c r="M125" s="35">
        <f t="shared" ca="1" si="28"/>
        <v>0.99290185185236624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241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241</v>
      </c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241</v>
      </c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241</v>
      </c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233</v>
      </c>
      <c r="B135" s="101"/>
      <c r="C135" s="101"/>
      <c r="D135" s="101"/>
      <c r="E135" s="102">
        <f>SUM(E123:E134)</f>
        <v>0</v>
      </c>
      <c r="F135" s="36">
        <f>SUM(F123:F134)</f>
        <v>77</v>
      </c>
      <c r="G135" s="36">
        <f>SUM(G123:G134)</f>
        <v>222.60000000000002</v>
      </c>
      <c r="H135" s="37"/>
      <c r="I135" s="37"/>
      <c r="J135" s="37"/>
      <c r="K135" s="61"/>
      <c r="L135" s="61"/>
      <c r="M135" s="38">
        <f ca="1">IFERROR(SUM(M123:M134),"")</f>
        <v>1.0047074074079219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247</v>
      </c>
      <c r="G136" s="40">
        <f>G122+G135</f>
        <v>936.60000000000014</v>
      </c>
      <c r="H136" s="41"/>
      <c r="I136" s="41"/>
      <c r="J136" s="41"/>
      <c r="K136" s="63"/>
      <c r="L136" s="63"/>
      <c r="M136" s="42">
        <f ca="1">IFERROR(M122+M135,"")</f>
        <v>1.1290129629634775</v>
      </c>
      <c r="N136" s="40" t="s">
        <v>235</v>
      </c>
      <c r="O136" s="48">
        <f>IFERROR(O122+O135,"")</f>
        <v>811580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230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233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230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233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230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233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230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233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230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233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230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233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230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233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230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233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233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230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233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230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233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230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233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230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233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230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233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230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233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230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233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230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233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230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233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230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233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230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233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230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233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230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233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230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233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230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233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230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233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230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233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2026-08-06T03:43:09Z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