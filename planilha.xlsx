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422" documentId="13_ncr:1_{0A10D8D4-8450-4366-8075-B53B08E6B7EA}" xr6:coauthVersionLast="47" xr6:coauthVersionMax="47" xr10:uidLastSave="{53895A01-2A60-4273-9766-B1DE13954D29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<sst xmlns="http://schemas.openxmlformats.org/spreadsheetml/2006/main" count="7207" uniqueCount="356">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</sst>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P24" sqref="P24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447620</v>
      </c>
      <c r="F19" s="11">
        <f>IFERROR('Linha 3'!S433,"")</f>
        <v>627410</v>
      </c>
      <c r="G19" s="12">
        <f t="shared" si="0"/>
        <v>1665860</v>
      </c>
      <c r="H19" s="96">
        <f>IFERROR('Linha 1'!T433+'Linha 2'!T433+'Linha 3'!T433,0)</f>
        <v>239.88383999999999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9882290</v>
      </c>
      <c r="F35" s="13">
        <f t="shared" si="2"/>
        <v>24136340</v>
      </c>
      <c r="G35" s="13">
        <f t="shared" si="2"/>
        <v>52857480</v>
      </c>
      <c r="H35" s="97">
        <f t="shared" si="2"/>
        <v>3450.1791327907322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98" activePane="bottomLeft" state="frozen"/>
      <selection pane="bottomLeft" activeCell="G439" sqref="G439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29</v>
      </c>
      <c r="E420" s="59" t="s">
        <v>243</v>
      </c>
      <c r="F420" s="27"/>
      <c r="G420" s="28" t="str">
        <f t="shared" ref="G420:G431" si="88">IF(F420="","",IF(E420="PC 17",F420*4.2,IF(E420="PC 19",F420*5,IF(E420="CB",F420*35,""))))</f>
        <v/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29</v>
      </c>
      <c r="E421" s="59" t="s">
        <v>243</v>
      </c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29</v>
      </c>
      <c r="E422" s="59" t="s">
        <v>243</v>
      </c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29</v>
      </c>
      <c r="E423" s="59" t="s">
        <v>243</v>
      </c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29</v>
      </c>
      <c r="E424" s="59" t="s">
        <v>243</v>
      </c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29</v>
      </c>
      <c r="E425" s="59" t="s">
        <v>243</v>
      </c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29</v>
      </c>
      <c r="E426" s="59" t="s">
        <v>243</v>
      </c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29</v>
      </c>
      <c r="E427" s="59" t="s">
        <v>243</v>
      </c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29</v>
      </c>
      <c r="E428" s="59" t="s">
        <v>243</v>
      </c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29</v>
      </c>
      <c r="E429" s="59" t="s">
        <v>243</v>
      </c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29</v>
      </c>
      <c r="E430" s="59" t="s">
        <v>243</v>
      </c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29</v>
      </c>
      <c r="E431" s="59" t="s">
        <v>243</v>
      </c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2.777777777777779E-2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0.26041666666666669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94" activePane="bottomLeft" state="frozen"/>
      <selection pane="bottomLeft" activeCell="E421" sqref="E421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0.70306944444018882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0.84195833332907766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0.92668055555130002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/>
      <c r="H420" s="140" t="str">
        <f>IFERROR(IF($G420="","",$G420*$S$432/$G$432/Cadastro!$E$33),"")</f>
        <v/>
      </c>
      <c r="I420" s="141">
        <f>IFERROR(IF($D420="","",VLOOKUP($D420,Cadastro!$C$4:$G$7,5,FALSE)),"")</f>
        <v>0.6</v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/>
      <c r="H421" s="134" t="str">
        <f>IFERROR(IF($G421="","",$G421*$S$432/$G$432/Cadastro!$E$33),"")</f>
        <v/>
      </c>
      <c r="I421" s="135">
        <f>IFERROR(IF($D421="","",VLOOKUP($D421,Cadastro!$C$4:$G$7,5,FALSE)),"")</f>
        <v>0.6</v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/>
      <c r="F422" s="134">
        <f>IFERROR(IF($D422="","",VLOOKUP($D422,Cadastro!$C$4:$E$7,3,FALSE)),"")</f>
        <v>0.24</v>
      </c>
      <c r="G422" s="105"/>
      <c r="H422" s="134" t="str">
        <f>IFERROR(IF($G422="","",$G422*$S$432/$G$432/Cadastro!$E$33),"")</f>
        <v/>
      </c>
      <c r="I422" s="135">
        <f>IFERROR(IF($D422="","",VLOOKUP($D422,Cadastro!$C$4:$G$7,5,FALSE)),"")</f>
        <v>0.6</v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/>
      <c r="F423" s="134">
        <f>IFERROR(IF($D423="","",VLOOKUP($D423,Cadastro!$C$4:$E$7,3,FALSE)),"")</f>
        <v>0.24</v>
      </c>
      <c r="G423" s="105"/>
      <c r="H423" s="134" t="str">
        <f>IFERROR(IF($G423="","",$G423*$S$432/$G$432/Cadastro!$E$33),"")</f>
        <v/>
      </c>
      <c r="I423" s="135">
        <f>IFERROR(IF($D423="","",VLOOKUP($D423,Cadastro!$C$4:$G$7,5,FALSE)),"")</f>
        <v>0.6</v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/>
      <c r="F424" s="134">
        <f>IFERROR(IF($D424="","",VLOOKUP($D424,Cadastro!$C$4:$E$7,3,FALSE)),"")</f>
        <v>0.24</v>
      </c>
      <c r="G424" s="105"/>
      <c r="H424" s="134" t="str">
        <f>IFERROR(IF($G424="","",$G424*$S$432/$G$432/Cadastro!$E$33),"")</f>
        <v/>
      </c>
      <c r="I424" s="135">
        <f>IFERROR(IF($D424="","",VLOOKUP($D424,Cadastro!$C$4:$G$7,5,FALSE)),"")</f>
        <v>0.6</v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/>
      <c r="F425" s="134">
        <f>IFERROR(IF($D425="","",VLOOKUP($D425,Cadastro!$C$4:$E$7,3,FALSE)),"")</f>
        <v>0.24</v>
      </c>
      <c r="G425" s="105"/>
      <c r="H425" s="134" t="str">
        <f>IFERROR(IF($G425="","",$G425*$S$432/$G$432/Cadastro!$E$33),"")</f>
        <v/>
      </c>
      <c r="I425" s="135">
        <f>IFERROR(IF($D425="","",VLOOKUP($D425,Cadastro!$C$4:$G$7,5,FALSE)),"")</f>
        <v>0.6</v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/>
      <c r="F426" s="134">
        <f>IFERROR(IF($D426="","",VLOOKUP($D426,Cadastro!$C$4:$E$7,3,FALSE)),"")</f>
        <v>0.24</v>
      </c>
      <c r="G426" s="105"/>
      <c r="H426" s="134" t="str">
        <f>IFERROR(IF($G426="","",$G426*$S$432/$G$432/Cadastro!$E$33),"")</f>
        <v/>
      </c>
      <c r="I426" s="135">
        <f>IFERROR(IF($D426="","",VLOOKUP($D426,Cadastro!$C$4:$G$7,5,FALSE)),"")</f>
        <v>0.6</v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/>
      <c r="F427" s="134">
        <f>IFERROR(IF($D427="","",VLOOKUP($D427,Cadastro!$C$4:$E$7,3,FALSE)),"")</f>
        <v>0.24</v>
      </c>
      <c r="G427" s="105"/>
      <c r="H427" s="134" t="str">
        <f>IFERROR(IF($G427="","",$G427*$S$432/$G$432/Cadastro!$E$33),"")</f>
        <v/>
      </c>
      <c r="I427" s="135">
        <f>IFERROR(IF($D427="","",VLOOKUP($D427,Cadastro!$C$4:$G$7,5,FALSE)),"")</f>
        <v>0.6</v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/>
      <c r="F428" s="134">
        <f>IFERROR(IF($D428="","",VLOOKUP($D428,Cadastro!$C$4:$E$7,3,FALSE)),"")</f>
        <v>0.24</v>
      </c>
      <c r="G428" s="105"/>
      <c r="H428" s="134" t="str">
        <f>IFERROR(IF($G428="","",$G428*$S$432/$G$432/Cadastro!$E$33),"")</f>
        <v/>
      </c>
      <c r="I428" s="135">
        <f>IFERROR(IF($D428="","",VLOOKUP($D428,Cadastro!$C$4:$G$7,5,FALSE)),"")</f>
        <v>0.6</v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/>
      <c r="F429" s="134">
        <f>IFERROR(IF($D429="","",VLOOKUP($D429,Cadastro!$C$4:$E$7,3,FALSE)),"")</f>
        <v>0.24</v>
      </c>
      <c r="G429" s="105"/>
      <c r="H429" s="134" t="str">
        <f>IFERROR(IF($G429="","",$G429*$S$432/$G$432/Cadastro!$E$33),"")</f>
        <v/>
      </c>
      <c r="I429" s="135">
        <f>IFERROR(IF($D429="","",VLOOKUP($D429,Cadastro!$C$4:$G$7,5,FALSE)),"")</f>
        <v>0.6</v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/>
      <c r="F430" s="134">
        <f>IFERROR(IF($D430="","",VLOOKUP($D430,Cadastro!$C$4:$E$7,3,FALSE)),"")</f>
        <v>0.24</v>
      </c>
      <c r="G430" s="105"/>
      <c r="H430" s="134" t="str">
        <f>IFERROR(IF($G430="","",$G430*$S$432/$G$432/Cadastro!$E$33),"")</f>
        <v/>
      </c>
      <c r="I430" s="135">
        <f>IFERROR(IF($D430="","",VLOOKUP($D430,Cadastro!$C$4:$G$7,5,FALSE)),"")</f>
        <v>0.6</v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/>
      <c r="F431" s="137">
        <f>IFERROR(IF($D431="","",VLOOKUP($D431,Cadastro!$C$4:$E$7,3,FALSE)),"")</f>
        <v>0.24</v>
      </c>
      <c r="G431" s="105"/>
      <c r="H431" s="137" t="str">
        <f>IFERROR(IF($G431="","",$G431*$S$432/$G$432/Cadastro!$E$33),"")</f>
        <v/>
      </c>
      <c r="I431" s="138">
        <f>IFERROR(IF($D431="","",VLOOKUP($D431,Cadastro!$C$4:$G$7,5,FALSE)),"")</f>
        <v>0.6</v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S420" sqref="S420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447.62</v>
      </c>
      <c r="I433" s="116"/>
      <c r="J433" s="125">
        <f>IFERROR(J419+J432,"")</f>
        <v>64.457279999999997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447620</v>
      </c>
      <c r="T433" s="121">
        <f>IFERROR(J433,"")</f>
        <v>64.457279999999997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S420" sqref="S420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627.40999999999985</v>
      </c>
      <c r="I433" s="116"/>
      <c r="J433" s="125">
        <f>IFERROR(J419+J432,"")</f>
        <v>90.347039999999993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627410</v>
      </c>
      <c r="T433" s="121">
        <f>IFERROR(J433,"")</f>
        <v>90.347039999999993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2026-08-16T23:47:25Z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