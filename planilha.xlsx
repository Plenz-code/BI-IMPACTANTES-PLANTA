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67" documentId="8_{C51EB6CB-002B-4D6B-B68F-DDEBDB4460C0}" xr6:coauthVersionLast="47" xr6:coauthVersionMax="47" xr10:uidLastSave="{0D28D0AD-C4BF-4171-B4F7-AE8BA77F0850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<sst xmlns="http://schemas.openxmlformats.org/spreadsheetml/2006/main" count="1313" uniqueCount="237">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</sst>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E23" sqref="E2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/>
      <c r="F15" s="27"/>
      <c r="G15" s="34" t="str">
        <f t="shared" ref="G15:G26" si="3">IF(F15="","",IF(E15="PC 17",F15*4.2,IF(E15="PC 19",F15*5,IF(E15="CB",F15*35,""))))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196</v>
      </c>
      <c r="G28" s="40">
        <f>G14+G27</f>
        <v>980</v>
      </c>
      <c r="H28" s="41"/>
      <c r="I28" s="41"/>
      <c r="J28" s="41"/>
      <c r="K28" s="41"/>
      <c r="L28" s="41"/>
      <c r="M28" s="42">
        <f ca="1">IFERROR(M14+M27,"")</f>
        <v>6.597222222222221E-2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" activePane="bottomLeft" state="frozen"/>
      <selection pane="bottomLeft" activeCell="D15" sqref="D15:D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/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112</v>
      </c>
      <c r="G28" s="40">
        <f>G14+G27</f>
        <v>470.40000000000003</v>
      </c>
      <c r="H28" s="41"/>
      <c r="I28" s="41"/>
      <c r="J28" s="41"/>
      <c r="K28" s="41"/>
      <c r="L28" s="41"/>
      <c r="M28" s="42">
        <f ca="1">IFERROR(M14+M27,"")</f>
        <v>0.20069444444444434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C15" sqref="C15:C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ca="1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81</v>
      </c>
      <c r="G28" s="40">
        <f>G14+G27</f>
        <v>340.20000000000005</v>
      </c>
      <c r="H28" s="41"/>
      <c r="I28" s="41"/>
      <c r="J28" s="41"/>
      <c r="K28" s="41"/>
      <c r="L28" s="41"/>
      <c r="M28" s="42">
        <f ca="1">IFERROR(M14+M27,"")</f>
        <v>1.3194444444444509E-2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D296:D900 D29:D294 D2:D13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" activePane="bottomLeft" state="frozen"/>
      <selection pane="bottomLeft" activeCell="E19" sqref="E1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/>
      <c r="G15" s="34" t="str">
        <f t="shared" ref="G15:G26" si="3">IF(F15="","",IF(E15="PC 17",F15*4.2,IF(E15="PC 19",F15*5,IF(E15="CB",F15*24,""))))</f>
        <v/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/>
      <c r="M15" s="35">
        <f t="shared" ref="M15:M26" ca="1" si="4">IFERROR(IF(K15="","",IF(L15="",MOD(NOW()-K15,1),IF(L15&gt;=K15,L15-K15,L15+1-K15))),"")</f>
        <v>4.9150463019032031E-3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/>
      <c r="G16" s="28" t="str">
        <f t="shared" si="3"/>
        <v/>
      </c>
      <c r="H16" s="26"/>
      <c r="I16" s="26"/>
      <c r="J16" s="26"/>
      <c r="K16" s="29"/>
      <c r="L16" s="29"/>
      <c r="M16" s="78" t="str">
        <f ca="1">IFERROR(IF(K16="","",IF(L16="",MOD(NOW()-K16,1),IF(L16&gt;=K16,L16-K16,L16+1-K16))),"")</f>
        <v/>
      </c>
      <c r="N16" s="27"/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4.9150463019032031E-3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130</v>
      </c>
      <c r="G28" s="40">
        <f>G14+G27</f>
        <v>546.00000000000011</v>
      </c>
      <c r="H28" s="41"/>
      <c r="I28" s="41"/>
      <c r="J28" s="41"/>
      <c r="K28" s="63"/>
      <c r="L28" s="63"/>
      <c r="M28" s="42">
        <f ca="1">IFERROR(M14+M27,"")</f>
        <v>4.380393519079212E-2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2026-08-01T23:10:05Z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