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92" documentId="13_ncr:1_{0A10D8D4-8450-4366-8075-B53B08E6B7EA}" xr6:coauthVersionLast="47" xr6:coauthVersionMax="47" xr10:uidLastSave="{2430A3BD-8A1C-49C4-81FC-949DAA337AE2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5" i="6"/>
  <c r="J425" i="6" s="1"/>
  <c r="H426" i="6"/>
  <c r="J426" i="6" s="1"/>
  <c r="H427" i="6"/>
  <c r="J427" i="6" s="1"/>
  <c r="H428" i="6"/>
  <c r="J428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5" i="5"/>
  <c r="J425" i="5" s="1"/>
  <c r="H426" i="5"/>
  <c r="J426" i="5" s="1"/>
  <c r="H427" i="5"/>
  <c r="J427" i="5" s="1"/>
  <c r="H428" i="5"/>
  <c r="J428" i="5" s="1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5" i="4"/>
  <c r="J425" i="4" s="1"/>
  <c r="H426" i="4"/>
  <c r="J426" i="4" s="1"/>
  <c r="H427" i="4"/>
  <c r="J427" i="4" s="1"/>
  <c r="H428" i="4"/>
  <c r="J428" i="4" s="1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H424" i="6" s="1"/>
  <c r="J424" i="6" s="1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H424" i="5" s="1"/>
  <c r="J424" i="5" s="1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H424" i="4" s="1"/>
  <c r="J424" i="4" s="1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2" i="6" l="1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<sst xmlns="http://schemas.openxmlformats.org/spreadsheetml/2006/main" count="7325" uniqueCount="359">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</sst>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24" sqref="F424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95</v>
      </c>
      <c r="G432" s="36">
        <f>SUM(G420:G431)</f>
        <v>475</v>
      </c>
      <c r="H432" s="37"/>
      <c r="I432" s="37"/>
      <c r="J432" s="37"/>
      <c r="K432" s="37"/>
      <c r="L432" s="37"/>
      <c r="M432" s="38">
        <f ca="1">IFERROR(SUM(M420:M431),"")</f>
        <v>2.777777777777779E-2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305</v>
      </c>
      <c r="G433" s="40">
        <f>G419+G432</f>
        <v>1525</v>
      </c>
      <c r="H433" s="41"/>
      <c r="I433" s="41"/>
      <c r="J433" s="41"/>
      <c r="K433" s="41"/>
      <c r="L433" s="41"/>
      <c r="M433" s="42">
        <f ca="1">IFERROR(M419+M432,"")</f>
        <v>0.26041666666666669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4" activePane="bottomLeft" state="frozen"/>
      <selection pane="bottomLeft" activeCell="G425" sqref="G425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0.90620474536990514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1.045093634258794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1.1298158564810163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50.400000000000006</v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88.2</v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81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340.20000000000005</v>
      </c>
      <c r="L432" s="37"/>
      <c r="M432" s="37"/>
      <c r="N432" s="37"/>
      <c r="O432" s="37"/>
      <c r="P432" s="37"/>
      <c r="Q432" s="38">
        <f ca="1">IFERROR(SUM(Q420:Q431),"")</f>
        <v>5.2083333333333481E-2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228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957.60000000000014</v>
      </c>
      <c r="L433" s="41"/>
      <c r="M433" s="41"/>
      <c r="N433" s="41"/>
      <c r="O433" s="41"/>
      <c r="P433" s="41"/>
      <c r="Q433" s="42">
        <f ca="1">IFERROR(Q419+Q432,"")</f>
        <v>0.14305555555555571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G425" sqref="G425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319</v>
      </c>
      <c r="Q222" s="30" t="str">
        <f t="shared" ca="1" si="49"/>
        <v/>
      </c>
      <c r="R222" s="27" t="s">
        <v>320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323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324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325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0"/>
        <v>0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0"/>
        <v>0</v>
      </c>
      <c r="K423" s="34">
        <f t="shared" si="101"/>
        <v>8.4</v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0"/>
        <v>0</v>
      </c>
      <c r="K424" s="28">
        <f t="shared" si="101"/>
        <v>16.8</v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17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71.400000000000006</v>
      </c>
      <c r="L432" s="37"/>
      <c r="M432" s="37"/>
      <c r="N432" s="37"/>
      <c r="O432" s="37"/>
      <c r="P432" s="37"/>
      <c r="Q432" s="38">
        <f ca="1">IFERROR(SUM(Q420:Q431),"")</f>
        <v>7.6388888888888951E-2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138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579.6</v>
      </c>
      <c r="L433" s="41"/>
      <c r="M433" s="41"/>
      <c r="N433" s="41"/>
      <c r="O433" s="41"/>
      <c r="P433" s="41"/>
      <c r="Q433" s="42">
        <f ca="1">IFERROR(Q419+Q432,"")</f>
        <v>0.14930555555555569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95" activePane="bottomLeft" state="frozen"/>
      <selection pane="bottomLeft" activeCell="P425" sqref="P425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358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88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369.6</v>
      </c>
      <c r="L432" s="37"/>
      <c r="M432" s="37"/>
      <c r="N432" s="37"/>
      <c r="O432" s="61"/>
      <c r="P432" s="61"/>
      <c r="Q432" s="38">
        <f ca="1">IFERROR(SUM(Q420:Q431),"")</f>
        <v>6.1805555555555593E-2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230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966.00000000000011</v>
      </c>
      <c r="L433" s="41"/>
      <c r="M433" s="41"/>
      <c r="N433" s="41"/>
      <c r="O433" s="63"/>
      <c r="P433" s="63"/>
      <c r="Q433" s="42">
        <f ca="1">IFERROR(Q419+Q432,"")</f>
        <v>0.1770833333333334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2026-08-17T04:40:23Z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