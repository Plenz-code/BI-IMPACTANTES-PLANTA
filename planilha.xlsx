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6092" documentId="8_{1D11E9C4-FEA4-4128-910F-91CB6BBF9255}" xr6:coauthVersionLast="47" xr6:coauthVersionMax="47" xr10:uidLastSave="{BC27D427-C360-49C5-9B96-E306722678C8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52" i="3" l="1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F800" i="5"/>
  <c r="L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F798" i="5"/>
  <c r="E797" i="5"/>
  <c r="E811" i="5" s="1"/>
  <c r="L796" i="5"/>
  <c r="F796" i="5"/>
  <c r="L795" i="5"/>
  <c r="F795" i="5"/>
  <c r="L794" i="5"/>
  <c r="F794" i="5"/>
  <c r="L793" i="5"/>
  <c r="F793" i="5"/>
  <c r="L792" i="5"/>
  <c r="F792" i="5"/>
  <c r="L791" i="5"/>
  <c r="F791" i="5"/>
  <c r="L790" i="5"/>
  <c r="F790" i="5"/>
  <c r="L789" i="5"/>
  <c r="F789" i="5"/>
  <c r="L788" i="5"/>
  <c r="F788" i="5"/>
  <c r="L787" i="5"/>
  <c r="F787" i="5"/>
  <c r="L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F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F800" i="4"/>
  <c r="L799" i="4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798" i="4"/>
  <c r="F810" i="4" s="1"/>
  <c r="E797" i="4"/>
  <c r="E811" i="4" s="1"/>
  <c r="L796" i="4"/>
  <c r="F796" i="4"/>
  <c r="L795" i="4"/>
  <c r="F795" i="4"/>
  <c r="L794" i="4"/>
  <c r="F794" i="4"/>
  <c r="L793" i="4"/>
  <c r="F793" i="4"/>
  <c r="L792" i="4"/>
  <c r="F792" i="4"/>
  <c r="L791" i="4"/>
  <c r="F791" i="4"/>
  <c r="L790" i="4"/>
  <c r="F790" i="4"/>
  <c r="L789" i="4"/>
  <c r="F789" i="4"/>
  <c r="L788" i="4"/>
  <c r="F788" i="4"/>
  <c r="L787" i="4"/>
  <c r="F787" i="4"/>
  <c r="L786" i="4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85" i="4"/>
  <c r="F797" i="4" s="1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F801" i="3"/>
  <c r="L800" i="3"/>
  <c r="F800" i="3"/>
  <c r="L799" i="3"/>
  <c r="F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F798" i="3"/>
  <c r="E797" i="3"/>
  <c r="E811" i="3" s="1"/>
  <c r="L796" i="3"/>
  <c r="F796" i="3"/>
  <c r="L795" i="3"/>
  <c r="F795" i="3"/>
  <c r="L794" i="3"/>
  <c r="F794" i="3"/>
  <c r="L793" i="3"/>
  <c r="F793" i="3"/>
  <c r="L792" i="3"/>
  <c r="F792" i="3"/>
  <c r="L791" i="3"/>
  <c r="F791" i="3"/>
  <c r="L790" i="3"/>
  <c r="F790" i="3"/>
  <c r="L789" i="3"/>
  <c r="F789" i="3"/>
  <c r="L788" i="3"/>
  <c r="F788" i="3"/>
  <c r="L787" i="3"/>
  <c r="F787" i="3"/>
  <c r="L786" i="3"/>
  <c r="F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F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L683" i="3"/>
  <c r="F683" i="3"/>
  <c r="L682" i="3"/>
  <c r="F682" i="3"/>
  <c r="L681" i="3"/>
  <c r="F681" i="3"/>
  <c r="L680" i="3"/>
  <c r="F680" i="3"/>
  <c r="L679" i="3"/>
  <c r="F679" i="3"/>
  <c r="L678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<sst xmlns="http://schemas.openxmlformats.org/spreadsheetml/2006/main" count="7210" uniqueCount="335">
  <si>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</si>
  <si>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</si>
  <si>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</si>
  <si>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</si>
  <si>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</si>
  <si>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</si>
  <si>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</si>
  <si>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</si>
  <si>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</si>
  <si>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</si>
  <si>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</si>
  <si>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</si>
  <si>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</si>
  <si>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</si>
  <si>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</si>
  <si>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</si>
  <si>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</si>
  <si>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</si>
  <si>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</si>
  <si>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</si>
  <si>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</si>
  <si>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</si>
  <si>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</si>
  <si>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</si>
  <si>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</si>
  <si>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</si>
  <si>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</si>
  <si>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</si>
  <si>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</si>
  <si>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</si>
  <si>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</si>
  <si>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</si>
  <si>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</si>
  <si>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</si>
  <si>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</si>
  <si>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</si>
  <si>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</si>
  <si>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</si>
  <si>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</si>
  <si>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</si>
  <si>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</si>
  <si>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</si>
  <si>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</si>
  <si>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</si>
  <si>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</si>
  <si>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</si>
  <si>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</si>
  <si>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</si>
  <si>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</si>
  <si>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</si>
  <si>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</si>
  <si>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</si>
  <si>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</si>
  <si>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</si>
  <si>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</si>
  <si>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</si>
  <si>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</si>
  <si>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</si>
  <si>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</si>
  <si>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</si>
  <si>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</si>
  <si>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</si>
  <si>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</si>
  <si>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</si>
  <si>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</si>
  <si>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</si>
  <si>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</si>
  <si>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</si>
  <si>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</si>
  <si>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</si>
  <si>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</si>
  <si>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</si>
  <si>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</si>
  <si>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</si>
  <si>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</si>
  <si>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</si>
  <si>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</si>
  <si>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</si>
  <si>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</si>
  <si>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</si>
  <si>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</si>
  <si>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</si>
  <si>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</si>
  <si>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</si>
  <si>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</si>
  <si>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</si>
  <si>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</si>
  <si>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</si>
  <si>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</si>
  <si>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</si>
  <si>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</si>
  <si>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</si>
  <si>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</si>
  <si>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</si>
  <si>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</si>
  <si>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</si>
  <si>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</si>
  <si>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</si>
  <si>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</si>
  <si>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</si>
  <si>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</si>
  <si>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</si>
  <si>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</si>
  <si>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</si>
  <si>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</si>
  <si>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</si>
  <si>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</si>
  <si>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</si>
  <si>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</si>
  <si>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</si>
  <si>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</si>
  <si>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</si>
  <si>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</si>
  <si>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</si>
  <si>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</si>
  <si>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</si>
  <si>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</si>
  <si>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</si>
  <si>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</si>
  <si>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</si>
  <si>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</si>
  <si>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</si>
  <si>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</si>
  <si>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</si>
  <si>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</si>
  <si>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</si>
  <si>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</si>
  <si>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</si>
  <si>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</si>
  <si>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</si>
  <si>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</si>
  <si>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</si>
  <si>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</si>
  <si>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</si>
  <si>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</si>
  <si>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</si>
  <si>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</si>
  <si>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</si>
  <si>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</si>
  <si>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</si>
  <si>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</si>
  <si>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</si>
  <si>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</si>
  <si>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</si>
  <si>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</si>
  <si>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</si>
  <si>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</si>
  <si>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</si>
  <si>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</si>
  <si>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</si>
  <si>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</si>
  <si>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</si>
  <si>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</si>
  <si>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</si>
  <si>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</si>
  <si>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</si>
  <si>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</si>
  <si>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</si>
  <si>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</si>
  <si>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</si>
  <si>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</si>
  <si>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</si>
  <si>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</si>
  <si>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Arrebentou acoplamento do bola 01</t>
  </si>
  <si>
    <t>reapertar bucha do rolamento</t>
  </si>
  <si>
    <t>troca do bico do ciclone</t>
  </si>
  <si>
    <t>faze um servico de solda na tampa do britado</t>
  </si>
  <si>
    <t>fazendo um servico de solda no cavalete da tc02</t>
  </si>
  <si>
    <t>emenda da tc 03</t>
  </si>
  <si>
    <t>reforço de solda nas orelhas dos martelos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</si>
  <si>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</si>
  <si>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</si>
  <si>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</si>
  <si>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</si>
  <si>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</si>
  <si>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</si>
  <si>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</si>
  <si>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</si>
  <si>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</si>
  <si>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</si>
  <si>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</si>
  <si>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</si>
  <si>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</si>
  <si>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</si>
  <si>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</si>
  <si>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</si>
  <si>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</si>
  <si>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</si>
  <si>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</si>
  <si>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</si>
  <si>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</si>
  <si>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</si>
  <si>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</si>
  <si>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</si>
  <si>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</si>
  <si>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</si>
  <si>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</si>
  <si>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</si>
  <si>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</si>
  <si>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</si>
  <si>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</si>
  <si>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</si>
  <si>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</si>
  <si>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</si>
  <si>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</si>
  <si>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</si>
  <si>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</si>
  <si>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</si>
  <si>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</si>
  <si>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</si>
  <si>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</si>
  <si>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</si>
  <si>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</si>
  <si>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</si>
  <si>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serviico de solda na flange que escapou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</si>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</sst>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2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7" activePane="bottomLeft" state="frozen"/>
      <selection pane="bottomLeft" activeCell="M9" sqref="M9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0</v>
      </c>
      <c r="D28" s="49">
        <f>IFERROR('Linha 1'!N676,"")</f>
        <v>0</v>
      </c>
      <c r="E28" s="49">
        <f>IFERROR('Linha 2'!N676,"")</f>
        <v>0</v>
      </c>
      <c r="F28" s="49">
        <f>IFERROR('Linha 3'!N676,"")</f>
        <v>0</v>
      </c>
      <c r="G28" s="50">
        <f t="shared" si="0"/>
        <v>0</v>
      </c>
    </row>
    <row r="29" spans="1:7" ht="15.75" customHeight="1">
      <c r="A29" s="51">
        <v>26</v>
      </c>
      <c r="B29" s="52">
        <v>46199</v>
      </c>
      <c r="C29" s="53">
        <f>IFERROR(Britador!N703,"")</f>
        <v>0</v>
      </c>
      <c r="D29" s="53">
        <f>IFERROR('Linha 1'!N703,"")</f>
        <v>0</v>
      </c>
      <c r="E29" s="53">
        <f>IFERROR('Linha 2'!N703,"")</f>
        <v>0</v>
      </c>
      <c r="F29" s="53">
        <f>IFERROR('Linha 3'!N703,"")</f>
        <v>0</v>
      </c>
      <c r="G29" s="54">
        <f t="shared" si="0"/>
        <v>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39474560</v>
      </c>
      <c r="D34" s="55">
        <f t="shared" si="1"/>
        <v>20393400</v>
      </c>
      <c r="E34" s="55">
        <f t="shared" si="1"/>
        <v>7797270</v>
      </c>
      <c r="F34" s="55">
        <f t="shared" si="1"/>
        <v>22648965</v>
      </c>
      <c r="G34" s="55">
        <f t="shared" si="1"/>
        <v>50839635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G1" zoomScale="85" zoomScaleNormal="85" workbookViewId="0">
      <selection activeCell="M41" sqref="M4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36" customWidth="1"/>
    <col min="11" max="11" width="37.710937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/>
      <c r="J12" s="3" t="s">
        <v>76</v>
      </c>
      <c r="K12" s="3" t="s">
        <v>61</v>
      </c>
      <c r="L12" s="3" t="s">
        <v>77</v>
      </c>
      <c r="M12" s="3" t="s">
        <v>78</v>
      </c>
    </row>
    <row r="13" spans="1:13" ht="15.75" customHeight="1">
      <c r="A13" s="4"/>
      <c r="C13" s="4"/>
      <c r="E13" s="4"/>
      <c r="G13" s="4" t="s">
        <v>79</v>
      </c>
      <c r="H13" s="96"/>
      <c r="I13" s="4"/>
      <c r="J13" s="4" t="s">
        <v>80</v>
      </c>
      <c r="K13" s="4" t="s">
        <v>81</v>
      </c>
      <c r="L13" s="4" t="s">
        <v>82</v>
      </c>
      <c r="M13" s="4" t="s">
        <v>83</v>
      </c>
    </row>
    <row r="14" spans="1:13" ht="15.75" customHeight="1">
      <c r="A14" s="3"/>
      <c r="C14" s="3"/>
      <c r="E14" s="3"/>
      <c r="G14" s="3" t="s">
        <v>84</v>
      </c>
      <c r="H14" s="96"/>
      <c r="I14" s="3"/>
      <c r="J14" s="3" t="s">
        <v>85</v>
      </c>
      <c r="K14" s="3" t="s">
        <v>86</v>
      </c>
      <c r="L14" s="3" t="s">
        <v>87</v>
      </c>
      <c r="M14" s="3" t="s">
        <v>88</v>
      </c>
    </row>
    <row r="15" spans="1:13" ht="15.75" customHeight="1">
      <c r="A15" s="4"/>
      <c r="C15" s="4"/>
      <c r="E15" s="4"/>
      <c r="G15" s="4" t="s">
        <v>89</v>
      </c>
      <c r="H15" s="96"/>
      <c r="I15" s="4"/>
      <c r="J15" s="4"/>
      <c r="K15" s="4" t="s">
        <v>90</v>
      </c>
      <c r="L15" s="4" t="s">
        <v>91</v>
      </c>
      <c r="M15" s="4" t="s">
        <v>92</v>
      </c>
    </row>
    <row r="16" spans="1:13" ht="15.75" customHeight="1">
      <c r="A16" s="3"/>
      <c r="C16" s="3"/>
      <c r="E16" s="3"/>
      <c r="G16" s="3" t="s">
        <v>93</v>
      </c>
      <c r="H16" s="96"/>
      <c r="I16" s="3"/>
      <c r="J16" s="3"/>
      <c r="K16" s="3" t="s">
        <v>94</v>
      </c>
      <c r="L16" s="3" t="s">
        <v>95</v>
      </c>
      <c r="M16" s="3" t="s">
        <v>96</v>
      </c>
    </row>
    <row r="17" spans="1:13" ht="15.75" customHeight="1">
      <c r="A17" s="4"/>
      <c r="C17" s="4"/>
      <c r="E17" s="4"/>
      <c r="G17" s="4" t="s">
        <v>97</v>
      </c>
      <c r="H17" s="96"/>
      <c r="I17" s="4"/>
      <c r="J17" s="4"/>
      <c r="K17" s="4" t="s">
        <v>98</v>
      </c>
      <c r="L17" s="4" t="s">
        <v>99</v>
      </c>
      <c r="M17" s="4" t="s">
        <v>100</v>
      </c>
    </row>
    <row r="18" spans="1:13" ht="15.75" customHeight="1">
      <c r="A18" s="3"/>
      <c r="C18" s="3"/>
      <c r="E18" s="3"/>
      <c r="G18" s="3" t="s">
        <v>101</v>
      </c>
      <c r="H18" s="96"/>
      <c r="I18" s="3"/>
      <c r="J18" s="3"/>
      <c r="K18" s="3" t="s">
        <v>102</v>
      </c>
      <c r="L18" s="3" t="s">
        <v>103</v>
      </c>
      <c r="M18" s="3" t="s">
        <v>104</v>
      </c>
    </row>
    <row r="19" spans="1:13" ht="15.75" customHeight="1">
      <c r="A19" s="4"/>
      <c r="C19" s="4"/>
      <c r="E19" s="4"/>
      <c r="G19" s="4" t="s">
        <v>105</v>
      </c>
      <c r="H19" s="96"/>
      <c r="I19" s="4"/>
      <c r="J19" s="4"/>
      <c r="K19" s="4" t="s">
        <v>106</v>
      </c>
      <c r="L19" s="4"/>
      <c r="M19" s="4" t="s">
        <v>107</v>
      </c>
    </row>
    <row r="20" spans="1:13" ht="15.75" customHeight="1">
      <c r="A20" s="3"/>
      <c r="C20" s="3"/>
      <c r="E20" s="3"/>
      <c r="G20" s="3" t="s">
        <v>108</v>
      </c>
      <c r="H20" s="96"/>
      <c r="I20" s="3"/>
      <c r="J20" s="3"/>
      <c r="K20" s="3" t="s">
        <v>109</v>
      </c>
      <c r="L20" s="3"/>
      <c r="M20" s="3" t="s">
        <v>110</v>
      </c>
    </row>
    <row r="21" spans="1:13" ht="15.75" customHeight="1">
      <c r="A21" s="4"/>
      <c r="C21" s="4"/>
      <c r="E21" s="4"/>
      <c r="G21" s="4" t="s">
        <v>111</v>
      </c>
      <c r="H21" s="96"/>
      <c r="I21" s="4"/>
      <c r="J21" s="4"/>
      <c r="K21" s="4" t="s">
        <v>112</v>
      </c>
      <c r="L21" s="4"/>
      <c r="M21" s="4" t="s">
        <v>113</v>
      </c>
    </row>
    <row r="22" spans="1:13" ht="15.75" customHeight="1">
      <c r="A22" s="3"/>
      <c r="C22" s="3"/>
      <c r="E22" s="3"/>
      <c r="G22" s="3" t="s">
        <v>114</v>
      </c>
      <c r="H22" s="96"/>
      <c r="I22" s="3"/>
      <c r="J22" s="3"/>
      <c r="K22" s="3" t="s">
        <v>115</v>
      </c>
      <c r="L22" s="3"/>
      <c r="M22" s="3" t="s">
        <v>116</v>
      </c>
    </row>
    <row r="23" spans="1:13" ht="15.75" customHeight="1">
      <c r="A23" s="4"/>
      <c r="C23" s="4"/>
      <c r="E23" s="4"/>
      <c r="G23" s="4" t="s">
        <v>117</v>
      </c>
      <c r="H23" s="96"/>
      <c r="I23" s="4"/>
      <c r="J23" s="4"/>
      <c r="K23" s="4" t="s">
        <v>118</v>
      </c>
      <c r="L23" s="4"/>
      <c r="M23" s="4" t="s">
        <v>119</v>
      </c>
    </row>
    <row r="24" spans="1:13" ht="15.75" customHeight="1">
      <c r="A24" s="3"/>
      <c r="C24" s="3"/>
      <c r="E24" s="3"/>
      <c r="G24" s="3" t="s">
        <v>120</v>
      </c>
      <c r="H24" s="96"/>
      <c r="I24" s="3"/>
      <c r="J24" s="3"/>
      <c r="K24" s="3" t="s">
        <v>121</v>
      </c>
      <c r="L24" s="3"/>
      <c r="M24" s="3" t="s">
        <v>122</v>
      </c>
    </row>
    <row r="25" spans="1:13" ht="15.75" customHeight="1">
      <c r="A25" s="4"/>
      <c r="C25" s="4"/>
      <c r="E25" s="4"/>
      <c r="G25" s="4" t="s">
        <v>123</v>
      </c>
      <c r="H25" s="96"/>
      <c r="I25" s="4"/>
      <c r="J25" s="4"/>
      <c r="K25" s="4" t="s">
        <v>124</v>
      </c>
      <c r="L25" s="4"/>
      <c r="M25" s="4" t="s">
        <v>125</v>
      </c>
    </row>
    <row r="26" spans="1:13" ht="15.75" customHeight="1">
      <c r="A26" s="3"/>
      <c r="C26" s="3"/>
      <c r="E26" s="3"/>
      <c r="G26" s="3" t="s">
        <v>126</v>
      </c>
      <c r="H26" s="96"/>
      <c r="I26" s="3"/>
      <c r="J26" s="3"/>
      <c r="K26" s="3" t="s">
        <v>127</v>
      </c>
      <c r="L26" s="3"/>
      <c r="M26" s="3"/>
    </row>
    <row r="27" spans="1:13" ht="15.75" customHeight="1">
      <c r="A27" s="4"/>
      <c r="C27" s="4"/>
      <c r="E27" s="4"/>
      <c r="G27" s="4" t="s">
        <v>128</v>
      </c>
      <c r="H27" s="96"/>
      <c r="I27" s="4"/>
      <c r="J27" s="4"/>
      <c r="K27" s="4" t="s">
        <v>119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129</v>
      </c>
      <c r="H28" s="96"/>
      <c r="I28" s="3"/>
      <c r="J28" s="3"/>
      <c r="K28" s="3" t="s">
        <v>122</v>
      </c>
      <c r="L28" s="3"/>
      <c r="M28" s="3" t="s">
        <v>130</v>
      </c>
    </row>
    <row r="29" spans="1:13" ht="15.75" customHeight="1">
      <c r="A29" s="4"/>
      <c r="C29" s="4"/>
      <c r="E29" s="4"/>
      <c r="G29" s="4" t="s">
        <v>131</v>
      </c>
      <c r="H29" s="96"/>
      <c r="I29" s="4"/>
      <c r="J29" s="4"/>
      <c r="K29" s="4" t="s">
        <v>132</v>
      </c>
      <c r="L29" s="4"/>
      <c r="M29" s="4" t="s">
        <v>133</v>
      </c>
    </row>
    <row r="30" spans="1:13" ht="15.75" customHeight="1">
      <c r="A30" s="3"/>
      <c r="C30" s="3"/>
      <c r="E30" s="3"/>
      <c r="G30" s="3" t="s">
        <v>134</v>
      </c>
      <c r="H30" s="96"/>
      <c r="I30" s="3"/>
      <c r="J30" s="3"/>
      <c r="K30" s="3" t="s">
        <v>135</v>
      </c>
      <c r="L30" s="3"/>
      <c r="M30" s="3" t="s">
        <v>136</v>
      </c>
    </row>
    <row r="31" spans="1:13" ht="15.75" customHeight="1">
      <c r="A31" s="4"/>
      <c r="C31" s="4"/>
      <c r="E31" s="4"/>
      <c r="G31" s="4" t="s">
        <v>137</v>
      </c>
      <c r="H31" s="96"/>
      <c r="I31" s="4"/>
      <c r="J31" s="4"/>
      <c r="K31" s="5" t="s">
        <v>138</v>
      </c>
      <c r="L31" s="4"/>
      <c r="M31" s="4" t="s">
        <v>139</v>
      </c>
    </row>
    <row r="32" spans="1:13" ht="15.75" customHeight="1">
      <c r="A32" s="3"/>
      <c r="C32" s="3"/>
      <c r="E32" s="3"/>
      <c r="G32" s="3" t="s">
        <v>140</v>
      </c>
      <c r="H32" s="96"/>
      <c r="I32" s="3"/>
      <c r="J32" s="3"/>
      <c r="K32" s="3" t="s">
        <v>141</v>
      </c>
      <c r="L32" s="3"/>
      <c r="M32" t="s">
        <v>142</v>
      </c>
    </row>
    <row r="33" spans="1:13" ht="15.75" customHeight="1">
      <c r="A33" s="4"/>
      <c r="C33" s="4"/>
      <c r="E33" s="4"/>
      <c r="G33" s="4" t="s">
        <v>143</v>
      </c>
      <c r="H33" s="96"/>
      <c r="I33" s="4"/>
      <c r="J33" s="4"/>
      <c r="K33" s="66" t="s">
        <v>144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145</v>
      </c>
      <c r="H34" s="96"/>
      <c r="I34" s="3"/>
      <c r="J34" s="3"/>
      <c r="K34" s="3" t="s">
        <v>78</v>
      </c>
      <c r="L34" s="3"/>
      <c r="M34" s="3" t="s">
        <v>146</v>
      </c>
    </row>
    <row r="35" spans="1:13" ht="15.75" customHeight="1">
      <c r="A35" s="4"/>
      <c r="C35" s="4"/>
      <c r="E35" s="4"/>
      <c r="G35" s="4" t="s">
        <v>147</v>
      </c>
      <c r="H35" s="96"/>
      <c r="I35" s="4"/>
      <c r="J35" s="4"/>
      <c r="K35" s="4" t="s">
        <v>148</v>
      </c>
      <c r="L35" s="4"/>
      <c r="M35" s="4" t="s">
        <v>149</v>
      </c>
    </row>
    <row r="36" spans="1:13" ht="15.75" customHeight="1">
      <c r="A36" s="3"/>
      <c r="C36" s="3"/>
      <c r="E36" s="3"/>
      <c r="G36" s="3" t="s">
        <v>150</v>
      </c>
      <c r="H36" s="96"/>
      <c r="I36" s="3"/>
      <c r="J36" s="3"/>
      <c r="K36" s="3" t="s">
        <v>151</v>
      </c>
      <c r="L36" s="3"/>
      <c r="M36" s="3" t="s">
        <v>152</v>
      </c>
    </row>
    <row r="37" spans="1:13" ht="15.75" customHeight="1">
      <c r="A37" s="4"/>
      <c r="C37" s="4"/>
      <c r="E37" s="4"/>
      <c r="G37" s="4" t="s">
        <v>153</v>
      </c>
      <c r="H37" s="96"/>
      <c r="I37" s="4"/>
      <c r="J37" s="4"/>
      <c r="K37" s="4" t="s">
        <v>154</v>
      </c>
      <c r="L37" s="4"/>
      <c r="M37" s="4" t="s">
        <v>155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156</v>
      </c>
      <c r="L38" s="3"/>
      <c r="M38" s="3" t="s">
        <v>157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158</v>
      </c>
      <c r="L39" s="4"/>
      <c r="M39" s="4" t="s">
        <v>159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160</v>
      </c>
      <c r="L40" s="3"/>
      <c r="M40" s="3" t="s">
        <v>161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162</v>
      </c>
      <c r="L41" s="4"/>
      <c r="M41" s="4"/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163</v>
      </c>
      <c r="L42" s="3"/>
      <c r="M42" s="3"/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164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165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 t="s">
        <v>166</v>
      </c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167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168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169</v>
      </c>
      <c r="L48" s="3"/>
      <c r="M48" s="3"/>
    </row>
    <row r="49" spans="1:13" ht="18" customHeight="1">
      <c r="H49" s="96"/>
      <c r="I49" s="4"/>
      <c r="J49" s="4"/>
      <c r="K49" s="4"/>
      <c r="L49" s="4"/>
      <c r="M49" s="4"/>
    </row>
    <row r="50" spans="1:13" ht="21" customHeight="1">
      <c r="A50" s="6" t="s">
        <v>170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40" activePane="bottomLeft" state="frozen"/>
      <selection pane="bottomLeft" activeCell="E657" sqref="E65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171</v>
      </c>
      <c r="C1" s="8" t="s">
        <v>12</v>
      </c>
      <c r="D1" s="8" t="s">
        <v>13</v>
      </c>
      <c r="E1" s="8" t="s">
        <v>172</v>
      </c>
      <c r="F1" s="8" t="s">
        <v>173</v>
      </c>
      <c r="G1" s="8" t="s">
        <v>14</v>
      </c>
      <c r="H1" s="8" t="s">
        <v>15</v>
      </c>
      <c r="I1" s="8" t="s">
        <v>174</v>
      </c>
      <c r="J1" s="8" t="s">
        <v>175</v>
      </c>
      <c r="K1" s="8" t="s">
        <v>176</v>
      </c>
      <c r="L1" s="69" t="s">
        <v>177</v>
      </c>
      <c r="M1" s="8" t="s">
        <v>178</v>
      </c>
      <c r="N1" s="8" t="s">
        <v>179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181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116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116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116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116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116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116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116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116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116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116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116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116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183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182</v>
      </c>
      <c r="N27" s="20">
        <v>0</v>
      </c>
    </row>
    <row r="28" spans="1:14" ht="18" customHeight="1">
      <c r="A28" s="91" t="s">
        <v>184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134</v>
      </c>
      <c r="I37" s="16" t="s">
        <v>186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181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183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182</v>
      </c>
      <c r="N54" s="20">
        <v>125660</v>
      </c>
    </row>
    <row r="55" spans="1:14" ht="18" customHeight="1">
      <c r="A55" s="91" t="s">
        <v>184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181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183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182</v>
      </c>
      <c r="N81" s="20">
        <v>580300</v>
      </c>
    </row>
    <row r="82" spans="1:14" ht="18" customHeight="1">
      <c r="A82" s="91" t="s">
        <v>184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181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187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134</v>
      </c>
      <c r="I104" s="10" t="s">
        <v>186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183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182</v>
      </c>
      <c r="N108" s="20">
        <v>652520</v>
      </c>
    </row>
    <row r="109" spans="1:14" ht="18" customHeight="1">
      <c r="A109" s="91" t="s">
        <v>184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188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181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183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182</v>
      </c>
      <c r="N135" s="20">
        <v>909050</v>
      </c>
    </row>
    <row r="136" spans="1:14" ht="18" customHeight="1">
      <c r="A136" s="91" t="s">
        <v>184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181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134</v>
      </c>
      <c r="I150" s="10" t="s">
        <v>122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183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182</v>
      </c>
      <c r="N162" s="27">
        <v>1048880</v>
      </c>
    </row>
    <row r="163" spans="1:14" ht="18" customHeight="1">
      <c r="A163" s="91" t="s">
        <v>184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188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134</v>
      </c>
      <c r="I165" s="16" t="s">
        <v>122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189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181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183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182</v>
      </c>
      <c r="N189" s="20">
        <v>797540</v>
      </c>
    </row>
    <row r="190" spans="1:14" ht="18" customHeight="1">
      <c r="A190" s="91" t="s">
        <v>184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188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134</v>
      </c>
      <c r="I192" s="10" t="s">
        <v>122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181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183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182</v>
      </c>
      <c r="N216" s="28">
        <v>203080</v>
      </c>
    </row>
    <row r="217" spans="1:14" ht="18" customHeight="1">
      <c r="A217" s="91" t="s">
        <v>184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181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141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183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182</v>
      </c>
      <c r="N243" s="20">
        <v>0</v>
      </c>
    </row>
    <row r="244" spans="1:14" ht="18" customHeight="1">
      <c r="A244" s="91" t="s">
        <v>184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141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144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147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181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183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182</v>
      </c>
      <c r="N270" s="20">
        <f>346400+269080</f>
        <v>615480</v>
      </c>
    </row>
    <row r="271" spans="1:14" ht="18" customHeight="1">
      <c r="A271" s="91" t="s">
        <v>184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125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181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102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183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182</v>
      </c>
      <c r="N297" s="20">
        <f>35160+383610</f>
        <v>418770</v>
      </c>
    </row>
    <row r="298" spans="1:14" ht="18" customHeight="1">
      <c r="A298" s="91" t="s">
        <v>184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118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181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183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182</v>
      </c>
      <c r="N324" s="20">
        <f>411220+466620</f>
        <v>877840</v>
      </c>
    </row>
    <row r="325" spans="1:14" ht="18" customHeight="1">
      <c r="A325" s="91" t="s">
        <v>184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181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183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182</v>
      </c>
      <c r="N351" s="20"/>
    </row>
    <row r="352" spans="1:14" ht="18" customHeight="1">
      <c r="A352" s="91" t="s">
        <v>184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134</v>
      </c>
      <c r="I353" s="16" t="s">
        <v>118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181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113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196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122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197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183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182</v>
      </c>
      <c r="N378" s="20">
        <v>1299920</v>
      </c>
    </row>
    <row r="379" spans="1:14" ht="18" customHeight="1">
      <c r="A379" s="91" t="s">
        <v>184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130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118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181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133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133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183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182</v>
      </c>
      <c r="N405" s="20">
        <v>1342790</v>
      </c>
    </row>
    <row r="406" spans="1:14" ht="18" customHeight="1">
      <c r="A406" s="91" t="s">
        <v>184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136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122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198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181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133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133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199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183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182</v>
      </c>
      <c r="N432" s="20">
        <v>963120</v>
      </c>
    </row>
    <row r="433" spans="1:14" ht="18" customHeight="1">
      <c r="A433" s="91" t="s">
        <v>184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87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133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133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183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182</v>
      </c>
      <c r="N459" s="20">
        <v>534910</v>
      </c>
    </row>
    <row r="460" spans="1:14" ht="18" customHeight="1">
      <c r="A460" s="91" t="s">
        <v>184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130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181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183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182</v>
      </c>
      <c r="N486" s="20">
        <v>557170</v>
      </c>
    </row>
    <row r="487" spans="1:14" ht="18" customHeight="1">
      <c r="A487" s="91" t="s">
        <v>184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118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181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118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183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182</v>
      </c>
      <c r="N513" s="20">
        <v>701090</v>
      </c>
    </row>
    <row r="514" spans="1:14" ht="18" customHeight="1">
      <c r="A514" s="91" t="s">
        <v>184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85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181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183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182</v>
      </c>
      <c r="N540" s="20">
        <v>915770</v>
      </c>
    </row>
    <row r="541" spans="1:14" ht="18" customHeight="1">
      <c r="A541" s="91" t="s">
        <v>184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206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207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181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149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183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182</v>
      </c>
      <c r="N567" s="20">
        <v>636740</v>
      </c>
    </row>
    <row r="568" spans="1:14" ht="18" customHeight="1">
      <c r="A568" s="91" t="s">
        <v>184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149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208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96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209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181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133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122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183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182</v>
      </c>
      <c r="N594" s="20">
        <v>394820</v>
      </c>
    </row>
    <row r="595" spans="1:14" ht="18" customHeight="1">
      <c r="A595" s="91" t="s">
        <v>184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99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122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122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154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181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166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167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118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183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182</v>
      </c>
      <c r="N621" s="20">
        <v>587370</v>
      </c>
    </row>
    <row r="622" spans="1:14" ht="18" customHeight="1">
      <c r="A622" s="91" t="s">
        <v>184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168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161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144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181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118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118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154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183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182</v>
      </c>
      <c r="N648" s="20">
        <v>635110</v>
      </c>
    </row>
    <row r="649" spans="1:14" ht="18" customHeight="1">
      <c r="A649" s="91" t="s">
        <v>184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22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122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0"/>
      <c r="H652" s="10"/>
      <c r="I652" s="10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/>
      <c r="F657" s="17" t="str">
        <f t="shared" si="147"/>
        <v/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/>
      <c r="F658" s="12" t="str">
        <f t="shared" si="147"/>
        <v/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/>
      <c r="F659" s="17" t="str">
        <f t="shared" si="147"/>
        <v/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/>
      <c r="F660" s="12" t="str">
        <f t="shared" si="147"/>
        <v/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/>
      <c r="F661" s="17" t="str">
        <f t="shared" si="147"/>
        <v/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181</v>
      </c>
      <c r="B662" s="98"/>
      <c r="C662" s="98"/>
      <c r="D662" s="98"/>
      <c r="E662" s="19">
        <f>SUM(E650:E661)</f>
        <v>167</v>
      </c>
      <c r="F662" s="19">
        <f>SUM(F650:F661)</f>
        <v>835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182</v>
      </c>
      <c r="N662" s="20"/>
    </row>
    <row r="663" spans="1:14" ht="15" customHeight="1">
      <c r="A663" s="59">
        <v>46198</v>
      </c>
      <c r="B663" s="15">
        <v>0.83333333333333304</v>
      </c>
      <c r="C663" s="16"/>
      <c r="D663" s="16"/>
      <c r="E663" s="11"/>
      <c r="F663" s="17" t="str">
        <f t="shared" ref="F663:F674" si="150">IF(E663="","",E663*5)</f>
        <v/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0"/>
      <c r="D664" s="10"/>
      <c r="E664" s="11"/>
      <c r="F664" s="12" t="str">
        <f t="shared" si="150"/>
        <v/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/>
      <c r="D665" s="16"/>
      <c r="E665" s="11"/>
      <c r="F665" s="17" t="str">
        <f t="shared" si="150"/>
        <v/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0"/>
      <c r="D666" s="10"/>
      <c r="E666" s="11"/>
      <c r="F666" s="12" t="str">
        <f t="shared" si="150"/>
        <v/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/>
      <c r="D667" s="16"/>
      <c r="E667" s="11"/>
      <c r="F667" s="17" t="str">
        <f t="shared" si="150"/>
        <v/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0"/>
      <c r="D668" s="10"/>
      <c r="E668" s="11"/>
      <c r="F668" s="12" t="str">
        <f t="shared" si="150"/>
        <v/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/>
      <c r="D669" s="16"/>
      <c r="E669" s="11"/>
      <c r="F669" s="17" t="str">
        <f t="shared" si="150"/>
        <v/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0"/>
      <c r="D670" s="10"/>
      <c r="E670" s="11"/>
      <c r="F670" s="12" t="str">
        <f t="shared" si="150"/>
        <v/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/>
      <c r="D671" s="16"/>
      <c r="E671" s="11"/>
      <c r="F671" s="17" t="str">
        <f t="shared" si="150"/>
        <v/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0"/>
      <c r="D672" s="10"/>
      <c r="E672" s="11"/>
      <c r="F672" s="12" t="str">
        <f t="shared" si="150"/>
        <v/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/>
      <c r="D673" s="16"/>
      <c r="E673" s="11"/>
      <c r="F673" s="17" t="str">
        <f t="shared" si="150"/>
        <v/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0"/>
      <c r="D674" s="10"/>
      <c r="E674" s="11"/>
      <c r="F674" s="12" t="str">
        <f t="shared" si="150"/>
        <v/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183</v>
      </c>
      <c r="B675" s="98"/>
      <c r="C675" s="98"/>
      <c r="D675" s="98"/>
      <c r="E675" s="19">
        <f>SUM(E663:E674)</f>
        <v>0</v>
      </c>
      <c r="F675" s="19">
        <f>SUM(F663:F674)</f>
        <v>0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182</v>
      </c>
      <c r="N675" s="20"/>
    </row>
    <row r="676" spans="1:14" ht="18" customHeight="1">
      <c r="A676" s="91" t="s">
        <v>184</v>
      </c>
      <c r="B676" s="91"/>
      <c r="C676" s="91"/>
      <c r="D676" s="91"/>
      <c r="E676" s="22">
        <f>E662+E675</f>
        <v>167</v>
      </c>
      <c r="F676" s="22">
        <f>F662+F675</f>
        <v>835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185</v>
      </c>
      <c r="N676" s="31">
        <f>IFERROR(N662+N675,"")</f>
        <v>0</v>
      </c>
    </row>
    <row r="677" spans="1:14" ht="15" customHeight="1">
      <c r="A677" s="59">
        <v>46199</v>
      </c>
      <c r="B677" s="15">
        <v>0.33333333333333298</v>
      </c>
      <c r="C677" s="16"/>
      <c r="D677" s="16"/>
      <c r="E677" s="11"/>
      <c r="F677" s="17" t="str">
        <f t="shared" ref="F677:F688" si="153">IF(E677="","",E677*5)</f>
        <v/>
      </c>
      <c r="G677" s="16"/>
      <c r="H677" s="16"/>
      <c r="I677" s="16"/>
      <c r="J677" s="13"/>
      <c r="K677" s="13"/>
      <c r="L677" s="71" t="str">
        <f t="shared" ref="L677:L688" si="154">IFERROR(IF(K677="","",IF(K677&gt;=J677,K677-J677,K677+1-J677)),"")</f>
        <v/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0"/>
      <c r="D678" s="10"/>
      <c r="E678" s="11"/>
      <c r="F678" s="12" t="str">
        <f t="shared" si="153"/>
        <v/>
      </c>
      <c r="G678" s="10"/>
      <c r="H678" s="10"/>
      <c r="I678" s="10"/>
      <c r="J678" s="13"/>
      <c r="K678" s="13"/>
      <c r="L678" s="70" t="str">
        <f t="shared" si="154"/>
        <v/>
      </c>
      <c r="M678" s="29"/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/>
      <c r="D679" s="16"/>
      <c r="E679" s="11"/>
      <c r="F679" s="17" t="str">
        <f t="shared" si="153"/>
        <v/>
      </c>
      <c r="G679" s="16"/>
      <c r="H679" s="16"/>
      <c r="I679" s="16"/>
      <c r="J679" s="13"/>
      <c r="K679" s="13"/>
      <c r="L679" s="71" t="str">
        <f t="shared" si="154"/>
        <v/>
      </c>
      <c r="M679" s="29"/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0"/>
      <c r="D680" s="10"/>
      <c r="E680" s="11"/>
      <c r="F680" s="12" t="str">
        <f t="shared" si="153"/>
        <v/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/>
      <c r="D681" s="16"/>
      <c r="E681" s="11"/>
      <c r="F681" s="17" t="str">
        <f t="shared" si="153"/>
        <v/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0"/>
      <c r="D682" s="10"/>
      <c r="E682" s="11"/>
      <c r="F682" s="12" t="str">
        <f t="shared" si="153"/>
        <v/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/>
      <c r="D683" s="16"/>
      <c r="E683" s="11"/>
      <c r="F683" s="17" t="str">
        <f t="shared" si="153"/>
        <v/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0"/>
      <c r="D684" s="10"/>
      <c r="E684" s="11"/>
      <c r="F684" s="12" t="str">
        <f t="shared" si="153"/>
        <v/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/>
      <c r="D685" s="16"/>
      <c r="E685" s="11"/>
      <c r="F685" s="17" t="str">
        <f t="shared" si="153"/>
        <v/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0"/>
      <c r="D686" s="10"/>
      <c r="E686" s="11"/>
      <c r="F686" s="12" t="str">
        <f t="shared" si="153"/>
        <v/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/>
      <c r="D687" s="16"/>
      <c r="E687" s="11"/>
      <c r="F687" s="17" t="str">
        <f t="shared" si="153"/>
        <v/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0"/>
      <c r="D688" s="10"/>
      <c r="E688" s="11"/>
      <c r="F688" s="12" t="str">
        <f t="shared" si="153"/>
        <v/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181</v>
      </c>
      <c r="B689" s="98"/>
      <c r="C689" s="98"/>
      <c r="D689" s="98"/>
      <c r="E689" s="19">
        <f>SUM(E677:E688)</f>
        <v>0</v>
      </c>
      <c r="F689" s="19">
        <f>SUM(F677:F688)</f>
        <v>0</v>
      </c>
      <c r="G689" s="18"/>
      <c r="H689" s="18"/>
      <c r="I689" s="18"/>
      <c r="J689" s="18"/>
      <c r="K689" s="18"/>
      <c r="L689" s="72">
        <f>IFERROR(SUM(L677:L688),"")</f>
        <v>0</v>
      </c>
      <c r="M689" s="19" t="s">
        <v>182</v>
      </c>
      <c r="N689" s="20"/>
    </row>
    <row r="690" spans="1:14" ht="15" customHeight="1">
      <c r="A690" s="58">
        <v>46199</v>
      </c>
      <c r="B690" s="9">
        <v>0.83333333333333304</v>
      </c>
      <c r="C690" s="10"/>
      <c r="D690" s="10"/>
      <c r="E690" s="11"/>
      <c r="F690" s="12" t="str">
        <f t="shared" ref="F690:F701" si="156">IF(E690="","",E690*5)</f>
        <v/>
      </c>
      <c r="G690" s="10"/>
      <c r="H690" s="10"/>
      <c r="I690" s="10"/>
      <c r="J690" s="13"/>
      <c r="K690" s="13"/>
      <c r="L690" s="70" t="str">
        <f t="shared" ref="L690:L701" si="157">IFERROR(IF(K690="","",IF(K690&gt;=J690,K690-J690,K690+1-J690)),"")</f>
        <v/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6"/>
      <c r="D691" s="16"/>
      <c r="E691" s="11"/>
      <c r="F691" s="17" t="str">
        <f t="shared" si="156"/>
        <v/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/>
      <c r="D692" s="10"/>
      <c r="E692" s="11"/>
      <c r="F692" s="12" t="str">
        <f t="shared" si="156"/>
        <v/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6"/>
      <c r="D693" s="16"/>
      <c r="E693" s="11"/>
      <c r="F693" s="17" t="str">
        <f t="shared" si="156"/>
        <v/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/>
      <c r="D694" s="10"/>
      <c r="E694" s="11"/>
      <c r="F694" s="12" t="str">
        <f t="shared" si="156"/>
        <v/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6"/>
      <c r="D695" s="16"/>
      <c r="E695" s="11"/>
      <c r="F695" s="17" t="str">
        <f t="shared" si="156"/>
        <v/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/>
      <c r="D696" s="10"/>
      <c r="E696" s="11"/>
      <c r="F696" s="12" t="str">
        <f t="shared" si="156"/>
        <v/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6"/>
      <c r="D697" s="16"/>
      <c r="E697" s="11"/>
      <c r="F697" s="17" t="str">
        <f t="shared" si="156"/>
        <v/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/>
      <c r="D698" s="10"/>
      <c r="E698" s="11"/>
      <c r="F698" s="12" t="str">
        <f t="shared" si="156"/>
        <v/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6"/>
      <c r="D699" s="16"/>
      <c r="E699" s="11"/>
      <c r="F699" s="17" t="str">
        <f t="shared" si="156"/>
        <v/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/>
      <c r="D700" s="10"/>
      <c r="E700" s="11"/>
      <c r="F700" s="12" t="str">
        <f t="shared" si="156"/>
        <v/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6"/>
      <c r="D701" s="16"/>
      <c r="E701" s="11"/>
      <c r="F701" s="17" t="str">
        <f t="shared" si="156"/>
        <v/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183</v>
      </c>
      <c r="B702" s="98"/>
      <c r="C702" s="98"/>
      <c r="D702" s="98"/>
      <c r="E702" s="19">
        <f>SUM(E690:E701)</f>
        <v>0</v>
      </c>
      <c r="F702" s="19">
        <f>SUM(F690:F701)</f>
        <v>0</v>
      </c>
      <c r="G702" s="18"/>
      <c r="H702" s="18"/>
      <c r="I702" s="18"/>
      <c r="J702" s="18"/>
      <c r="K702" s="18"/>
      <c r="L702" s="72">
        <f>IFERROR(SUM(L690:L701),"")</f>
        <v>0</v>
      </c>
      <c r="M702" s="19" t="s">
        <v>182</v>
      </c>
      <c r="N702" s="20"/>
    </row>
    <row r="703" spans="1:14" ht="18" customHeight="1">
      <c r="A703" s="91" t="s">
        <v>184</v>
      </c>
      <c r="B703" s="91"/>
      <c r="C703" s="91"/>
      <c r="D703" s="91"/>
      <c r="E703" s="22">
        <f>E689+E702</f>
        <v>0</v>
      </c>
      <c r="F703" s="22">
        <f>F689+F702</f>
        <v>0</v>
      </c>
      <c r="G703" s="21"/>
      <c r="H703" s="21"/>
      <c r="I703" s="21"/>
      <c r="J703" s="21"/>
      <c r="K703" s="21"/>
      <c r="L703" s="73">
        <f>IFERROR(L689+L702,"")</f>
        <v>0</v>
      </c>
      <c r="M703" s="22" t="s">
        <v>185</v>
      </c>
      <c r="N703" s="31">
        <f>IFERROR(N689+N702,"")</f>
        <v>0</v>
      </c>
    </row>
    <row r="704" spans="1:14" ht="15" customHeight="1">
      <c r="A704" s="58">
        <v>46200</v>
      </c>
      <c r="B704" s="9">
        <v>0.33333333333333331</v>
      </c>
      <c r="C704" s="10"/>
      <c r="D704" s="10"/>
      <c r="E704" s="11"/>
      <c r="F704" s="12" t="str">
        <f t="shared" ref="F704:F715" si="159">IF(E704="","",E704*5)</f>
        <v/>
      </c>
      <c r="G704" s="10"/>
      <c r="H704" s="10"/>
      <c r="I704" s="10"/>
      <c r="J704" s="13"/>
      <c r="K704" s="13"/>
      <c r="L704" s="70" t="str">
        <f t="shared" ref="L704:L715" si="160">IFERROR(IF(K704="","",IF(K704&gt;=J704,K704-J704,K704+1-J704)),"")</f>
        <v/>
      </c>
      <c r="M704" s="29"/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6"/>
      <c r="D705" s="16"/>
      <c r="E705" s="11"/>
      <c r="F705" s="17" t="str">
        <f t="shared" si="159"/>
        <v/>
      </c>
      <c r="G705" s="16"/>
      <c r="H705" s="16"/>
      <c r="I705" s="16"/>
      <c r="J705" s="13"/>
      <c r="K705" s="13"/>
      <c r="L705" s="71" t="str">
        <f t="shared" si="160"/>
        <v/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/>
      <c r="D706" s="10"/>
      <c r="E706" s="11"/>
      <c r="F706" s="12" t="str">
        <f t="shared" si="159"/>
        <v/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6"/>
      <c r="D707" s="16"/>
      <c r="E707" s="11"/>
      <c r="F707" s="17" t="str">
        <f t="shared" si="159"/>
        <v/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/>
      <c r="D708" s="10"/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6"/>
      <c r="D709" s="16"/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/>
      <c r="D710" s="10"/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6"/>
      <c r="D711" s="16"/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/>
      <c r="D712" s="10"/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6"/>
      <c r="D713" s="16"/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/>
      <c r="D714" s="10"/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6"/>
      <c r="D715" s="16"/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181</v>
      </c>
      <c r="B716" s="98"/>
      <c r="C716" s="98"/>
      <c r="D716" s="98"/>
      <c r="E716" s="19">
        <f>SUM(E704:E715)</f>
        <v>0</v>
      </c>
      <c r="F716" s="19">
        <f>SUM(F704:F715)</f>
        <v>0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182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/>
      <c r="D719" s="16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183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182</v>
      </c>
      <c r="N729" s="20"/>
    </row>
    <row r="730" spans="1:14" ht="18" customHeight="1">
      <c r="A730" s="91" t="s">
        <v>184</v>
      </c>
      <c r="B730" s="91"/>
      <c r="C730" s="91"/>
      <c r="D730" s="91"/>
      <c r="E730" s="22">
        <f>E716+E729</f>
        <v>0</v>
      </c>
      <c r="F730" s="22">
        <f>F716+F729</f>
        <v>0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185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181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182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183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182</v>
      </c>
      <c r="N756" s="20"/>
    </row>
    <row r="757" spans="1:14" ht="18" customHeight="1">
      <c r="A757" s="91" t="s">
        <v>184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185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181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183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182</v>
      </c>
      <c r="N783" s="20"/>
    </row>
    <row r="784" spans="1:14" ht="18" customHeight="1">
      <c r="A784" s="91" t="s">
        <v>184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181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183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182</v>
      </c>
      <c r="N810" s="20"/>
    </row>
    <row r="811" spans="1:14" ht="18" customHeight="1">
      <c r="A811" s="91" t="s">
        <v>184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G2:G900 H516 H518:I518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40" activePane="bottomLeft" state="frozen"/>
      <selection pane="bottomLeft" activeCell="E656" sqref="E65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171</v>
      </c>
      <c r="C1" s="8" t="s">
        <v>12</v>
      </c>
      <c r="D1" s="8" t="s">
        <v>13</v>
      </c>
      <c r="E1" s="8" t="s">
        <v>172</v>
      </c>
      <c r="F1" s="8" t="s">
        <v>215</v>
      </c>
      <c r="G1" s="8" t="s">
        <v>14</v>
      </c>
      <c r="H1" s="8" t="s">
        <v>15</v>
      </c>
      <c r="I1" s="8" t="s">
        <v>174</v>
      </c>
      <c r="J1" s="8" t="s">
        <v>175</v>
      </c>
      <c r="K1" s="8" t="s">
        <v>176</v>
      </c>
      <c r="L1" s="69" t="s">
        <v>177</v>
      </c>
      <c r="M1" s="8" t="s">
        <v>178</v>
      </c>
      <c r="N1" s="8" t="s">
        <v>179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131</v>
      </c>
      <c r="I8" s="10" t="s">
        <v>90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119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181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118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183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182</v>
      </c>
      <c r="N27" s="20">
        <v>1035240</v>
      </c>
    </row>
    <row r="28" spans="1:14" ht="18" customHeight="1">
      <c r="A28" s="91" t="s">
        <v>184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216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181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114</v>
      </c>
      <c r="I43" s="16" t="s">
        <v>100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183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182</v>
      </c>
      <c r="N54" s="20">
        <v>871960</v>
      </c>
    </row>
    <row r="55" spans="1:14" ht="18" customHeight="1">
      <c r="A55" s="91" t="s">
        <v>184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111</v>
      </c>
      <c r="I62" s="10" t="s">
        <v>217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132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131</v>
      </c>
      <c r="I65" s="16" t="s">
        <v>106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181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131</v>
      </c>
      <c r="I70" s="10" t="s">
        <v>98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145</v>
      </c>
      <c r="I71" s="16" t="s">
        <v>218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143</v>
      </c>
      <c r="I74" s="10" t="s">
        <v>110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183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182</v>
      </c>
      <c r="N81" s="20">
        <v>482250</v>
      </c>
    </row>
    <row r="82" spans="1:14" ht="18" customHeight="1">
      <c r="A82" s="91" t="s">
        <v>184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219</v>
      </c>
      <c r="I83" s="16" t="s">
        <v>78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131</v>
      </c>
      <c r="I84" s="10" t="s">
        <v>122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145</v>
      </c>
      <c r="I85" s="16" t="s">
        <v>83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181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122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183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182</v>
      </c>
      <c r="N108" s="20">
        <v>529500</v>
      </c>
    </row>
    <row r="109" spans="1:14" ht="18" customHeight="1">
      <c r="A109" s="91" t="s">
        <v>184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181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183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182</v>
      </c>
      <c r="N135" s="20">
        <v>666150</v>
      </c>
    </row>
    <row r="136" spans="1:14" ht="18" customHeight="1">
      <c r="A136" s="91" t="s">
        <v>184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112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219</v>
      </c>
      <c r="I138" s="10" t="s">
        <v>78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222</v>
      </c>
      <c r="I139" s="16" t="s">
        <v>223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114</v>
      </c>
      <c r="I141" s="16" t="s">
        <v>104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131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181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131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183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182</v>
      </c>
      <c r="N162" s="35">
        <v>183240</v>
      </c>
    </row>
    <row r="163" spans="1:14" ht="18" customHeight="1">
      <c r="A163" s="91" t="s">
        <v>184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131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131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131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131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131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131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131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131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131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131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131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131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181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131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114</v>
      </c>
      <c r="I181" s="16" t="s">
        <v>224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114</v>
      </c>
      <c r="I182" s="10" t="s">
        <v>224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114</v>
      </c>
      <c r="I183" s="16" t="s">
        <v>224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114</v>
      </c>
      <c r="I184" s="10" t="s">
        <v>224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114</v>
      </c>
      <c r="I185" s="16" t="s">
        <v>224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114</v>
      </c>
      <c r="I186" s="10" t="s">
        <v>224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114</v>
      </c>
      <c r="I187" s="16" t="s">
        <v>224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114</v>
      </c>
      <c r="I188" s="10" t="s">
        <v>224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183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182</v>
      </c>
      <c r="N189" s="20">
        <v>0</v>
      </c>
    </row>
    <row r="190" spans="1:14" ht="18" customHeight="1">
      <c r="A190" s="91" t="s">
        <v>184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114</v>
      </c>
      <c r="I191" s="10" t="s">
        <v>224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131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131</v>
      </c>
      <c r="I193" s="10" t="s">
        <v>225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181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183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182</v>
      </c>
      <c r="N216" s="28">
        <v>525070</v>
      </c>
    </row>
    <row r="217" spans="1:14" ht="18" customHeight="1">
      <c r="A217" s="91" t="s">
        <v>184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84</v>
      </c>
      <c r="I218" s="10" t="s">
        <v>122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131</v>
      </c>
      <c r="I219" s="16" t="s">
        <v>138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226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119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181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145</v>
      </c>
      <c r="I231" s="16" t="s">
        <v>118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183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182</v>
      </c>
      <c r="N243" s="20">
        <v>244000</v>
      </c>
    </row>
    <row r="244" spans="1:14" ht="18" customHeight="1">
      <c r="A244" s="91" t="s">
        <v>184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147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227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228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181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122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229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131</v>
      </c>
      <c r="I259" s="16" t="s">
        <v>78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183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182</v>
      </c>
      <c r="N270" s="20">
        <v>8130</v>
      </c>
    </row>
    <row r="271" spans="1:14" ht="18" customHeight="1">
      <c r="A271" s="91" t="s">
        <v>184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137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131</v>
      </c>
      <c r="I273" s="16" t="s">
        <v>78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181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183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182</v>
      </c>
      <c r="N297" s="20">
        <f>229280+228660</f>
        <v>457940</v>
      </c>
    </row>
    <row r="298" spans="1:14" ht="18" customHeight="1">
      <c r="A298" s="91" t="s">
        <v>184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232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232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233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181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234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235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143</v>
      </c>
      <c r="I321" s="16" t="s">
        <v>110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236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237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183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182</v>
      </c>
      <c r="N324" s="20">
        <f>217310+197670</f>
        <v>414980</v>
      </c>
    </row>
    <row r="325" spans="1:14" ht="18" customHeight="1">
      <c r="A325" s="91" t="s">
        <v>184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108</v>
      </c>
      <c r="I327" s="16" t="s">
        <v>122</v>
      </c>
      <c r="J327" s="13">
        <v>0.5</v>
      </c>
      <c r="K327" s="13">
        <v>0.53125</v>
      </c>
      <c r="L327" s="71">
        <f t="shared" si="73"/>
        <v>3.125E-2</v>
      </c>
      <c r="M327" s="29" t="s">
        <v>238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108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239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108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181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143</v>
      </c>
      <c r="I339" s="16" t="s">
        <v>110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147</v>
      </c>
      <c r="I340" s="10" t="s">
        <v>107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183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182</v>
      </c>
      <c r="N351" s="20">
        <f>135270+304860</f>
        <v>440130</v>
      </c>
    </row>
    <row r="352" spans="1:14" ht="18" customHeight="1">
      <c r="A352" s="91" t="s">
        <v>184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242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243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143</v>
      </c>
      <c r="I356" s="10" t="s">
        <v>110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244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181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147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183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182</v>
      </c>
      <c r="N378" s="20">
        <f>291750+291000</f>
        <v>582750</v>
      </c>
    </row>
    <row r="379" spans="1:14" ht="18" customHeight="1">
      <c r="A379" s="91" t="s">
        <v>184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148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181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148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245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153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105</v>
      </c>
      <c r="I402" s="10" t="s">
        <v>33</v>
      </c>
      <c r="J402" s="13"/>
      <c r="K402" s="13"/>
      <c r="L402" s="70" t="str">
        <f t="shared" si="88"/>
        <v/>
      </c>
      <c r="M402" s="29" t="s">
        <v>246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183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182</v>
      </c>
      <c r="N405" s="20">
        <v>305810</v>
      </c>
    </row>
    <row r="406" spans="1:14" ht="18" customHeight="1">
      <c r="A406" s="91" t="s">
        <v>184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108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151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247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122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248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249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181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118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183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182</v>
      </c>
      <c r="N432" s="20">
        <v>522180</v>
      </c>
    </row>
    <row r="433" spans="1:14" ht="18" customHeight="1">
      <c r="A433" s="91" t="s">
        <v>184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252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253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109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137</v>
      </c>
      <c r="I439" s="16" t="s">
        <v>118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254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181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144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255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147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145</v>
      </c>
      <c r="I450" s="10" t="s">
        <v>78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183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182</v>
      </c>
      <c r="N459" s="20">
        <v>560220</v>
      </c>
    </row>
    <row r="460" spans="1:14" ht="18" customHeight="1">
      <c r="A460" s="91" t="s">
        <v>184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126</v>
      </c>
      <c r="I461" s="16" t="s">
        <v>78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154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111</v>
      </c>
      <c r="I465" s="16" t="s">
        <v>256</v>
      </c>
      <c r="J465" s="13">
        <v>0.70833333333333337</v>
      </c>
      <c r="K465" s="13" t="s">
        <v>257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258</v>
      </c>
      <c r="N472" s="30"/>
    </row>
    <row r="473" spans="1:14" ht="15.75" customHeight="1">
      <c r="A473" s="90" t="s">
        <v>181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147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259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111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183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182</v>
      </c>
      <c r="N486" s="20">
        <v>400000</v>
      </c>
    </row>
    <row r="487" spans="1:14" ht="18" customHeight="1">
      <c r="A487" s="91" t="s">
        <v>184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181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147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147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144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85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183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182</v>
      </c>
      <c r="N513" s="20">
        <f>1031250+71560</f>
        <v>1102810</v>
      </c>
    </row>
    <row r="514" spans="1:14" ht="18" customHeight="1">
      <c r="A514" s="91" t="s">
        <v>184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85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85</v>
      </c>
      <c r="J516" s="13"/>
      <c r="K516" s="13"/>
      <c r="L516" s="70" t="str">
        <f t="shared" si="115"/>
        <v/>
      </c>
      <c r="M516" s="29" t="s">
        <v>203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85</v>
      </c>
      <c r="J517" s="13"/>
      <c r="K517" s="13"/>
      <c r="L517" s="71" t="str">
        <f t="shared" si="115"/>
        <v/>
      </c>
      <c r="M517" s="29" t="s">
        <v>203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181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164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262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137</v>
      </c>
      <c r="I529" s="16" t="s">
        <v>122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263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91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264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123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265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79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266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84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266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145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183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182</v>
      </c>
      <c r="N540" s="20">
        <v>504470</v>
      </c>
    </row>
    <row r="541" spans="1:14" ht="18" customHeight="1">
      <c r="A541" s="91" t="s">
        <v>184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267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86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86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181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123</v>
      </c>
      <c r="I555" s="16" t="s">
        <v>86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147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183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182</v>
      </c>
      <c r="N567" s="20">
        <v>0</v>
      </c>
    </row>
    <row r="568" spans="1:14" ht="18" customHeight="1">
      <c r="A568" s="91" t="s">
        <v>184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126</v>
      </c>
      <c r="I569" s="16" t="s">
        <v>106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181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126</v>
      </c>
      <c r="I582" s="10" t="s">
        <v>106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137</v>
      </c>
      <c r="I583" s="16" t="s">
        <v>122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268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183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182</v>
      </c>
      <c r="N594" s="20">
        <v>258960</v>
      </c>
    </row>
    <row r="595" spans="1:14" ht="18" customHeight="1">
      <c r="A595" s="91" t="s">
        <v>184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165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269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144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181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147</v>
      </c>
      <c r="I609" s="16" t="s">
        <v>158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272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154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273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183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182</v>
      </c>
      <c r="N621" s="20">
        <v>687740</v>
      </c>
    </row>
    <row r="622" spans="1:14" ht="18" customHeight="1">
      <c r="A622" s="91" t="s">
        <v>184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147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274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181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147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275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158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276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158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277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183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182</v>
      </c>
      <c r="N648" s="20">
        <f>47050+58630</f>
        <v>105680</v>
      </c>
    </row>
    <row r="649" spans="1:14" ht="18" customHeight="1">
      <c r="A649" s="91" t="s">
        <v>184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131</v>
      </c>
      <c r="I650" s="16" t="s">
        <v>118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/>
      <c r="H651" s="16"/>
      <c r="I651" s="16"/>
      <c r="J651" s="13"/>
      <c r="K651" s="13"/>
      <c r="L651" s="71" t="str">
        <f t="shared" si="146"/>
        <v/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/>
      <c r="F656" s="12" t="str">
        <f t="shared" si="145"/>
        <v/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/>
      <c r="F657" s="17" t="str">
        <f t="shared" si="145"/>
        <v/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/>
      <c r="F658" s="12" t="str">
        <f t="shared" si="145"/>
        <v/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/>
      <c r="F659" s="17" t="str">
        <f t="shared" si="145"/>
        <v/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/>
      <c r="F660" s="12" t="str">
        <f t="shared" si="145"/>
        <v/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/>
      <c r="F661" s="17" t="str">
        <f t="shared" si="145"/>
        <v/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181</v>
      </c>
      <c r="B662" s="90"/>
      <c r="C662" s="90"/>
      <c r="D662" s="90"/>
      <c r="E662" s="19">
        <f>SUM(E650:E661)</f>
        <v>24</v>
      </c>
      <c r="F662" s="19">
        <f>SUM(F650:F661)</f>
        <v>96</v>
      </c>
      <c r="G662" s="18"/>
      <c r="H662" s="18"/>
      <c r="I662" s="18"/>
      <c r="J662" s="18"/>
      <c r="K662" s="18"/>
      <c r="L662" s="72">
        <f>IFERROR(SUM(L650:L661),"")</f>
        <v>4.8611111111111105E-2</v>
      </c>
      <c r="M662" s="19" t="s">
        <v>182</v>
      </c>
      <c r="N662" s="20"/>
    </row>
    <row r="663" spans="1:14" ht="15" customHeight="1">
      <c r="A663" s="59">
        <v>46198</v>
      </c>
      <c r="B663" s="15">
        <v>0.83333333333333304</v>
      </c>
      <c r="C663" s="16"/>
      <c r="D663" s="16"/>
      <c r="E663" s="11"/>
      <c r="F663" s="17" t="str">
        <f t="shared" ref="F663:F674" si="148">IF(E663="","",E663*4)</f>
        <v/>
      </c>
      <c r="G663" s="16"/>
      <c r="H663" s="16"/>
      <c r="I663" s="16"/>
      <c r="J663" s="13"/>
      <c r="K663" s="13"/>
      <c r="L663" s="71" t="str">
        <f t="shared" ref="L663:L674" si="149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0"/>
      <c r="D664" s="10"/>
      <c r="E664" s="11"/>
      <c r="F664" s="12" t="str">
        <f t="shared" si="148"/>
        <v/>
      </c>
      <c r="G664" s="10"/>
      <c r="H664" s="10"/>
      <c r="I664" s="10"/>
      <c r="J664" s="13"/>
      <c r="K664" s="13"/>
      <c r="L664" s="70" t="str">
        <f t="shared" si="149"/>
        <v/>
      </c>
      <c r="M664" s="29"/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/>
      <c r="D665" s="16"/>
      <c r="E665" s="11"/>
      <c r="F665" s="17" t="str">
        <f t="shared" si="148"/>
        <v/>
      </c>
      <c r="G665" s="16"/>
      <c r="H665" s="16"/>
      <c r="I665" s="16"/>
      <c r="J665" s="13"/>
      <c r="K665" s="13"/>
      <c r="L665" s="71" t="str">
        <f t="shared" si="149"/>
        <v/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0"/>
      <c r="D666" s="10"/>
      <c r="E666" s="11"/>
      <c r="F666" s="12" t="str">
        <f t="shared" si="148"/>
        <v/>
      </c>
      <c r="G666" s="10"/>
      <c r="H666" s="10"/>
      <c r="I666" s="10"/>
      <c r="J666" s="13"/>
      <c r="K666" s="13"/>
      <c r="L666" s="70" t="str">
        <f t="shared" si="149"/>
        <v/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/>
      <c r="D667" s="16"/>
      <c r="E667" s="11"/>
      <c r="F667" s="17" t="str">
        <f t="shared" si="148"/>
        <v/>
      </c>
      <c r="G667" s="16"/>
      <c r="H667" s="16"/>
      <c r="I667" s="16"/>
      <c r="J667" s="13"/>
      <c r="K667" s="13"/>
      <c r="L667" s="71" t="str">
        <f t="shared" si="149"/>
        <v/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0"/>
      <c r="D668" s="10"/>
      <c r="E668" s="11"/>
      <c r="F668" s="12" t="str">
        <f t="shared" si="148"/>
        <v/>
      </c>
      <c r="G668" s="10"/>
      <c r="H668" s="10"/>
      <c r="I668" s="10"/>
      <c r="J668" s="13"/>
      <c r="K668" s="13"/>
      <c r="L668" s="70" t="str">
        <f t="shared" si="149"/>
        <v/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/>
      <c r="D669" s="16"/>
      <c r="E669" s="11"/>
      <c r="F669" s="17" t="str">
        <f t="shared" si="148"/>
        <v/>
      </c>
      <c r="G669" s="16"/>
      <c r="H669" s="16"/>
      <c r="I669" s="16"/>
      <c r="J669" s="13"/>
      <c r="K669" s="13"/>
      <c r="L669" s="71" t="str">
        <f t="shared" si="149"/>
        <v/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0"/>
      <c r="D670" s="10"/>
      <c r="E670" s="11"/>
      <c r="F670" s="12" t="str">
        <f t="shared" si="148"/>
        <v/>
      </c>
      <c r="G670" s="10"/>
      <c r="H670" s="10"/>
      <c r="I670" s="10"/>
      <c r="J670" s="13"/>
      <c r="K670" s="13"/>
      <c r="L670" s="70" t="str">
        <f t="shared" si="149"/>
        <v/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/>
      <c r="D671" s="16"/>
      <c r="E671" s="11"/>
      <c r="F671" s="17" t="str">
        <f t="shared" si="148"/>
        <v/>
      </c>
      <c r="G671" s="16"/>
      <c r="H671" s="16"/>
      <c r="I671" s="16"/>
      <c r="J671" s="13"/>
      <c r="K671" s="13"/>
      <c r="L671" s="71" t="str">
        <f t="shared" si="149"/>
        <v/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0"/>
      <c r="D672" s="10"/>
      <c r="E672" s="11"/>
      <c r="F672" s="12" t="str">
        <f t="shared" si="148"/>
        <v/>
      </c>
      <c r="G672" s="10"/>
      <c r="H672" s="10"/>
      <c r="I672" s="10"/>
      <c r="J672" s="13"/>
      <c r="K672" s="13"/>
      <c r="L672" s="70" t="str">
        <f t="shared" si="149"/>
        <v/>
      </c>
      <c r="M672" s="29"/>
      <c r="N672" s="30"/>
    </row>
    <row r="673" spans="1:14" ht="15" customHeight="1">
      <c r="A673" s="59">
        <v>46198</v>
      </c>
      <c r="B673" s="15">
        <f t="shared" si="150"/>
        <v>1.25</v>
      </c>
      <c r="C673" s="16"/>
      <c r="D673" s="16"/>
      <c r="E673" s="11"/>
      <c r="F673" s="17" t="str">
        <f t="shared" si="148"/>
        <v/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0"/>
      <c r="D674" s="10"/>
      <c r="E674" s="11"/>
      <c r="F674" s="12" t="str">
        <f t="shared" si="148"/>
        <v/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183</v>
      </c>
      <c r="B675" s="90"/>
      <c r="C675" s="90"/>
      <c r="D675" s="90"/>
      <c r="E675" s="19">
        <f>SUM(E663:E674)</f>
        <v>0</v>
      </c>
      <c r="F675" s="19">
        <f>SUM(F663:F674)</f>
        <v>0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182</v>
      </c>
      <c r="N675" s="20"/>
    </row>
    <row r="676" spans="1:14" ht="18" customHeight="1">
      <c r="A676" s="91" t="s">
        <v>184</v>
      </c>
      <c r="B676" s="91"/>
      <c r="C676" s="91"/>
      <c r="D676" s="91"/>
      <c r="E676" s="22">
        <f>E662+E675</f>
        <v>24</v>
      </c>
      <c r="F676" s="22">
        <f>F662+F675</f>
        <v>96</v>
      </c>
      <c r="G676" s="21"/>
      <c r="H676" s="21"/>
      <c r="I676" s="21"/>
      <c r="J676" s="21"/>
      <c r="K676" s="21"/>
      <c r="L676" s="73">
        <f>IFERROR(L662+L675,"")</f>
        <v>4.8611111111111105E-2</v>
      </c>
      <c r="M676" s="22" t="s">
        <v>185</v>
      </c>
      <c r="N676" s="31">
        <f>IFERROR(N662+N675,"")</f>
        <v>0</v>
      </c>
    </row>
    <row r="677" spans="1:14" ht="15" customHeight="1">
      <c r="A677" s="59">
        <v>46199</v>
      </c>
      <c r="B677" s="15">
        <v>0.33333333333333298</v>
      </c>
      <c r="C677" s="16"/>
      <c r="D677" s="16"/>
      <c r="E677" s="11"/>
      <c r="F677" s="17" t="str">
        <f t="shared" ref="F677:F688" si="151">IF(E677="","",E677*4)</f>
        <v/>
      </c>
      <c r="G677" s="16"/>
      <c r="H677" s="16"/>
      <c r="I677" s="16"/>
      <c r="J677" s="13"/>
      <c r="K677" s="13"/>
      <c r="L677" s="71" t="str">
        <f t="shared" ref="L677:L688" si="152">IFERROR(IF(K677="","",IF(K677&gt;=J677,K677-J677,K677+1-J677)),"")</f>
        <v/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0"/>
      <c r="D678" s="10"/>
      <c r="E678" s="11"/>
      <c r="F678" s="12" t="str">
        <f t="shared" si="151"/>
        <v/>
      </c>
      <c r="G678" s="10"/>
      <c r="H678" s="10"/>
      <c r="I678" s="10"/>
      <c r="J678" s="13"/>
      <c r="K678" s="13"/>
      <c r="L678" s="70" t="str">
        <f t="shared" si="152"/>
        <v/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/>
      <c r="D679" s="16"/>
      <c r="E679" s="11"/>
      <c r="F679" s="17" t="str">
        <f t="shared" si="151"/>
        <v/>
      </c>
      <c r="G679" s="16"/>
      <c r="H679" s="16"/>
      <c r="I679" s="16"/>
      <c r="J679" s="13"/>
      <c r="K679" s="13"/>
      <c r="L679" s="71" t="str">
        <f t="shared" si="152"/>
        <v/>
      </c>
      <c r="M679" s="29"/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0"/>
      <c r="D680" s="10"/>
      <c r="E680" s="11"/>
      <c r="F680" s="12" t="str">
        <f t="shared" si="151"/>
        <v/>
      </c>
      <c r="G680" s="10"/>
      <c r="H680" s="10"/>
      <c r="I680" s="10"/>
      <c r="J680" s="13"/>
      <c r="K680" s="13"/>
      <c r="L680" s="70" t="str">
        <f t="shared" si="152"/>
        <v/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/>
      <c r="D681" s="16"/>
      <c r="E681" s="11"/>
      <c r="F681" s="17" t="str">
        <f t="shared" si="151"/>
        <v/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0"/>
      <c r="D682" s="10"/>
      <c r="E682" s="11"/>
      <c r="F682" s="12" t="str">
        <f t="shared" si="151"/>
        <v/>
      </c>
      <c r="G682" s="10"/>
      <c r="H682" s="10"/>
      <c r="I682" s="10"/>
      <c r="J682" s="13"/>
      <c r="K682" s="13"/>
      <c r="L682" s="70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/>
      <c r="D683" s="16"/>
      <c r="E683" s="11"/>
      <c r="F683" s="17" t="str">
        <f t="shared" si="151"/>
        <v/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0"/>
      <c r="D684" s="10"/>
      <c r="E684" s="11"/>
      <c r="F684" s="12" t="str">
        <f t="shared" si="151"/>
        <v/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/>
      <c r="D685" s="16"/>
      <c r="E685" s="11"/>
      <c r="F685" s="17" t="str">
        <f t="shared" si="151"/>
        <v/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0"/>
      <c r="D686" s="10"/>
      <c r="E686" s="11"/>
      <c r="F686" s="12" t="str">
        <f t="shared" si="151"/>
        <v/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/>
      <c r="D687" s="16"/>
      <c r="E687" s="11"/>
      <c r="F687" s="17" t="str">
        <f t="shared" si="151"/>
        <v/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0"/>
      <c r="D688" s="10"/>
      <c r="E688" s="11"/>
      <c r="F688" s="12" t="str">
        <f t="shared" si="151"/>
        <v/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181</v>
      </c>
      <c r="B689" s="90"/>
      <c r="C689" s="90"/>
      <c r="D689" s="90"/>
      <c r="E689" s="19">
        <f>SUM(E677:E688)</f>
        <v>0</v>
      </c>
      <c r="F689" s="19">
        <f>SUM(F677:F688)</f>
        <v>0</v>
      </c>
      <c r="G689" s="18"/>
      <c r="H689" s="18"/>
      <c r="I689" s="18"/>
      <c r="J689" s="18"/>
      <c r="K689" s="18"/>
      <c r="L689" s="72">
        <f>IFERROR(SUM(L677:L688),"")</f>
        <v>0</v>
      </c>
      <c r="M689" s="19" t="s">
        <v>182</v>
      </c>
      <c r="N689" s="20"/>
    </row>
    <row r="690" spans="1:14" ht="15" customHeight="1">
      <c r="A690" s="58">
        <v>46199</v>
      </c>
      <c r="B690" s="9">
        <v>0.83333333333333304</v>
      </c>
      <c r="C690" s="10"/>
      <c r="D690" s="10"/>
      <c r="E690" s="11"/>
      <c r="F690" s="12" t="str">
        <f t="shared" ref="F690:F701" si="154">IF(E690="","",E690*4)</f>
        <v/>
      </c>
      <c r="G690" s="10"/>
      <c r="H690" s="10"/>
      <c r="I690" s="10"/>
      <c r="J690" s="13"/>
      <c r="K690" s="13"/>
      <c r="L690" s="70" t="str">
        <f t="shared" ref="L690:L701" si="155">IFERROR(IF(K690="","",IF(K690&gt;=J690,K690-J690,K690+1-J690)),"")</f>
        <v/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6"/>
      <c r="D691" s="16"/>
      <c r="E691" s="11"/>
      <c r="F691" s="17" t="str">
        <f t="shared" si="154"/>
        <v/>
      </c>
      <c r="G691" s="16"/>
      <c r="H691" s="16"/>
      <c r="I691" s="16"/>
      <c r="J691" s="13"/>
      <c r="K691" s="13"/>
      <c r="L691" s="71" t="str">
        <f t="shared" si="155"/>
        <v/>
      </c>
      <c r="M691" s="29"/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/>
      <c r="D692" s="10"/>
      <c r="E692" s="11"/>
      <c r="F692" s="12" t="str">
        <f t="shared" si="154"/>
        <v/>
      </c>
      <c r="G692" s="10"/>
      <c r="H692" s="10"/>
      <c r="I692" s="10"/>
      <c r="J692" s="13"/>
      <c r="K692" s="13"/>
      <c r="L692" s="70" t="str">
        <f t="shared" si="155"/>
        <v/>
      </c>
      <c r="M692" s="29"/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6"/>
      <c r="D693" s="16"/>
      <c r="E693" s="11"/>
      <c r="F693" s="17" t="str">
        <f t="shared" si="154"/>
        <v/>
      </c>
      <c r="G693" s="16"/>
      <c r="H693" s="16"/>
      <c r="I693" s="16"/>
      <c r="J693" s="13"/>
      <c r="K693" s="13"/>
      <c r="L693" s="71" t="str">
        <f t="shared" si="155"/>
        <v/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/>
      <c r="D694" s="10"/>
      <c r="E694" s="11"/>
      <c r="F694" s="12" t="str">
        <f t="shared" si="154"/>
        <v/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6"/>
      <c r="D695" s="16"/>
      <c r="E695" s="11"/>
      <c r="F695" s="17" t="str">
        <f t="shared" si="154"/>
        <v/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/>
      <c r="D696" s="10"/>
      <c r="E696" s="11"/>
      <c r="F696" s="12" t="str">
        <f t="shared" si="154"/>
        <v/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6"/>
      <c r="D697" s="16"/>
      <c r="E697" s="11"/>
      <c r="F697" s="17" t="str">
        <f t="shared" si="154"/>
        <v/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/>
      <c r="D698" s="10"/>
      <c r="E698" s="11"/>
      <c r="F698" s="12" t="str">
        <f t="shared" si="154"/>
        <v/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6"/>
      <c r="D699" s="16"/>
      <c r="E699" s="11"/>
      <c r="F699" s="17" t="str">
        <f t="shared" si="154"/>
        <v/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/>
      <c r="D700" s="10"/>
      <c r="E700" s="11"/>
      <c r="F700" s="12" t="str">
        <f t="shared" si="154"/>
        <v/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/>
      <c r="D701" s="16"/>
      <c r="E701" s="11"/>
      <c r="F701" s="17" t="str">
        <f t="shared" si="154"/>
        <v/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183</v>
      </c>
      <c r="B702" s="90"/>
      <c r="C702" s="90"/>
      <c r="D702" s="90"/>
      <c r="E702" s="19">
        <f>SUM(E690:E701)</f>
        <v>0</v>
      </c>
      <c r="F702" s="19">
        <f>SUM(F690:F701)</f>
        <v>0</v>
      </c>
      <c r="G702" s="18"/>
      <c r="H702" s="18"/>
      <c r="I702" s="18"/>
      <c r="J702" s="18"/>
      <c r="K702" s="18"/>
      <c r="L702" s="72">
        <f>IFERROR(SUM(L690:L701),"")</f>
        <v>0</v>
      </c>
      <c r="M702" s="19" t="s">
        <v>182</v>
      </c>
      <c r="N702" s="20"/>
    </row>
    <row r="703" spans="1:14" ht="18" customHeight="1">
      <c r="A703" s="91" t="s">
        <v>184</v>
      </c>
      <c r="B703" s="91"/>
      <c r="C703" s="91"/>
      <c r="D703" s="91"/>
      <c r="E703" s="22">
        <f>E689+E702</f>
        <v>0</v>
      </c>
      <c r="F703" s="22">
        <f>F689+F702</f>
        <v>0</v>
      </c>
      <c r="G703" s="21"/>
      <c r="H703" s="21"/>
      <c r="I703" s="21"/>
      <c r="J703" s="21"/>
      <c r="K703" s="21"/>
      <c r="L703" s="73">
        <f>IFERROR(L689+L702,"")</f>
        <v>0</v>
      </c>
      <c r="M703" s="22" t="s">
        <v>185</v>
      </c>
      <c r="N703" s="31">
        <f>IFERROR(N689+N702,"")</f>
        <v>0</v>
      </c>
    </row>
    <row r="704" spans="1:14" ht="15" customHeight="1">
      <c r="A704" s="58">
        <v>46200</v>
      </c>
      <c r="B704" s="9">
        <v>0.33333333333333298</v>
      </c>
      <c r="C704" s="10"/>
      <c r="D704" s="10"/>
      <c r="E704" s="11"/>
      <c r="F704" s="12" t="str">
        <f t="shared" ref="F704:F715" si="157">IF(E704="","",E704*4)</f>
        <v/>
      </c>
      <c r="G704" s="10"/>
      <c r="H704" s="10"/>
      <c r="I704" s="10"/>
      <c r="J704" s="13"/>
      <c r="K704" s="13"/>
      <c r="L704" s="70" t="str">
        <f t="shared" ref="L704:L715" si="158">IFERROR(IF(K704="","",IF(K704&gt;=J704,K704-J704,K704+1-J704)),"")</f>
        <v/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6"/>
      <c r="D705" s="16"/>
      <c r="E705" s="11"/>
      <c r="F705" s="17" t="str">
        <f t="shared" si="157"/>
        <v/>
      </c>
      <c r="G705" s="16"/>
      <c r="H705" s="16"/>
      <c r="I705" s="16"/>
      <c r="J705" s="13"/>
      <c r="K705" s="13"/>
      <c r="L705" s="71" t="str">
        <f t="shared" si="158"/>
        <v/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/>
      <c r="D706" s="10"/>
      <c r="E706" s="11"/>
      <c r="F706" s="12" t="str">
        <f t="shared" si="157"/>
        <v/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6"/>
      <c r="D707" s="16"/>
      <c r="E707" s="11"/>
      <c r="F707" s="17" t="str">
        <f t="shared" si="157"/>
        <v/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/>
      <c r="D708" s="10"/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6"/>
      <c r="D709" s="16"/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/>
      <c r="D710" s="10"/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6"/>
      <c r="D711" s="16"/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/>
      <c r="D712" s="10"/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6"/>
      <c r="D713" s="16"/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/>
      <c r="D714" s="10"/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6"/>
      <c r="D715" s="16"/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181</v>
      </c>
      <c r="B716" s="90"/>
      <c r="C716" s="90"/>
      <c r="D716" s="90"/>
      <c r="E716" s="19">
        <f>SUM(E704:E715)</f>
        <v>0</v>
      </c>
      <c r="F716" s="19">
        <f>SUM(F704:F715)</f>
        <v>0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182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183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182</v>
      </c>
      <c r="N729" s="20"/>
    </row>
    <row r="730" spans="1:14" ht="18" customHeight="1">
      <c r="A730" s="91" t="s">
        <v>184</v>
      </c>
      <c r="B730" s="91"/>
      <c r="C730" s="91"/>
      <c r="D730" s="91"/>
      <c r="E730" s="22">
        <f>E716+E729</f>
        <v>0</v>
      </c>
      <c r="F730" s="22">
        <f>F716+F729</f>
        <v>0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185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181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182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183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182</v>
      </c>
      <c r="N756" s="20"/>
    </row>
    <row r="757" spans="1:14" ht="18" customHeight="1">
      <c r="A757" s="91" t="s">
        <v>184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185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181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183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182</v>
      </c>
      <c r="N783" s="20"/>
    </row>
    <row r="784" spans="1:14" ht="18" customHeight="1">
      <c r="A784" s="91" t="s">
        <v>184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16"/>
      <c r="D785" s="16"/>
      <c r="E785" s="11"/>
      <c r="F785" s="17" t="str">
        <f t="shared" ref="F785:F796" si="175">IF(E785="","",E785*4)</f>
        <v/>
      </c>
      <c r="G785" s="16"/>
      <c r="H785" s="16"/>
      <c r="I785" s="16"/>
      <c r="J785" s="13"/>
      <c r="K785" s="13"/>
      <c r="L785" s="71" t="str">
        <f t="shared" ref="L785:L796" si="176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7">B785+TIME(0,60,0)</f>
        <v>0.37499999999999967</v>
      </c>
      <c r="C786" s="10"/>
      <c r="D786" s="10"/>
      <c r="E786" s="11"/>
      <c r="F786" s="12" t="str">
        <f t="shared" si="175"/>
        <v/>
      </c>
      <c r="G786" s="10"/>
      <c r="H786" s="10"/>
      <c r="I786" s="10"/>
      <c r="J786" s="13"/>
      <c r="K786" s="13"/>
      <c r="L786" s="70" t="str">
        <f t="shared" si="176"/>
        <v/>
      </c>
      <c r="M786" s="29"/>
      <c r="N786" s="30"/>
    </row>
    <row r="787" spans="1:14" ht="15" customHeight="1">
      <c r="A787" s="59">
        <v>46203</v>
      </c>
      <c r="B787" s="15">
        <f t="shared" si="177"/>
        <v>0.41666666666666635</v>
      </c>
      <c r="C787" s="16"/>
      <c r="D787" s="16"/>
      <c r="E787" s="11"/>
      <c r="F787" s="17" t="str">
        <f t="shared" si="175"/>
        <v/>
      </c>
      <c r="G787" s="16"/>
      <c r="H787" s="16"/>
      <c r="I787" s="16"/>
      <c r="J787" s="13"/>
      <c r="K787" s="13"/>
      <c r="L787" s="71" t="str">
        <f t="shared" si="176"/>
        <v/>
      </c>
      <c r="M787" s="29"/>
      <c r="N787" s="30"/>
    </row>
    <row r="788" spans="1:14" ht="15" customHeight="1">
      <c r="A788" s="58">
        <v>46203</v>
      </c>
      <c r="B788" s="9">
        <f t="shared" si="177"/>
        <v>0.45833333333333304</v>
      </c>
      <c r="C788" s="10"/>
      <c r="D788" s="10"/>
      <c r="E788" s="11"/>
      <c r="F788" s="12" t="str">
        <f t="shared" si="175"/>
        <v/>
      </c>
      <c r="G788" s="10"/>
      <c r="H788" s="10"/>
      <c r="I788" s="10"/>
      <c r="J788" s="13"/>
      <c r="K788" s="13"/>
      <c r="L788" s="70" t="str">
        <f t="shared" si="176"/>
        <v/>
      </c>
      <c r="M788" s="29"/>
      <c r="N788" s="30"/>
    </row>
    <row r="789" spans="1:14" ht="15" customHeight="1">
      <c r="A789" s="59">
        <v>46203</v>
      </c>
      <c r="B789" s="15">
        <f t="shared" si="177"/>
        <v>0.49999999999999972</v>
      </c>
      <c r="C789" s="16"/>
      <c r="D789" s="16"/>
      <c r="E789" s="11"/>
      <c r="F789" s="17" t="str">
        <f t="shared" si="175"/>
        <v/>
      </c>
      <c r="G789" s="16"/>
      <c r="H789" s="16"/>
      <c r="I789" s="16"/>
      <c r="J789" s="13"/>
      <c r="K789" s="13"/>
      <c r="L789" s="71" t="str">
        <f t="shared" si="176"/>
        <v/>
      </c>
      <c r="M789" s="29"/>
      <c r="N789" s="30"/>
    </row>
    <row r="790" spans="1:14" ht="15" customHeight="1">
      <c r="A790" s="58">
        <v>46203</v>
      </c>
      <c r="B790" s="9">
        <f t="shared" si="177"/>
        <v>0.54166666666666641</v>
      </c>
      <c r="C790" s="10"/>
      <c r="D790" s="10"/>
      <c r="E790" s="11"/>
      <c r="F790" s="12" t="str">
        <f t="shared" si="175"/>
        <v/>
      </c>
      <c r="G790" s="10"/>
      <c r="H790" s="10"/>
      <c r="I790" s="10"/>
      <c r="J790" s="13"/>
      <c r="K790" s="13"/>
      <c r="L790" s="70" t="str">
        <f t="shared" si="176"/>
        <v/>
      </c>
      <c r="M790" s="29"/>
      <c r="N790" s="30"/>
    </row>
    <row r="791" spans="1:14" ht="15" customHeight="1">
      <c r="A791" s="59">
        <v>46203</v>
      </c>
      <c r="B791" s="15">
        <f t="shared" si="177"/>
        <v>0.58333333333333304</v>
      </c>
      <c r="C791" s="16"/>
      <c r="D791" s="16"/>
      <c r="E791" s="11"/>
      <c r="F791" s="17" t="str">
        <f t="shared" si="175"/>
        <v/>
      </c>
      <c r="G791" s="16"/>
      <c r="H791" s="16"/>
      <c r="I791" s="16"/>
      <c r="J791" s="13"/>
      <c r="K791" s="13"/>
      <c r="L791" s="71" t="str">
        <f t="shared" si="176"/>
        <v/>
      </c>
      <c r="M791" s="29"/>
      <c r="N791" s="30"/>
    </row>
    <row r="792" spans="1:14" ht="15" customHeight="1">
      <c r="A792" s="58">
        <v>46203</v>
      </c>
      <c r="B792" s="9">
        <f t="shared" si="177"/>
        <v>0.62499999999999967</v>
      </c>
      <c r="C792" s="10"/>
      <c r="D792" s="10"/>
      <c r="E792" s="11"/>
      <c r="F792" s="12" t="str">
        <f t="shared" si="175"/>
        <v/>
      </c>
      <c r="G792" s="10"/>
      <c r="H792" s="10"/>
      <c r="I792" s="10"/>
      <c r="J792" s="13"/>
      <c r="K792" s="13"/>
      <c r="L792" s="70" t="str">
        <f t="shared" si="176"/>
        <v/>
      </c>
      <c r="M792" s="29"/>
      <c r="N792" s="30"/>
    </row>
    <row r="793" spans="1:14" ht="15" customHeight="1">
      <c r="A793" s="59">
        <v>46203</v>
      </c>
      <c r="B793" s="15">
        <f t="shared" si="177"/>
        <v>0.6666666666666663</v>
      </c>
      <c r="C793" s="16"/>
      <c r="D793" s="16"/>
      <c r="E793" s="11"/>
      <c r="F793" s="17" t="str">
        <f t="shared" si="175"/>
        <v/>
      </c>
      <c r="G793" s="16"/>
      <c r="H793" s="16"/>
      <c r="I793" s="16"/>
      <c r="J793" s="13"/>
      <c r="K793" s="13"/>
      <c r="L793" s="71" t="str">
        <f t="shared" si="176"/>
        <v/>
      </c>
      <c r="M793" s="29"/>
      <c r="N793" s="30"/>
    </row>
    <row r="794" spans="1:14" ht="15" customHeight="1">
      <c r="A794" s="58">
        <v>46203</v>
      </c>
      <c r="B794" s="9">
        <f t="shared" si="177"/>
        <v>0.70833333333333293</v>
      </c>
      <c r="C794" s="10"/>
      <c r="D794" s="10"/>
      <c r="E794" s="11"/>
      <c r="F794" s="12" t="str">
        <f t="shared" si="175"/>
        <v/>
      </c>
      <c r="G794" s="10"/>
      <c r="H794" s="10"/>
      <c r="I794" s="10"/>
      <c r="J794" s="13"/>
      <c r="K794" s="13"/>
      <c r="L794" s="70" t="str">
        <f t="shared" si="176"/>
        <v/>
      </c>
      <c r="M794" s="29"/>
      <c r="N794" s="30"/>
    </row>
    <row r="795" spans="1:14" ht="15" customHeight="1">
      <c r="A795" s="59">
        <v>46203</v>
      </c>
      <c r="B795" s="15">
        <f t="shared" si="177"/>
        <v>0.74999999999999956</v>
      </c>
      <c r="C795" s="16"/>
      <c r="D795" s="16"/>
      <c r="E795" s="11"/>
      <c r="F795" s="17" t="str">
        <f t="shared" si="175"/>
        <v/>
      </c>
      <c r="G795" s="16"/>
      <c r="H795" s="16"/>
      <c r="I795" s="16"/>
      <c r="J795" s="13"/>
      <c r="K795" s="13"/>
      <c r="L795" s="71" t="str">
        <f t="shared" si="176"/>
        <v/>
      </c>
      <c r="M795" s="29"/>
      <c r="N795" s="30"/>
    </row>
    <row r="796" spans="1:14" ht="15" customHeight="1">
      <c r="A796" s="58">
        <v>46203</v>
      </c>
      <c r="B796" s="9">
        <f t="shared" si="177"/>
        <v>0.79166666666666619</v>
      </c>
      <c r="C796" s="10"/>
      <c r="D796" s="10"/>
      <c r="E796" s="11"/>
      <c r="F796" s="12" t="str">
        <f t="shared" si="175"/>
        <v/>
      </c>
      <c r="G796" s="10"/>
      <c r="H796" s="10"/>
      <c r="I796" s="10"/>
      <c r="J796" s="13"/>
      <c r="K796" s="13"/>
      <c r="L796" s="70" t="str">
        <f t="shared" si="176"/>
        <v/>
      </c>
      <c r="M796" s="29"/>
      <c r="N796" s="30"/>
    </row>
    <row r="797" spans="1:14" ht="15.75" customHeight="1">
      <c r="A797" s="90" t="s">
        <v>181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78">IF(E798="","",E798*4)</f>
        <v/>
      </c>
      <c r="G798" s="10"/>
      <c r="H798" s="10"/>
      <c r="I798" s="10"/>
      <c r="J798" s="13"/>
      <c r="K798" s="13"/>
      <c r="L798" s="70" t="str">
        <f t="shared" ref="L798:L809" si="179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0">B798+TIME(0,60,0)</f>
        <v>0.87499999999999967</v>
      </c>
      <c r="C799" s="16"/>
      <c r="D799" s="16"/>
      <c r="E799" s="11"/>
      <c r="F799" s="17" t="str">
        <f t="shared" si="178"/>
        <v/>
      </c>
      <c r="G799" s="16"/>
      <c r="H799" s="16"/>
      <c r="I799" s="16"/>
      <c r="J799" s="13"/>
      <c r="K799" s="13"/>
      <c r="L799" s="71" t="str">
        <f t="shared" si="179"/>
        <v/>
      </c>
      <c r="M799" s="29"/>
      <c r="N799" s="30"/>
    </row>
    <row r="800" spans="1:14" ht="15" customHeight="1">
      <c r="A800" s="58">
        <v>46203</v>
      </c>
      <c r="B800" s="9">
        <f t="shared" si="180"/>
        <v>0.9166666666666663</v>
      </c>
      <c r="C800" s="10"/>
      <c r="D800" s="10"/>
      <c r="E800" s="11"/>
      <c r="F800" s="12" t="str">
        <f t="shared" si="178"/>
        <v/>
      </c>
      <c r="G800" s="10"/>
      <c r="H800" s="10"/>
      <c r="I800" s="10"/>
      <c r="J800" s="13"/>
      <c r="K800" s="13"/>
      <c r="L800" s="70" t="str">
        <f t="shared" si="179"/>
        <v/>
      </c>
      <c r="M800" s="29"/>
      <c r="N800" s="30"/>
    </row>
    <row r="801" spans="1:14" ht="15" customHeight="1">
      <c r="A801" s="59">
        <v>46203</v>
      </c>
      <c r="B801" s="15">
        <f t="shared" si="180"/>
        <v>0.95833333333333293</v>
      </c>
      <c r="C801" s="16"/>
      <c r="D801" s="16"/>
      <c r="E801" s="11"/>
      <c r="F801" s="17" t="str">
        <f t="shared" si="178"/>
        <v/>
      </c>
      <c r="G801" s="16"/>
      <c r="H801" s="16"/>
      <c r="I801" s="16"/>
      <c r="J801" s="13"/>
      <c r="K801" s="13"/>
      <c r="L801" s="71" t="str">
        <f t="shared" si="179"/>
        <v/>
      </c>
      <c r="M801" s="29"/>
      <c r="N801" s="30"/>
    </row>
    <row r="802" spans="1:14" ht="15" customHeight="1">
      <c r="A802" s="58">
        <v>46203</v>
      </c>
      <c r="B802" s="9">
        <f t="shared" si="180"/>
        <v>0.99999999999999956</v>
      </c>
      <c r="C802" s="10"/>
      <c r="D802" s="10"/>
      <c r="E802" s="11"/>
      <c r="F802" s="12" t="str">
        <f t="shared" si="178"/>
        <v/>
      </c>
      <c r="G802" s="10"/>
      <c r="H802" s="10"/>
      <c r="I802" s="10"/>
      <c r="J802" s="13"/>
      <c r="K802" s="13"/>
      <c r="L802" s="70" t="str">
        <f t="shared" si="179"/>
        <v/>
      </c>
      <c r="M802" s="29"/>
      <c r="N802" s="30"/>
    </row>
    <row r="803" spans="1:14" ht="15" customHeight="1">
      <c r="A803" s="59">
        <v>46203</v>
      </c>
      <c r="B803" s="15">
        <f t="shared" si="180"/>
        <v>1.0416666666666663</v>
      </c>
      <c r="C803" s="16"/>
      <c r="D803" s="16"/>
      <c r="E803" s="11"/>
      <c r="F803" s="17" t="str">
        <f t="shared" si="178"/>
        <v/>
      </c>
      <c r="G803" s="16"/>
      <c r="H803" s="16"/>
      <c r="I803" s="16"/>
      <c r="J803" s="13"/>
      <c r="K803" s="13"/>
      <c r="L803" s="71" t="str">
        <f t="shared" si="179"/>
        <v/>
      </c>
      <c r="M803" s="29"/>
      <c r="N803" s="30"/>
    </row>
    <row r="804" spans="1:14" ht="15" customHeight="1">
      <c r="A804" s="58">
        <v>46203</v>
      </c>
      <c r="B804" s="9">
        <f t="shared" si="180"/>
        <v>1.083333333333333</v>
      </c>
      <c r="C804" s="10"/>
      <c r="D804" s="10"/>
      <c r="E804" s="11"/>
      <c r="F804" s="12" t="str">
        <f t="shared" si="178"/>
        <v/>
      </c>
      <c r="G804" s="10"/>
      <c r="H804" s="10"/>
      <c r="I804" s="10"/>
      <c r="J804" s="13"/>
      <c r="K804" s="13"/>
      <c r="L804" s="70" t="str">
        <f t="shared" si="179"/>
        <v/>
      </c>
      <c r="M804" s="29"/>
      <c r="N804" s="30"/>
    </row>
    <row r="805" spans="1:14" ht="15" customHeight="1">
      <c r="A805" s="59">
        <v>46203</v>
      </c>
      <c r="B805" s="15">
        <f t="shared" si="180"/>
        <v>1.1249999999999998</v>
      </c>
      <c r="C805" s="16"/>
      <c r="D805" s="16"/>
      <c r="E805" s="11"/>
      <c r="F805" s="17" t="str">
        <f t="shared" si="178"/>
        <v/>
      </c>
      <c r="G805" s="16"/>
      <c r="H805" s="16"/>
      <c r="I805" s="16"/>
      <c r="J805" s="13"/>
      <c r="K805" s="13"/>
      <c r="L805" s="71" t="str">
        <f t="shared" si="179"/>
        <v/>
      </c>
      <c r="M805" s="29"/>
      <c r="N805" s="30"/>
    </row>
    <row r="806" spans="1:14" ht="15" customHeight="1">
      <c r="A806" s="58">
        <v>46203</v>
      </c>
      <c r="B806" s="9">
        <f t="shared" si="180"/>
        <v>1.1666666666666665</v>
      </c>
      <c r="C806" s="10"/>
      <c r="D806" s="10"/>
      <c r="E806" s="11"/>
      <c r="F806" s="12" t="str">
        <f t="shared" si="178"/>
        <v/>
      </c>
      <c r="G806" s="10"/>
      <c r="H806" s="10"/>
      <c r="I806" s="10"/>
      <c r="J806" s="13"/>
      <c r="K806" s="13"/>
      <c r="L806" s="70" t="str">
        <f t="shared" si="179"/>
        <v/>
      </c>
      <c r="M806" s="29"/>
      <c r="N806" s="30"/>
    </row>
    <row r="807" spans="1:14" ht="15" customHeight="1">
      <c r="A807" s="59">
        <v>46203</v>
      </c>
      <c r="B807" s="15">
        <f t="shared" si="180"/>
        <v>1.2083333333333333</v>
      </c>
      <c r="C807" s="16"/>
      <c r="D807" s="16"/>
      <c r="E807" s="11"/>
      <c r="F807" s="17" t="str">
        <f t="shared" si="178"/>
        <v/>
      </c>
      <c r="G807" s="16"/>
      <c r="H807" s="16"/>
      <c r="I807" s="16"/>
      <c r="J807" s="13"/>
      <c r="K807" s="13"/>
      <c r="L807" s="71" t="str">
        <f t="shared" si="179"/>
        <v/>
      </c>
      <c r="M807" s="29"/>
      <c r="N807" s="30"/>
    </row>
    <row r="808" spans="1:14" ht="15" customHeight="1">
      <c r="A808" s="58">
        <v>46203</v>
      </c>
      <c r="B808" s="9">
        <f t="shared" si="180"/>
        <v>1.25</v>
      </c>
      <c r="C808" s="10"/>
      <c r="D808" s="10"/>
      <c r="E808" s="11"/>
      <c r="F808" s="12" t="str">
        <f t="shared" si="178"/>
        <v/>
      </c>
      <c r="G808" s="10"/>
      <c r="H808" s="10"/>
      <c r="I808" s="10"/>
      <c r="J808" s="13"/>
      <c r="K808" s="13"/>
      <c r="L808" s="70" t="str">
        <f t="shared" si="179"/>
        <v/>
      </c>
      <c r="M808" s="29"/>
      <c r="N808" s="30"/>
    </row>
    <row r="809" spans="1:14" ht="15" customHeight="1">
      <c r="A809" s="59">
        <v>46203</v>
      </c>
      <c r="B809" s="15">
        <f t="shared" si="180"/>
        <v>1.2916666666666667</v>
      </c>
      <c r="C809" s="16"/>
      <c r="D809" s="16"/>
      <c r="E809" s="11"/>
      <c r="F809" s="17" t="str">
        <f t="shared" si="178"/>
        <v/>
      </c>
      <c r="G809" s="16"/>
      <c r="H809" s="16"/>
      <c r="I809" s="16"/>
      <c r="J809" s="13"/>
      <c r="K809" s="13"/>
      <c r="L809" s="71" t="str">
        <f t="shared" si="179"/>
        <v/>
      </c>
      <c r="M809" s="29"/>
      <c r="N809" s="30"/>
    </row>
    <row r="810" spans="1:14" ht="15.75" customHeight="1">
      <c r="A810" s="90" t="s">
        <v>183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182</v>
      </c>
      <c r="N810" s="20"/>
    </row>
    <row r="811" spans="1:14" ht="18" customHeight="1">
      <c r="A811" s="91" t="s">
        <v>184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171</v>
      </c>
      <c r="C1" s="8" t="s">
        <v>12</v>
      </c>
      <c r="D1" s="8" t="s">
        <v>13</v>
      </c>
      <c r="E1" s="8" t="s">
        <v>172</v>
      </c>
      <c r="F1" s="8" t="s">
        <v>278</v>
      </c>
      <c r="G1" s="8" t="s">
        <v>14</v>
      </c>
      <c r="H1" s="8" t="s">
        <v>15</v>
      </c>
      <c r="I1" s="8" t="s">
        <v>174</v>
      </c>
      <c r="J1" s="8" t="s">
        <v>175</v>
      </c>
      <c r="K1" s="8" t="s">
        <v>176</v>
      </c>
      <c r="L1" s="69" t="s">
        <v>177</v>
      </c>
      <c r="M1" s="8" t="s">
        <v>178</v>
      </c>
      <c r="N1" s="8" t="s">
        <v>179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181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183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182</v>
      </c>
      <c r="N27" s="20"/>
    </row>
    <row r="28" spans="1:14" ht="18" customHeight="1">
      <c r="A28" s="91" t="s">
        <v>184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181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183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182</v>
      </c>
      <c r="N54" s="20"/>
    </row>
    <row r="55" spans="1:14" ht="18" customHeight="1">
      <c r="A55" s="91" t="s">
        <v>184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181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131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122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143</v>
      </c>
      <c r="I77" s="16" t="s">
        <v>110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279</v>
      </c>
      <c r="I80" s="10" t="s">
        <v>218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183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182</v>
      </c>
      <c r="N81" s="20">
        <v>206440</v>
      </c>
    </row>
    <row r="82" spans="1:14" ht="18" customHeight="1">
      <c r="A82" s="91" t="s">
        <v>184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181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183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182</v>
      </c>
      <c r="N108" s="20"/>
    </row>
    <row r="109" spans="1:14" ht="18" customHeight="1">
      <c r="A109" s="91" t="s">
        <v>184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181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183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182</v>
      </c>
      <c r="N135" s="20"/>
    </row>
    <row r="136" spans="1:14" ht="18" customHeight="1">
      <c r="A136" s="91" t="s">
        <v>184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181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183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182</v>
      </c>
      <c r="N162" s="20">
        <v>0</v>
      </c>
    </row>
    <row r="163" spans="1:14" ht="18" customHeight="1">
      <c r="A163" s="91" t="s">
        <v>184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181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183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182</v>
      </c>
      <c r="N189" s="20">
        <v>0</v>
      </c>
    </row>
    <row r="190" spans="1:14" ht="18" customHeight="1">
      <c r="A190" s="91" t="s">
        <v>184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181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183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182</v>
      </c>
      <c r="N216" s="20"/>
    </row>
    <row r="217" spans="1:14" ht="18" customHeight="1">
      <c r="A217" s="91" t="s">
        <v>184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131</v>
      </c>
      <c r="I218" s="10" t="s">
        <v>138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181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145</v>
      </c>
      <c r="I231" s="16" t="s">
        <v>118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183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182</v>
      </c>
      <c r="N243" s="20">
        <v>180000</v>
      </c>
    </row>
    <row r="244" spans="1:14" ht="18" customHeight="1">
      <c r="A244" s="91" t="s">
        <v>184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131</v>
      </c>
      <c r="I245" s="16" t="s">
        <v>106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280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131</v>
      </c>
      <c r="I246" s="16" t="s">
        <v>78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280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181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119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229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183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182</v>
      </c>
      <c r="N270" s="20">
        <f>103170+137770</f>
        <v>240940</v>
      </c>
    </row>
    <row r="271" spans="1:14" ht="18" customHeight="1">
      <c r="A271" s="91" t="s">
        <v>184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137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131</v>
      </c>
      <c r="I273" s="16" t="s">
        <v>78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89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137</v>
      </c>
      <c r="I276" s="10" t="s">
        <v>122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181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281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183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182</v>
      </c>
      <c r="N297" s="20">
        <f>110740+118380</f>
        <v>229120</v>
      </c>
    </row>
    <row r="298" spans="1:14" ht="18" customHeight="1">
      <c r="A298" s="91" t="s">
        <v>184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282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181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283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143</v>
      </c>
      <c r="I321" s="16" t="s">
        <v>110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236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183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182</v>
      </c>
      <c r="N324" s="20">
        <f>119730+227060</f>
        <v>346790</v>
      </c>
    </row>
    <row r="325" spans="1:14" ht="18" customHeight="1">
      <c r="A325" s="91" t="s">
        <v>184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108</v>
      </c>
      <c r="I327" s="16" t="s">
        <v>122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108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108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181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110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143</v>
      </c>
      <c r="I344" s="10" t="s">
        <v>110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143</v>
      </c>
      <c r="I345" s="16" t="s">
        <v>110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107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183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182</v>
      </c>
      <c r="N351" s="20">
        <f>50730+24450</f>
        <v>75180</v>
      </c>
    </row>
    <row r="352" spans="1:14" ht="18" customHeight="1">
      <c r="A352" s="91" t="s">
        <v>184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244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284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181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143</v>
      </c>
      <c r="I366" s="10" t="s">
        <v>110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183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182</v>
      </c>
      <c r="N378" s="20">
        <f>151130+160740</f>
        <v>311870</v>
      </c>
    </row>
    <row r="379" spans="1:14" ht="18" customHeight="1">
      <c r="A379" s="91" t="s">
        <v>184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153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183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182</v>
      </c>
      <c r="N405" s="20">
        <v>340530</v>
      </c>
    </row>
    <row r="406" spans="1:14" ht="18" customHeight="1">
      <c r="A406" s="91" t="s">
        <v>184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108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181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77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143</v>
      </c>
      <c r="I423" s="16" t="s">
        <v>110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143</v>
      </c>
      <c r="I431" s="16" t="s">
        <v>110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183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182</v>
      </c>
      <c r="N432" s="20">
        <v>169230</v>
      </c>
    </row>
    <row r="433" spans="1:14" ht="18" customHeight="1">
      <c r="A433" s="91" t="s">
        <v>184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285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137</v>
      </c>
      <c r="I439" s="16" t="s">
        <v>118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254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181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286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145</v>
      </c>
      <c r="I449" s="16" t="s">
        <v>78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183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182</v>
      </c>
      <c r="N459" s="20">
        <v>221750</v>
      </c>
    </row>
    <row r="460" spans="1:14" ht="18" customHeight="1">
      <c r="A460" s="91" t="s">
        <v>184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126</v>
      </c>
      <c r="I461" s="16" t="s">
        <v>78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111</v>
      </c>
      <c r="I464" s="10" t="s">
        <v>256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258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258</v>
      </c>
      <c r="N472" s="30"/>
    </row>
    <row r="473" spans="1:14" ht="15.75" customHeight="1">
      <c r="A473" s="90" t="s">
        <v>181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89</v>
      </c>
      <c r="I474" s="10" t="s">
        <v>76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183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182</v>
      </c>
      <c r="N486" s="20">
        <v>240000</v>
      </c>
    </row>
    <row r="487" spans="1:14" ht="18" customHeight="1">
      <c r="A487" s="91" t="s">
        <v>184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181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80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183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182</v>
      </c>
      <c r="N513" s="20">
        <v>3930</v>
      </c>
    </row>
    <row r="514" spans="1:14" ht="18" customHeight="1">
      <c r="A514" s="91" t="s">
        <v>184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85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85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181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137</v>
      </c>
      <c r="I528" s="10" t="s">
        <v>122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287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95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264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89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145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183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182</v>
      </c>
      <c r="N540" s="20">
        <v>304230</v>
      </c>
    </row>
    <row r="541" spans="1:14" ht="18" customHeight="1">
      <c r="A541" s="91" t="s">
        <v>184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252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181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126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126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183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182</v>
      </c>
      <c r="N567" s="20">
        <v>437260</v>
      </c>
    </row>
    <row r="568" spans="1:14" ht="18" customHeight="1">
      <c r="A568" s="91" t="s">
        <v>184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155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288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157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181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123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289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123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236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183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182</v>
      </c>
      <c r="N594" s="20">
        <v>269570</v>
      </c>
    </row>
    <row r="595" spans="1:14" ht="18" customHeight="1">
      <c r="A595" s="91" t="s">
        <v>184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144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155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181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119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159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158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290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183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182</v>
      </c>
      <c r="N621" s="20">
        <v>176650</v>
      </c>
    </row>
    <row r="622" spans="1:14" ht="18" customHeight="1">
      <c r="A622" s="91" t="s">
        <v>184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291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181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292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183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182</v>
      </c>
      <c r="N648" s="20">
        <f>154590+56700</f>
        <v>211290</v>
      </c>
    </row>
    <row r="649" spans="1:14" ht="18" customHeight="1">
      <c r="A649" s="91" t="s">
        <v>184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89</v>
      </c>
      <c r="I651" s="16" t="s">
        <v>76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/>
      <c r="H652" s="10"/>
      <c r="I652" s="10"/>
      <c r="J652" s="13"/>
      <c r="K652" s="13"/>
      <c r="L652" s="70" t="str">
        <f t="shared" si="145"/>
        <v/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/>
      <c r="F656" s="12" t="str">
        <f t="shared" si="144"/>
        <v/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/>
      <c r="F657" s="17" t="str">
        <f t="shared" si="144"/>
        <v/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/>
      <c r="F658" s="12" t="str">
        <f t="shared" si="144"/>
        <v/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/>
      <c r="F659" s="17" t="str">
        <f t="shared" si="144"/>
        <v/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/>
      <c r="F660" s="12" t="str">
        <f t="shared" si="144"/>
        <v/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/>
      <c r="F661" s="17" t="str">
        <f t="shared" si="144"/>
        <v/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181</v>
      </c>
      <c r="B662" s="90"/>
      <c r="C662" s="90"/>
      <c r="D662" s="90"/>
      <c r="E662" s="19">
        <f>SUM(E650:E661)</f>
        <v>17</v>
      </c>
      <c r="F662" s="19">
        <f>SUM(F650:F661)</f>
        <v>68</v>
      </c>
      <c r="G662" s="18"/>
      <c r="H662" s="18"/>
      <c r="I662" s="18"/>
      <c r="J662" s="18"/>
      <c r="K662" s="18"/>
      <c r="L662" s="72">
        <f>IFERROR(SUM(L650:L661),"")</f>
        <v>8.9583333333333348E-2</v>
      </c>
      <c r="M662" s="19" t="s">
        <v>182</v>
      </c>
      <c r="N662" s="20"/>
    </row>
    <row r="663" spans="1:14" ht="15" customHeight="1">
      <c r="A663" s="59">
        <v>46198</v>
      </c>
      <c r="B663" s="15">
        <v>0.83333333333333304</v>
      </c>
      <c r="C663" s="16"/>
      <c r="D663" s="16"/>
      <c r="E663" s="11"/>
      <c r="F663" s="17" t="str">
        <f t="shared" ref="F663:F674" si="147">IF(E663="","",E663*4)</f>
        <v/>
      </c>
      <c r="G663" s="16"/>
      <c r="H663" s="16"/>
      <c r="I663" s="16"/>
      <c r="J663" s="13"/>
      <c r="K663" s="13"/>
      <c r="L663" s="71" t="str">
        <f t="shared" ref="L663:L674" si="148">IFERROR(IF(K663="","",IF(K663&gt;=J663,K663-J663,K663+1-J663)),"")</f>
        <v/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0"/>
      <c r="D664" s="10"/>
      <c r="E664" s="11"/>
      <c r="F664" s="12" t="str">
        <f t="shared" si="147"/>
        <v/>
      </c>
      <c r="G664" s="10"/>
      <c r="H664" s="10"/>
      <c r="I664" s="10"/>
      <c r="J664" s="13"/>
      <c r="K664" s="13"/>
      <c r="L664" s="70" t="str">
        <f t="shared" si="148"/>
        <v/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/>
      <c r="D665" s="16"/>
      <c r="E665" s="11"/>
      <c r="F665" s="17" t="str">
        <f t="shared" si="147"/>
        <v/>
      </c>
      <c r="G665" s="16"/>
      <c r="H665" s="16"/>
      <c r="I665" s="16"/>
      <c r="J665" s="13"/>
      <c r="K665" s="13"/>
      <c r="L665" s="71" t="str">
        <f t="shared" si="148"/>
        <v/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0"/>
      <c r="D666" s="10"/>
      <c r="E666" s="11"/>
      <c r="F666" s="12" t="str">
        <f t="shared" si="147"/>
        <v/>
      </c>
      <c r="G666" s="10"/>
      <c r="H666" s="10"/>
      <c r="I666" s="10"/>
      <c r="J666" s="13"/>
      <c r="K666" s="13"/>
      <c r="L666" s="70" t="str">
        <f t="shared" si="148"/>
        <v/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/>
      <c r="D667" s="16"/>
      <c r="E667" s="11"/>
      <c r="F667" s="17" t="str">
        <f t="shared" si="147"/>
        <v/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0"/>
      <c r="D668" s="10"/>
      <c r="E668" s="11"/>
      <c r="F668" s="12" t="str">
        <f t="shared" si="147"/>
        <v/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/>
      <c r="D669" s="16"/>
      <c r="E669" s="11"/>
      <c r="F669" s="17" t="str">
        <f t="shared" si="147"/>
        <v/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0"/>
      <c r="D670" s="10"/>
      <c r="E670" s="11"/>
      <c r="F670" s="12" t="str">
        <f t="shared" si="147"/>
        <v/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/>
      <c r="D671" s="16"/>
      <c r="E671" s="11"/>
      <c r="F671" s="17" t="str">
        <f t="shared" si="147"/>
        <v/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0"/>
      <c r="D672" s="10"/>
      <c r="E672" s="11"/>
      <c r="F672" s="12" t="str">
        <f t="shared" si="147"/>
        <v/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/>
      <c r="D673" s="16"/>
      <c r="E673" s="11"/>
      <c r="F673" s="17" t="str">
        <f t="shared" si="147"/>
        <v/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0"/>
      <c r="D674" s="10"/>
      <c r="E674" s="11"/>
      <c r="F674" s="12" t="str">
        <f t="shared" si="147"/>
        <v/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183</v>
      </c>
      <c r="B675" s="90"/>
      <c r="C675" s="90"/>
      <c r="D675" s="90"/>
      <c r="E675" s="19">
        <f>SUM(E663:E674)</f>
        <v>0</v>
      </c>
      <c r="F675" s="19">
        <f>SUM(F663:F674)</f>
        <v>0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182</v>
      </c>
      <c r="N675" s="20"/>
    </row>
    <row r="676" spans="1:14" ht="18" customHeight="1">
      <c r="A676" s="91" t="s">
        <v>184</v>
      </c>
      <c r="B676" s="91"/>
      <c r="C676" s="91"/>
      <c r="D676" s="91"/>
      <c r="E676" s="22">
        <f>E662+E675</f>
        <v>17</v>
      </c>
      <c r="F676" s="22">
        <f>F662+F675</f>
        <v>68</v>
      </c>
      <c r="G676" s="21"/>
      <c r="H676" s="21"/>
      <c r="I676" s="21"/>
      <c r="J676" s="21"/>
      <c r="K676" s="21"/>
      <c r="L676" s="73">
        <f>IFERROR(L662+L675,"")</f>
        <v>8.9583333333333348E-2</v>
      </c>
      <c r="M676" s="22" t="s">
        <v>185</v>
      </c>
      <c r="N676" s="31">
        <f>IFERROR(N662+N675,"")</f>
        <v>0</v>
      </c>
    </row>
    <row r="677" spans="1:14" ht="15" customHeight="1">
      <c r="A677" s="59">
        <v>46199</v>
      </c>
      <c r="B677" s="15">
        <v>0.33333333333333298</v>
      </c>
      <c r="C677" s="16"/>
      <c r="D677" s="16"/>
      <c r="E677" s="11"/>
      <c r="F677" s="17" t="str">
        <f t="shared" ref="F677:F688" si="150">IF(E677="","",E677*4)</f>
        <v/>
      </c>
      <c r="G677" s="16"/>
      <c r="H677" s="16"/>
      <c r="I677" s="16"/>
      <c r="J677" s="13"/>
      <c r="K677" s="13"/>
      <c r="L677" s="71" t="str">
        <f t="shared" ref="L677:L688" si="151">IFERROR(IF(K677="","",IF(K677&gt;=J677,K677-J677,K677+1-J677)),"")</f>
        <v/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0"/>
      <c r="D678" s="10"/>
      <c r="E678" s="11"/>
      <c r="F678" s="12" t="str">
        <f t="shared" si="150"/>
        <v/>
      </c>
      <c r="G678" s="10"/>
      <c r="H678" s="10"/>
      <c r="I678" s="10"/>
      <c r="J678" s="13"/>
      <c r="K678" s="13"/>
      <c r="L678" s="70" t="str">
        <f t="shared" si="151"/>
        <v/>
      </c>
      <c r="M678" s="11"/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/>
      <c r="D679" s="16"/>
      <c r="E679" s="11"/>
      <c r="F679" s="17" t="str">
        <f t="shared" si="150"/>
        <v/>
      </c>
      <c r="G679" s="16"/>
      <c r="H679" s="16"/>
      <c r="I679" s="16"/>
      <c r="J679" s="13"/>
      <c r="K679" s="13"/>
      <c r="L679" s="71" t="str">
        <f t="shared" si="151"/>
        <v/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0"/>
      <c r="D680" s="10"/>
      <c r="E680" s="11"/>
      <c r="F680" s="12" t="str">
        <f t="shared" si="150"/>
        <v/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/>
      <c r="D681" s="16"/>
      <c r="E681" s="11"/>
      <c r="F681" s="17" t="str">
        <f t="shared" si="150"/>
        <v/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0"/>
      <c r="D682" s="10"/>
      <c r="E682" s="11"/>
      <c r="F682" s="12" t="str">
        <f t="shared" si="150"/>
        <v/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/>
      <c r="D683" s="16"/>
      <c r="E683" s="11"/>
      <c r="F683" s="17" t="str">
        <f t="shared" si="150"/>
        <v/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0"/>
      <c r="D684" s="10"/>
      <c r="E684" s="11"/>
      <c r="F684" s="12" t="str">
        <f t="shared" si="150"/>
        <v/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/>
      <c r="D685" s="16"/>
      <c r="E685" s="11"/>
      <c r="F685" s="17" t="str">
        <f t="shared" si="150"/>
        <v/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0"/>
      <c r="D686" s="10"/>
      <c r="E686" s="11"/>
      <c r="F686" s="12" t="str">
        <f t="shared" si="150"/>
        <v/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/>
      <c r="D687" s="16"/>
      <c r="E687" s="11"/>
      <c r="F687" s="17" t="str">
        <f t="shared" si="150"/>
        <v/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0"/>
      <c r="D688" s="10"/>
      <c r="E688" s="11"/>
      <c r="F688" s="12" t="str">
        <f t="shared" si="150"/>
        <v/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181</v>
      </c>
      <c r="B689" s="90"/>
      <c r="C689" s="90"/>
      <c r="D689" s="90"/>
      <c r="E689" s="19">
        <f>SUM(E677:E688)</f>
        <v>0</v>
      </c>
      <c r="F689" s="19">
        <f>SUM(F677:F688)</f>
        <v>0</v>
      </c>
      <c r="G689" s="18"/>
      <c r="H689" s="18"/>
      <c r="I689" s="18"/>
      <c r="J689" s="18"/>
      <c r="K689" s="18"/>
      <c r="L689" s="72">
        <f>IFERROR(SUM(L677:L688),"")</f>
        <v>0</v>
      </c>
      <c r="M689" s="19" t="s">
        <v>182</v>
      </c>
      <c r="N689" s="20"/>
    </row>
    <row r="690" spans="1:14" ht="15" customHeight="1">
      <c r="A690" s="58">
        <v>46199</v>
      </c>
      <c r="B690" s="9">
        <v>0.83333333333333304</v>
      </c>
      <c r="C690" s="10"/>
      <c r="D690" s="10"/>
      <c r="E690" s="11"/>
      <c r="F690" s="12" t="str">
        <f t="shared" ref="F690:F701" si="153">IF(E690="","",E690*4)</f>
        <v/>
      </c>
      <c r="G690" s="10"/>
      <c r="H690" s="10"/>
      <c r="I690" s="10"/>
      <c r="J690" s="13"/>
      <c r="K690" s="13"/>
      <c r="L690" s="70" t="str">
        <f t="shared" ref="L690:L701" si="154">IFERROR(IF(K690="","",IF(K690&gt;=J690,K690-J690,K690+1-J690)),"")</f>
        <v/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6"/>
      <c r="D691" s="16"/>
      <c r="E691" s="11"/>
      <c r="F691" s="17" t="str">
        <f t="shared" si="153"/>
        <v/>
      </c>
      <c r="G691" s="16"/>
      <c r="H691" s="16"/>
      <c r="I691" s="16"/>
      <c r="J691" s="13"/>
      <c r="K691" s="13"/>
      <c r="L691" s="71" t="str">
        <f t="shared" si="154"/>
        <v/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/>
      <c r="D692" s="10"/>
      <c r="E692" s="11"/>
      <c r="F692" s="12" t="str">
        <f t="shared" si="153"/>
        <v/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6"/>
      <c r="D693" s="16"/>
      <c r="E693" s="11"/>
      <c r="F693" s="17" t="str">
        <f t="shared" si="153"/>
        <v/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/>
      <c r="D694" s="10"/>
      <c r="E694" s="11"/>
      <c r="F694" s="12" t="str">
        <f t="shared" si="153"/>
        <v/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6"/>
      <c r="D695" s="16"/>
      <c r="E695" s="11"/>
      <c r="F695" s="17" t="str">
        <f t="shared" si="153"/>
        <v/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/>
      <c r="D696" s="10"/>
      <c r="E696" s="11"/>
      <c r="F696" s="12" t="str">
        <f t="shared" si="153"/>
        <v/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6"/>
      <c r="D697" s="16"/>
      <c r="E697" s="11"/>
      <c r="F697" s="17" t="str">
        <f t="shared" si="153"/>
        <v/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/>
      <c r="D698" s="10"/>
      <c r="E698" s="11"/>
      <c r="F698" s="12" t="str">
        <f t="shared" si="153"/>
        <v/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6"/>
      <c r="D699" s="16"/>
      <c r="E699" s="11"/>
      <c r="F699" s="17" t="str">
        <f t="shared" si="153"/>
        <v/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/>
      <c r="D700" s="10"/>
      <c r="E700" s="11"/>
      <c r="F700" s="12" t="str">
        <f t="shared" si="153"/>
        <v/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6"/>
      <c r="D701" s="16"/>
      <c r="E701" s="11"/>
      <c r="F701" s="17" t="str">
        <f t="shared" si="153"/>
        <v/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183</v>
      </c>
      <c r="B702" s="90"/>
      <c r="C702" s="90"/>
      <c r="D702" s="90"/>
      <c r="E702" s="19">
        <f>SUM(E690:E701)</f>
        <v>0</v>
      </c>
      <c r="F702" s="19">
        <f>SUM(F690:F701)</f>
        <v>0</v>
      </c>
      <c r="G702" s="18"/>
      <c r="H702" s="18"/>
      <c r="I702" s="18"/>
      <c r="J702" s="18"/>
      <c r="K702" s="18"/>
      <c r="L702" s="72">
        <f>IFERROR(SUM(L690:L701),"")</f>
        <v>0</v>
      </c>
      <c r="M702" s="19" t="s">
        <v>182</v>
      </c>
      <c r="N702" s="20"/>
    </row>
    <row r="703" spans="1:14" ht="18" customHeight="1">
      <c r="A703" s="91" t="s">
        <v>184</v>
      </c>
      <c r="B703" s="91"/>
      <c r="C703" s="91"/>
      <c r="D703" s="91"/>
      <c r="E703" s="22">
        <f>E689+E702</f>
        <v>0</v>
      </c>
      <c r="F703" s="22">
        <f>F689+F702</f>
        <v>0</v>
      </c>
      <c r="G703" s="21"/>
      <c r="H703" s="21"/>
      <c r="I703" s="21"/>
      <c r="J703" s="21"/>
      <c r="K703" s="21"/>
      <c r="L703" s="73">
        <f>IFERROR(L689+L702,"")</f>
        <v>0</v>
      </c>
      <c r="M703" s="22" t="s">
        <v>185</v>
      </c>
      <c r="N703" s="31">
        <f>IFERROR(N689+N702,"")</f>
        <v>0</v>
      </c>
    </row>
    <row r="704" spans="1:14" ht="15" customHeight="1">
      <c r="A704" s="58">
        <v>46200</v>
      </c>
      <c r="B704" s="9">
        <v>0.33333333333333298</v>
      </c>
      <c r="C704" s="10"/>
      <c r="D704" s="10"/>
      <c r="E704" s="11"/>
      <c r="F704" s="12" t="str">
        <f t="shared" ref="F704:F715" si="156">IF(E704="","",E704*4)</f>
        <v/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6"/>
      <c r="D705" s="16"/>
      <c r="E705" s="11"/>
      <c r="F705" s="17" t="str">
        <f t="shared" si="156"/>
        <v/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/>
      <c r="D706" s="10"/>
      <c r="E706" s="11"/>
      <c r="F706" s="12" t="str">
        <f t="shared" si="156"/>
        <v/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6"/>
      <c r="D707" s="16"/>
      <c r="E707" s="11"/>
      <c r="F707" s="17" t="str">
        <f t="shared" si="156"/>
        <v/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/>
      <c r="D708" s="10"/>
      <c r="E708" s="11"/>
      <c r="F708" s="12" t="str">
        <f t="shared" si="156"/>
        <v/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6"/>
      <c r="D709" s="16"/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/>
      <c r="D710" s="10"/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6"/>
      <c r="D711" s="16"/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/>
      <c r="D712" s="10"/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6"/>
      <c r="D713" s="16"/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/>
      <c r="D714" s="10"/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6"/>
      <c r="D715" s="16"/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181</v>
      </c>
      <c r="B716" s="90"/>
      <c r="C716" s="90"/>
      <c r="D716" s="90"/>
      <c r="E716" s="19">
        <f>SUM(E704:E715)</f>
        <v>0</v>
      </c>
      <c r="F716" s="19">
        <f>SUM(F704:F715)</f>
        <v>0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182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183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182</v>
      </c>
      <c r="N729" s="20"/>
    </row>
    <row r="730" spans="1:14" ht="18" customHeight="1">
      <c r="A730" s="91" t="s">
        <v>184</v>
      </c>
      <c r="B730" s="91"/>
      <c r="C730" s="91"/>
      <c r="D730" s="91"/>
      <c r="E730" s="22">
        <f>E716+E729</f>
        <v>0</v>
      </c>
      <c r="F730" s="22">
        <f>F716+F729</f>
        <v>0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185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181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182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183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182</v>
      </c>
      <c r="N756" s="20"/>
    </row>
    <row r="757" spans="1:14" ht="18" customHeight="1">
      <c r="A757" s="91" t="s">
        <v>184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185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181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183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182</v>
      </c>
      <c r="N783" s="20"/>
    </row>
    <row r="784" spans="1:14" ht="18" customHeight="1">
      <c r="A784" s="91" t="s">
        <v>184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16"/>
      <c r="D785" s="16"/>
      <c r="E785" s="11"/>
      <c r="F785" s="17" t="str">
        <f t="shared" ref="F785:F796" si="174">IF(E785="","",E785*4)</f>
        <v/>
      </c>
      <c r="G785" s="16"/>
      <c r="H785" s="16"/>
      <c r="I785" s="16"/>
      <c r="J785" s="13"/>
      <c r="K785" s="13"/>
      <c r="L785" s="71" t="str">
        <f t="shared" ref="L785:L796" si="175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10"/>
      <c r="D786" s="10"/>
      <c r="E786" s="11"/>
      <c r="F786" s="12" t="str">
        <f t="shared" si="174"/>
        <v/>
      </c>
      <c r="G786" s="10"/>
      <c r="H786" s="10"/>
      <c r="I786" s="10"/>
      <c r="J786" s="13"/>
      <c r="K786" s="13"/>
      <c r="L786" s="70" t="str">
        <f t="shared" si="175"/>
        <v/>
      </c>
      <c r="M786" s="11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16"/>
      <c r="D787" s="16"/>
      <c r="E787" s="11"/>
      <c r="F787" s="17" t="str">
        <f t="shared" si="174"/>
        <v/>
      </c>
      <c r="G787" s="16"/>
      <c r="H787" s="16"/>
      <c r="I787" s="16"/>
      <c r="J787" s="13"/>
      <c r="K787" s="13"/>
      <c r="L787" s="71" t="str">
        <f t="shared" si="175"/>
        <v/>
      </c>
      <c r="M787" s="11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10"/>
      <c r="D788" s="10"/>
      <c r="E788" s="11"/>
      <c r="F788" s="12" t="str">
        <f t="shared" si="174"/>
        <v/>
      </c>
      <c r="G788" s="10"/>
      <c r="H788" s="10"/>
      <c r="I788" s="10"/>
      <c r="J788" s="13"/>
      <c r="K788" s="13"/>
      <c r="L788" s="70" t="str">
        <f t="shared" si="175"/>
        <v/>
      </c>
      <c r="M788" s="11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16"/>
      <c r="D789" s="16"/>
      <c r="E789" s="11"/>
      <c r="F789" s="17" t="str">
        <f t="shared" si="174"/>
        <v/>
      </c>
      <c r="G789" s="16"/>
      <c r="H789" s="16"/>
      <c r="I789" s="16"/>
      <c r="J789" s="13"/>
      <c r="K789" s="13"/>
      <c r="L789" s="71" t="str">
        <f t="shared" si="175"/>
        <v/>
      </c>
      <c r="M789" s="11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10"/>
      <c r="D790" s="10"/>
      <c r="E790" s="11"/>
      <c r="F790" s="12" t="str">
        <f t="shared" si="174"/>
        <v/>
      </c>
      <c r="G790" s="10"/>
      <c r="H790" s="10"/>
      <c r="I790" s="10"/>
      <c r="J790" s="13"/>
      <c r="K790" s="13"/>
      <c r="L790" s="70" t="str">
        <f t="shared" si="175"/>
        <v/>
      </c>
      <c r="M790" s="11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16"/>
      <c r="D791" s="16"/>
      <c r="E791" s="11"/>
      <c r="F791" s="17" t="str">
        <f t="shared" si="174"/>
        <v/>
      </c>
      <c r="G791" s="16"/>
      <c r="H791" s="16"/>
      <c r="I791" s="16"/>
      <c r="J791" s="13"/>
      <c r="K791" s="13"/>
      <c r="L791" s="71" t="str">
        <f t="shared" si="175"/>
        <v/>
      </c>
      <c r="M791" s="11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10"/>
      <c r="D792" s="10"/>
      <c r="E792" s="11"/>
      <c r="F792" s="12" t="str">
        <f t="shared" si="174"/>
        <v/>
      </c>
      <c r="G792" s="10"/>
      <c r="H792" s="10"/>
      <c r="I792" s="10"/>
      <c r="J792" s="13"/>
      <c r="K792" s="13"/>
      <c r="L792" s="70" t="str">
        <f t="shared" si="175"/>
        <v/>
      </c>
      <c r="M792" s="11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16"/>
      <c r="D793" s="16"/>
      <c r="E793" s="11"/>
      <c r="F793" s="17" t="str">
        <f t="shared" si="174"/>
        <v/>
      </c>
      <c r="G793" s="16"/>
      <c r="H793" s="16"/>
      <c r="I793" s="16"/>
      <c r="J793" s="13"/>
      <c r="K793" s="13"/>
      <c r="L793" s="71" t="str">
        <f t="shared" si="175"/>
        <v/>
      </c>
      <c r="M793" s="11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10"/>
      <c r="D794" s="10"/>
      <c r="E794" s="11"/>
      <c r="F794" s="12" t="str">
        <f t="shared" si="174"/>
        <v/>
      </c>
      <c r="G794" s="10"/>
      <c r="H794" s="10"/>
      <c r="I794" s="10"/>
      <c r="J794" s="13"/>
      <c r="K794" s="13"/>
      <c r="L794" s="70" t="str">
        <f t="shared" si="175"/>
        <v/>
      </c>
      <c r="M794" s="11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16"/>
      <c r="D795" s="16"/>
      <c r="E795" s="11"/>
      <c r="F795" s="17" t="str">
        <f t="shared" si="174"/>
        <v/>
      </c>
      <c r="G795" s="16"/>
      <c r="H795" s="16"/>
      <c r="I795" s="16"/>
      <c r="J795" s="13"/>
      <c r="K795" s="13"/>
      <c r="L795" s="71" t="str">
        <f t="shared" si="175"/>
        <v/>
      </c>
      <c r="M795" s="11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10"/>
      <c r="D796" s="10"/>
      <c r="E796" s="11"/>
      <c r="F796" s="12" t="str">
        <f t="shared" si="174"/>
        <v/>
      </c>
      <c r="G796" s="10"/>
      <c r="H796" s="10"/>
      <c r="I796" s="10"/>
      <c r="J796" s="13"/>
      <c r="K796" s="13"/>
      <c r="L796" s="70" t="str">
        <f t="shared" si="175"/>
        <v/>
      </c>
      <c r="M796" s="11"/>
      <c r="N796" s="30"/>
    </row>
    <row r="797" spans="1:14" ht="15.75" customHeight="1">
      <c r="A797" s="90" t="s">
        <v>181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77">IF(E798="","",E798*4)</f>
        <v/>
      </c>
      <c r="G798" s="10"/>
      <c r="H798" s="10"/>
      <c r="I798" s="10"/>
      <c r="J798" s="13"/>
      <c r="K798" s="13"/>
      <c r="L798" s="70" t="str">
        <f t="shared" ref="L798:L809" si="178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9">B798+TIME(0,60,0)</f>
        <v>0.87499999999999967</v>
      </c>
      <c r="C799" s="16"/>
      <c r="D799" s="16"/>
      <c r="E799" s="11"/>
      <c r="F799" s="17" t="str">
        <f t="shared" si="177"/>
        <v/>
      </c>
      <c r="G799" s="16"/>
      <c r="H799" s="16"/>
      <c r="I799" s="16"/>
      <c r="J799" s="13"/>
      <c r="K799" s="13"/>
      <c r="L799" s="71" t="str">
        <f t="shared" si="178"/>
        <v/>
      </c>
      <c r="M799" s="11"/>
      <c r="N799" s="30"/>
    </row>
    <row r="800" spans="1:14" ht="15" customHeight="1">
      <c r="A800" s="58">
        <v>46203</v>
      </c>
      <c r="B800" s="9">
        <f t="shared" si="179"/>
        <v>0.9166666666666663</v>
      </c>
      <c r="C800" s="10"/>
      <c r="D800" s="10"/>
      <c r="E800" s="11"/>
      <c r="F800" s="12" t="str">
        <f t="shared" si="177"/>
        <v/>
      </c>
      <c r="G800" s="10"/>
      <c r="H800" s="10"/>
      <c r="I800" s="10"/>
      <c r="J800" s="13"/>
      <c r="K800" s="13"/>
      <c r="L800" s="70" t="str">
        <f t="shared" si="178"/>
        <v/>
      </c>
      <c r="M800" s="11"/>
      <c r="N800" s="30"/>
    </row>
    <row r="801" spans="1:14" ht="15" customHeight="1">
      <c r="A801" s="59">
        <v>46203</v>
      </c>
      <c r="B801" s="15">
        <f t="shared" si="179"/>
        <v>0.95833333333333293</v>
      </c>
      <c r="C801" s="16"/>
      <c r="D801" s="16"/>
      <c r="E801" s="11"/>
      <c r="F801" s="17" t="str">
        <f t="shared" si="177"/>
        <v/>
      </c>
      <c r="G801" s="16"/>
      <c r="H801" s="16"/>
      <c r="I801" s="16"/>
      <c r="J801" s="13"/>
      <c r="K801" s="13"/>
      <c r="L801" s="71" t="str">
        <f t="shared" si="178"/>
        <v/>
      </c>
      <c r="M801" s="11"/>
      <c r="N801" s="30"/>
    </row>
    <row r="802" spans="1:14" ht="15" customHeight="1">
      <c r="A802" s="58">
        <v>46203</v>
      </c>
      <c r="B802" s="9">
        <f t="shared" si="179"/>
        <v>0.99999999999999956</v>
      </c>
      <c r="C802" s="10"/>
      <c r="D802" s="10"/>
      <c r="E802" s="11"/>
      <c r="F802" s="12" t="str">
        <f t="shared" si="177"/>
        <v/>
      </c>
      <c r="G802" s="10"/>
      <c r="H802" s="10"/>
      <c r="I802" s="10"/>
      <c r="J802" s="13"/>
      <c r="K802" s="13"/>
      <c r="L802" s="70" t="str">
        <f t="shared" si="178"/>
        <v/>
      </c>
      <c r="M802" s="11"/>
      <c r="N802" s="30"/>
    </row>
    <row r="803" spans="1:14" ht="15" customHeight="1">
      <c r="A803" s="59">
        <v>46203</v>
      </c>
      <c r="B803" s="15">
        <f t="shared" si="179"/>
        <v>1.0416666666666663</v>
      </c>
      <c r="C803" s="16"/>
      <c r="D803" s="16"/>
      <c r="E803" s="11"/>
      <c r="F803" s="17" t="str">
        <f t="shared" si="177"/>
        <v/>
      </c>
      <c r="G803" s="16"/>
      <c r="H803" s="16"/>
      <c r="I803" s="16"/>
      <c r="J803" s="13"/>
      <c r="K803" s="13"/>
      <c r="L803" s="71" t="str">
        <f t="shared" si="178"/>
        <v/>
      </c>
      <c r="M803" s="11"/>
      <c r="N803" s="30"/>
    </row>
    <row r="804" spans="1:14" ht="15" customHeight="1">
      <c r="A804" s="58">
        <v>46203</v>
      </c>
      <c r="B804" s="9">
        <f t="shared" si="179"/>
        <v>1.083333333333333</v>
      </c>
      <c r="C804" s="10"/>
      <c r="D804" s="10"/>
      <c r="E804" s="11"/>
      <c r="F804" s="12" t="str">
        <f t="shared" si="177"/>
        <v/>
      </c>
      <c r="G804" s="10"/>
      <c r="H804" s="10"/>
      <c r="I804" s="10"/>
      <c r="J804" s="13"/>
      <c r="K804" s="13"/>
      <c r="L804" s="70" t="str">
        <f t="shared" si="178"/>
        <v/>
      </c>
      <c r="M804" s="11"/>
      <c r="N804" s="30"/>
    </row>
    <row r="805" spans="1:14" ht="15" customHeight="1">
      <c r="A805" s="59">
        <v>46203</v>
      </c>
      <c r="B805" s="15">
        <f t="shared" si="179"/>
        <v>1.1249999999999998</v>
      </c>
      <c r="C805" s="16"/>
      <c r="D805" s="16"/>
      <c r="E805" s="11"/>
      <c r="F805" s="17" t="str">
        <f t="shared" si="177"/>
        <v/>
      </c>
      <c r="G805" s="16"/>
      <c r="H805" s="16"/>
      <c r="I805" s="16"/>
      <c r="J805" s="13"/>
      <c r="K805" s="13"/>
      <c r="L805" s="71" t="str">
        <f t="shared" si="178"/>
        <v/>
      </c>
      <c r="M805" s="11"/>
      <c r="N805" s="30"/>
    </row>
    <row r="806" spans="1:14" ht="15" customHeight="1">
      <c r="A806" s="58">
        <v>46203</v>
      </c>
      <c r="B806" s="9">
        <f t="shared" si="179"/>
        <v>1.1666666666666665</v>
      </c>
      <c r="C806" s="10"/>
      <c r="D806" s="10"/>
      <c r="E806" s="11"/>
      <c r="F806" s="12" t="str">
        <f t="shared" si="177"/>
        <v/>
      </c>
      <c r="G806" s="10"/>
      <c r="H806" s="10"/>
      <c r="I806" s="10"/>
      <c r="J806" s="13"/>
      <c r="K806" s="13"/>
      <c r="L806" s="70" t="str">
        <f t="shared" si="178"/>
        <v/>
      </c>
      <c r="M806" s="11"/>
      <c r="N806" s="30"/>
    </row>
    <row r="807" spans="1:14" ht="15" customHeight="1">
      <c r="A807" s="59">
        <v>46203</v>
      </c>
      <c r="B807" s="15">
        <f t="shared" si="179"/>
        <v>1.2083333333333333</v>
      </c>
      <c r="C807" s="16"/>
      <c r="D807" s="16"/>
      <c r="E807" s="11"/>
      <c r="F807" s="17" t="str">
        <f t="shared" si="177"/>
        <v/>
      </c>
      <c r="G807" s="16"/>
      <c r="H807" s="16"/>
      <c r="I807" s="16"/>
      <c r="J807" s="13"/>
      <c r="K807" s="13"/>
      <c r="L807" s="71" t="str">
        <f t="shared" si="178"/>
        <v/>
      </c>
      <c r="M807" s="11"/>
      <c r="N807" s="30"/>
    </row>
    <row r="808" spans="1:14" ht="15" customHeight="1">
      <c r="A808" s="58">
        <v>46203</v>
      </c>
      <c r="B808" s="9">
        <f t="shared" si="179"/>
        <v>1.25</v>
      </c>
      <c r="C808" s="10"/>
      <c r="D808" s="10"/>
      <c r="E808" s="11"/>
      <c r="F808" s="12" t="str">
        <f t="shared" si="177"/>
        <v/>
      </c>
      <c r="G808" s="10"/>
      <c r="H808" s="10"/>
      <c r="I808" s="10"/>
      <c r="J808" s="13"/>
      <c r="K808" s="13"/>
      <c r="L808" s="70" t="str">
        <f t="shared" si="178"/>
        <v/>
      </c>
      <c r="M808" s="11"/>
      <c r="N808" s="30"/>
    </row>
    <row r="809" spans="1:14" ht="15" customHeight="1">
      <c r="A809" s="59">
        <v>46203</v>
      </c>
      <c r="B809" s="15">
        <f t="shared" si="179"/>
        <v>1.2916666666666667</v>
      </c>
      <c r="C809" s="16"/>
      <c r="D809" s="16"/>
      <c r="E809" s="11"/>
      <c r="F809" s="17" t="str">
        <f t="shared" si="177"/>
        <v/>
      </c>
      <c r="G809" s="16"/>
      <c r="H809" s="16"/>
      <c r="I809" s="16"/>
      <c r="J809" s="13"/>
      <c r="K809" s="13"/>
      <c r="L809" s="71" t="str">
        <f t="shared" si="178"/>
        <v/>
      </c>
      <c r="M809" s="11"/>
      <c r="N809" s="30"/>
    </row>
    <row r="810" spans="1:14" ht="15.75" customHeight="1">
      <c r="A810" s="90" t="s">
        <v>183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182</v>
      </c>
      <c r="N810" s="20"/>
    </row>
    <row r="811" spans="1:14" ht="18" customHeight="1">
      <c r="A811" s="91" t="s">
        <v>184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46" activePane="bottomLeft" state="frozen"/>
      <selection pane="bottomLeft" activeCell="G651" sqref="G65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171</v>
      </c>
      <c r="C1" s="8" t="s">
        <v>12</v>
      </c>
      <c r="D1" s="57" t="s">
        <v>13</v>
      </c>
      <c r="E1" s="8" t="s">
        <v>172</v>
      </c>
      <c r="F1" s="8" t="s">
        <v>293</v>
      </c>
      <c r="G1" s="8" t="s">
        <v>14</v>
      </c>
      <c r="H1" s="8" t="s">
        <v>15</v>
      </c>
      <c r="I1" s="8" t="s">
        <v>174</v>
      </c>
      <c r="J1" s="8" t="s">
        <v>175</v>
      </c>
      <c r="K1" s="8" t="s">
        <v>176</v>
      </c>
      <c r="L1" s="69" t="s">
        <v>177</v>
      </c>
      <c r="M1" s="8" t="s">
        <v>178</v>
      </c>
      <c r="N1" s="8" t="s">
        <v>179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294</v>
      </c>
      <c r="I2" s="10" t="s">
        <v>295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294</v>
      </c>
      <c r="I3" s="16" t="s">
        <v>295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294</v>
      </c>
      <c r="I4" s="10" t="s">
        <v>295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294</v>
      </c>
      <c r="I5" s="16" t="s">
        <v>295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294</v>
      </c>
      <c r="I6" s="10" t="s">
        <v>295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294</v>
      </c>
      <c r="I7" s="16" t="s">
        <v>295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294</v>
      </c>
      <c r="I8" s="10" t="s">
        <v>295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294</v>
      </c>
      <c r="I9" s="16" t="s">
        <v>295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294</v>
      </c>
      <c r="I10" s="10" t="s">
        <v>295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294</v>
      </c>
      <c r="I11" s="16" t="s">
        <v>295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294</v>
      </c>
      <c r="I12" s="10" t="s">
        <v>295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294</v>
      </c>
      <c r="I13" s="16" t="s">
        <v>295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181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122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120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120</v>
      </c>
      <c r="I24" s="10" t="s">
        <v>296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183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182</v>
      </c>
      <c r="N27" s="20">
        <v>537710</v>
      </c>
    </row>
    <row r="28" spans="1:14" ht="18" customHeight="1">
      <c r="A28" s="91" t="s">
        <v>184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297</v>
      </c>
      <c r="I30" s="10" t="s">
        <v>94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298</v>
      </c>
      <c r="I33" s="16" t="s">
        <v>299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180</v>
      </c>
      <c r="H36" s="10" t="s">
        <v>300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181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122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218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183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182</v>
      </c>
      <c r="N54" s="20">
        <v>800250</v>
      </c>
    </row>
    <row r="55" spans="1:14" ht="18" customHeight="1">
      <c r="A55" s="91" t="s">
        <v>184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131</v>
      </c>
      <c r="I65" s="16" t="s">
        <v>106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131</v>
      </c>
      <c r="I66" s="10" t="s">
        <v>106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131</v>
      </c>
      <c r="I67" s="16" t="s">
        <v>106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181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131</v>
      </c>
      <c r="I70" s="10" t="s">
        <v>98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300</v>
      </c>
      <c r="I71" s="16" t="s">
        <v>122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143</v>
      </c>
      <c r="I77" s="16" t="s">
        <v>110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183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182</v>
      </c>
      <c r="N81" s="20">
        <v>423590</v>
      </c>
    </row>
    <row r="82" spans="1:14" ht="18" customHeight="1">
      <c r="A82" s="91" t="s">
        <v>184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150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131</v>
      </c>
      <c r="I84" s="10" t="s">
        <v>122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131</v>
      </c>
      <c r="I85" s="16" t="s">
        <v>78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181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301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183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182</v>
      </c>
      <c r="N108" s="20">
        <v>784300</v>
      </c>
    </row>
    <row r="109" spans="1:14" ht="18" customHeight="1">
      <c r="A109" s="91" t="s">
        <v>184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112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150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181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122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180</v>
      </c>
      <c r="H124" s="10" t="s">
        <v>150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183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182</v>
      </c>
      <c r="N135" s="20">
        <v>527600</v>
      </c>
    </row>
    <row r="136" spans="1:14" ht="18" customHeight="1">
      <c r="A136" s="91" t="s">
        <v>184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150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109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180</v>
      </c>
      <c r="H139" s="16" t="s">
        <v>101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150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131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181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131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183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182</v>
      </c>
      <c r="N162" s="20">
        <v>215370</v>
      </c>
    </row>
    <row r="163" spans="1:14" ht="18" customHeight="1">
      <c r="A163" s="91" t="s">
        <v>184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131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131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131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131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131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131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131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131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131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131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131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131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181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131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131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131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131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131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131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131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131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131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131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131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131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183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182</v>
      </c>
      <c r="N189" s="20">
        <v>400530</v>
      </c>
    </row>
    <row r="190" spans="1:14" ht="18" customHeight="1">
      <c r="A190" s="91" t="s">
        <v>184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109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131</v>
      </c>
      <c r="I193" s="16" t="s">
        <v>302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181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183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182</v>
      </c>
      <c r="N216" s="28">
        <v>704110</v>
      </c>
    </row>
    <row r="217" spans="1:14" ht="18" customHeight="1">
      <c r="A217" s="91" t="s">
        <v>184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150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131</v>
      </c>
      <c r="I219" s="16" t="s">
        <v>303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109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236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181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128</v>
      </c>
      <c r="I231" s="16" t="s">
        <v>90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183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182</v>
      </c>
      <c r="N243" s="20">
        <v>0</v>
      </c>
    </row>
    <row r="244" spans="1:14" ht="18" customHeight="1">
      <c r="A244" s="91" t="s">
        <v>184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140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304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181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150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183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182</v>
      </c>
      <c r="N270" s="20">
        <f>214250+252630</f>
        <v>466880</v>
      </c>
    </row>
    <row r="271" spans="1:14" ht="18" customHeight="1">
      <c r="A271" s="91" t="s">
        <v>184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140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131</v>
      </c>
      <c r="I274" s="10" t="s">
        <v>78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305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150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181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306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307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308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183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182</v>
      </c>
      <c r="N297" s="20">
        <f>124260+105220</f>
        <v>229480</v>
      </c>
    </row>
    <row r="298" spans="1:14" ht="18" customHeight="1">
      <c r="A298" s="91" t="s">
        <v>184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307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309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282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181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310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150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310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150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310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150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311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183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182</v>
      </c>
      <c r="N324" s="20">
        <f>311920+165290</f>
        <v>477210</v>
      </c>
    </row>
    <row r="325" spans="1:14" ht="18" customHeight="1">
      <c r="A325" s="91" t="s">
        <v>184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150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181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150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312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150</v>
      </c>
      <c r="I340" s="10" t="s">
        <v>107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183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182</v>
      </c>
      <c r="N351" s="20">
        <f>117790+390790</f>
        <v>508580</v>
      </c>
    </row>
    <row r="352" spans="1:14" ht="18" customHeight="1">
      <c r="A352" s="91" t="s">
        <v>184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97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313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314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284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181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150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183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182</v>
      </c>
      <c r="N378" s="20">
        <f>490380+390690</f>
        <v>881070</v>
      </c>
    </row>
    <row r="379" spans="1:14" ht="18" customHeight="1">
      <c r="A379" s="91" t="s">
        <v>184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122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150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181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153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150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97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140</v>
      </c>
      <c r="I401" s="16" t="s">
        <v>118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183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182</v>
      </c>
      <c r="N405" s="20">
        <v>745910</v>
      </c>
    </row>
    <row r="406" spans="1:14" ht="18" customHeight="1">
      <c r="A406" s="91" t="s">
        <v>184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315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316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317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181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150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183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182</v>
      </c>
      <c r="N432" s="20">
        <v>669300</v>
      </c>
    </row>
    <row r="433" spans="1:16" ht="18" customHeight="1">
      <c r="A433" s="91" t="s">
        <v>184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140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181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120</v>
      </c>
      <c r="I447" s="16" t="s">
        <v>160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307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119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150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307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183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182</v>
      </c>
      <c r="N459" s="20">
        <v>561580</v>
      </c>
    </row>
    <row r="460" spans="1:14" ht="18" customHeight="1">
      <c r="A460" s="91" t="s">
        <v>184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140</v>
      </c>
      <c r="I462" s="10" t="s">
        <v>156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105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258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258</v>
      </c>
      <c r="N472" s="41"/>
    </row>
    <row r="473" spans="1:14" ht="15.75" customHeight="1">
      <c r="A473" s="90" t="s">
        <v>181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150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318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320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183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182</v>
      </c>
      <c r="N486" s="20">
        <v>508000</v>
      </c>
    </row>
    <row r="487" spans="1:14" ht="18" customHeight="1">
      <c r="A487" s="91" t="s">
        <v>184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181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321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150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154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85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322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183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182</v>
      </c>
      <c r="N513" s="20">
        <v>745760</v>
      </c>
    </row>
    <row r="514" spans="1:14" ht="18" customHeight="1">
      <c r="A514" s="91" t="s">
        <v>184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85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181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150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101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150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323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95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324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93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101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236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183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182</v>
      </c>
      <c r="N540" s="20">
        <v>426450</v>
      </c>
    </row>
    <row r="541" spans="1:14" ht="18" customHeight="1">
      <c r="A541" s="91" t="s">
        <v>184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325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326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181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327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146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150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183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182</v>
      </c>
      <c r="N567" s="20">
        <v>652080</v>
      </c>
    </row>
    <row r="568" spans="1:14" ht="18" customHeight="1">
      <c r="A568" s="91" t="s">
        <v>184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328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152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329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140</v>
      </c>
      <c r="I573" s="16" t="s">
        <v>118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157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330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154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262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236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183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182</v>
      </c>
      <c r="N594" s="20">
        <v>800310</v>
      </c>
    </row>
    <row r="595" spans="1:14" ht="18" customHeight="1">
      <c r="A595" s="91" t="s">
        <v>184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120</v>
      </c>
      <c r="I597" s="16" t="s">
        <v>104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120</v>
      </c>
      <c r="I598" s="10" t="s">
        <v>104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120</v>
      </c>
      <c r="I599" s="16" t="s">
        <v>104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120</v>
      </c>
      <c r="I600" s="10" t="s">
        <v>104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331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181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158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332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183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182</v>
      </c>
      <c r="N621" s="20">
        <v>141320</v>
      </c>
    </row>
    <row r="622" spans="1:14" ht="18" customHeight="1">
      <c r="A622" s="91" t="s">
        <v>184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120</v>
      </c>
      <c r="I625" s="16" t="s">
        <v>104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120</v>
      </c>
      <c r="I626" s="10" t="s">
        <v>104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181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120</v>
      </c>
      <c r="I636" s="10" t="s">
        <v>104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333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150</v>
      </c>
      <c r="I637" s="16" t="s">
        <v>169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334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150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120</v>
      </c>
      <c r="I639" s="16" t="s">
        <v>104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150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183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182</v>
      </c>
      <c r="N648" s="20">
        <f>89640+153770</f>
        <v>243410</v>
      </c>
    </row>
    <row r="649" spans="1:14" ht="18" customHeight="1">
      <c r="A649" s="91" t="s">
        <v>184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0" t="s">
        <v>18</v>
      </c>
      <c r="H650" s="10" t="s">
        <v>52</v>
      </c>
      <c r="I650" s="10" t="s">
        <v>42</v>
      </c>
      <c r="J650" s="13">
        <v>0.29166666666666669</v>
      </c>
      <c r="K650" s="13"/>
      <c r="L650" s="70" t="str">
        <f t="shared" ref="L650:L661" si="146">IFERROR(IF(K650="","",IF(K650&gt;=J650,K650-J650,K650+1-J650)),"")</f>
        <v/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/>
      <c r="H651" s="16"/>
      <c r="I651" s="16"/>
      <c r="J651" s="13"/>
      <c r="K651" s="13"/>
      <c r="L651" s="71" t="str">
        <f t="shared" si="146"/>
        <v/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/>
      <c r="F656" s="12" t="str">
        <f t="shared" si="145"/>
        <v/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/>
      <c r="F657" s="17" t="str">
        <f t="shared" si="145"/>
        <v/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/>
      <c r="F658" s="12" t="str">
        <f t="shared" si="145"/>
        <v/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/>
      <c r="F659" s="17" t="str">
        <f t="shared" si="145"/>
        <v/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/>
      <c r="F660" s="12" t="str">
        <f t="shared" si="145"/>
        <v/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/>
      <c r="F661" s="17" t="str">
        <f t="shared" si="145"/>
        <v/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181</v>
      </c>
      <c r="B662" s="19"/>
      <c r="C662" s="19"/>
      <c r="D662" s="19"/>
      <c r="E662" s="19">
        <f>SUM(E650:E661)</f>
        <v>32</v>
      </c>
      <c r="F662" s="19">
        <f>SUM(F650:F661)</f>
        <v>128</v>
      </c>
      <c r="G662" s="38"/>
      <c r="H662" s="38"/>
      <c r="I662" s="38"/>
      <c r="J662" s="38"/>
      <c r="K662" s="38"/>
      <c r="L662" s="72">
        <f>IFERROR(SUM(L650:L661),"")</f>
        <v>0</v>
      </c>
      <c r="M662" s="19" t="s">
        <v>182</v>
      </c>
      <c r="N662" s="20"/>
    </row>
    <row r="663" spans="1:14" ht="15" customHeight="1">
      <c r="A663" s="59">
        <v>46198</v>
      </c>
      <c r="B663" s="15">
        <v>0.83333333333333304</v>
      </c>
      <c r="C663" s="16"/>
      <c r="D663" s="63"/>
      <c r="E663" s="11"/>
      <c r="F663" s="17" t="str">
        <f t="shared" ref="F663:F674" si="148">IF(E663="","",E663*4)</f>
        <v/>
      </c>
      <c r="G663" s="16"/>
      <c r="H663" s="16"/>
      <c r="I663" s="16"/>
      <c r="J663" s="13"/>
      <c r="K663" s="13"/>
      <c r="L663" s="71" t="str">
        <f t="shared" ref="L663:L674" si="149">IFERROR(IF(K663="","",IF(K663&gt;=J663,K663-J663,K663+1-J663)),"")</f>
        <v/>
      </c>
      <c r="M663" s="11"/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0"/>
      <c r="D664" s="62"/>
      <c r="E664" s="11"/>
      <c r="F664" s="12" t="str">
        <f t="shared" si="148"/>
        <v/>
      </c>
      <c r="G664" s="10"/>
      <c r="H664" s="10"/>
      <c r="I664" s="10"/>
      <c r="J664" s="13"/>
      <c r="K664" s="13"/>
      <c r="L664" s="70" t="str">
        <f t="shared" si="149"/>
        <v/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/>
      <c r="D665" s="63"/>
      <c r="E665" s="11"/>
      <c r="F665" s="17" t="str">
        <f t="shared" si="148"/>
        <v/>
      </c>
      <c r="G665" s="16"/>
      <c r="H665" s="16"/>
      <c r="I665" s="16"/>
      <c r="J665" s="13"/>
      <c r="K665" s="13"/>
      <c r="L665" s="71" t="str">
        <f t="shared" si="149"/>
        <v/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0"/>
      <c r="D666" s="62"/>
      <c r="E666" s="11"/>
      <c r="F666" s="12" t="str">
        <f t="shared" si="148"/>
        <v/>
      </c>
      <c r="G666" s="10"/>
      <c r="H666" s="10"/>
      <c r="I666" s="10"/>
      <c r="J666" s="13"/>
      <c r="K666" s="13"/>
      <c r="L666" s="70" t="str">
        <f t="shared" si="149"/>
        <v/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/>
      <c r="D667" s="63"/>
      <c r="E667" s="11"/>
      <c r="F667" s="17" t="str">
        <f t="shared" si="148"/>
        <v/>
      </c>
      <c r="G667" s="16"/>
      <c r="H667" s="16"/>
      <c r="I667" s="16"/>
      <c r="J667" s="13"/>
      <c r="K667" s="13"/>
      <c r="L667" s="71" t="str">
        <f t="shared" si="149"/>
        <v/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0"/>
      <c r="D668" s="62"/>
      <c r="E668" s="11"/>
      <c r="F668" s="12" t="str">
        <f t="shared" si="148"/>
        <v/>
      </c>
      <c r="G668" s="10"/>
      <c r="H668" s="10"/>
      <c r="I668" s="10"/>
      <c r="J668" s="13"/>
      <c r="K668" s="13"/>
      <c r="L668" s="70" t="str">
        <f t="shared" si="149"/>
        <v/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/>
      <c r="D669" s="63"/>
      <c r="E669" s="11"/>
      <c r="F669" s="17" t="str">
        <f t="shared" si="148"/>
        <v/>
      </c>
      <c r="G669" s="16"/>
      <c r="H669" s="16"/>
      <c r="I669" s="16"/>
      <c r="J669" s="13"/>
      <c r="K669" s="13"/>
      <c r="L669" s="71" t="str">
        <f t="shared" si="149"/>
        <v/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0"/>
      <c r="D670" s="62"/>
      <c r="E670" s="11"/>
      <c r="F670" s="12" t="str">
        <f t="shared" si="148"/>
        <v/>
      </c>
      <c r="G670" s="10"/>
      <c r="H670" s="10"/>
      <c r="I670" s="10"/>
      <c r="J670" s="13"/>
      <c r="K670" s="13"/>
      <c r="L670" s="70" t="str">
        <f t="shared" si="149"/>
        <v/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/>
      <c r="D671" s="63"/>
      <c r="E671" s="11"/>
      <c r="F671" s="17" t="str">
        <f t="shared" si="148"/>
        <v/>
      </c>
      <c r="G671" s="16"/>
      <c r="H671" s="16"/>
      <c r="I671" s="16"/>
      <c r="J671" s="13"/>
      <c r="K671" s="13"/>
      <c r="L671" s="71" t="str">
        <f t="shared" si="149"/>
        <v/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0"/>
      <c r="D672" s="62"/>
      <c r="E672" s="11"/>
      <c r="F672" s="12" t="str">
        <f t="shared" si="148"/>
        <v/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/>
      <c r="D673" s="63"/>
      <c r="E673" s="11"/>
      <c r="F673" s="17" t="str">
        <f t="shared" si="148"/>
        <v/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/>
      <c r="D674" s="62"/>
      <c r="E674" s="11"/>
      <c r="F674" s="12" t="str">
        <f t="shared" si="148"/>
        <v/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183</v>
      </c>
      <c r="B675" s="90"/>
      <c r="C675" s="90"/>
      <c r="D675" s="90"/>
      <c r="E675" s="19">
        <f>SUM(E663:E674)</f>
        <v>0</v>
      </c>
      <c r="F675" s="19">
        <f>SUM(F663:F674)</f>
        <v>0</v>
      </c>
      <c r="G675" s="38"/>
      <c r="H675" s="38"/>
      <c r="I675" s="38"/>
      <c r="J675" s="38"/>
      <c r="K675" s="38"/>
      <c r="L675" s="72">
        <f>IFERROR(SUM(L663:L674),"")</f>
        <v>0</v>
      </c>
      <c r="M675" s="19" t="s">
        <v>182</v>
      </c>
      <c r="N675" s="20"/>
    </row>
    <row r="676" spans="1:14" ht="18" customHeight="1">
      <c r="A676" s="91" t="s">
        <v>184</v>
      </c>
      <c r="B676" s="91"/>
      <c r="C676" s="91"/>
      <c r="D676" s="91"/>
      <c r="E676" s="22">
        <f>E662+E675</f>
        <v>32</v>
      </c>
      <c r="F676" s="22">
        <f>F662+F675</f>
        <v>128</v>
      </c>
      <c r="G676" s="39"/>
      <c r="H676" s="39"/>
      <c r="I676" s="39"/>
      <c r="J676" s="39"/>
      <c r="K676" s="39"/>
      <c r="L676" s="73">
        <f>IFERROR(L662+L675,"")</f>
        <v>0</v>
      </c>
      <c r="M676" s="22" t="s">
        <v>185</v>
      </c>
      <c r="N676" s="31">
        <f>IFERROR(N662+N675,"")</f>
        <v>0</v>
      </c>
    </row>
    <row r="677" spans="1:14" ht="15" customHeight="1">
      <c r="A677" s="59">
        <v>46199</v>
      </c>
      <c r="B677" s="15">
        <v>0.33333333333333298</v>
      </c>
      <c r="C677" s="16"/>
      <c r="D677" s="63"/>
      <c r="E677" s="11"/>
      <c r="F677" s="17" t="str">
        <f t="shared" ref="F677:F688" si="151">IF(E677="","",E677*4)</f>
        <v/>
      </c>
      <c r="G677" s="16"/>
      <c r="H677" s="16"/>
      <c r="I677" s="16"/>
      <c r="J677" s="13"/>
      <c r="K677" s="13"/>
      <c r="L677" s="71" t="str">
        <f t="shared" ref="L677:L688" si="152">IFERROR(IF(K677="","",IF(K677&gt;=J677,K677-J677,K677+1-J677)),"")</f>
        <v/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0"/>
      <c r="D678" s="62"/>
      <c r="E678" s="11"/>
      <c r="F678" s="12" t="str">
        <f t="shared" si="151"/>
        <v/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/>
      <c r="D679" s="63"/>
      <c r="E679" s="11"/>
      <c r="F679" s="17" t="str">
        <f t="shared" si="151"/>
        <v/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0"/>
      <c r="D680" s="62"/>
      <c r="E680" s="11"/>
      <c r="F680" s="12" t="str">
        <f t="shared" si="151"/>
        <v/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/>
      <c r="D681" s="63"/>
      <c r="E681" s="11"/>
      <c r="F681" s="17" t="str">
        <f t="shared" si="151"/>
        <v/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0"/>
      <c r="D682" s="62"/>
      <c r="E682" s="11"/>
      <c r="F682" s="12" t="str">
        <f t="shared" si="151"/>
        <v/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/>
      <c r="D683" s="63"/>
      <c r="E683" s="11"/>
      <c r="F683" s="17" t="str">
        <f t="shared" si="151"/>
        <v/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0"/>
      <c r="D684" s="62"/>
      <c r="E684" s="11"/>
      <c r="F684" s="12" t="str">
        <f t="shared" si="151"/>
        <v/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/>
      <c r="D685" s="63"/>
      <c r="E685" s="11"/>
      <c r="F685" s="17" t="str">
        <f t="shared" si="151"/>
        <v/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0"/>
      <c r="D686" s="62"/>
      <c r="E686" s="11"/>
      <c r="F686" s="12" t="str">
        <f t="shared" si="151"/>
        <v/>
      </c>
      <c r="G686" s="10"/>
      <c r="H686" s="10"/>
      <c r="I686" s="10"/>
      <c r="J686" s="13"/>
      <c r="K686" s="13"/>
      <c r="L686" s="70" t="str">
        <f t="shared" si="152"/>
        <v/>
      </c>
      <c r="M686" s="11"/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/>
      <c r="D687" s="63"/>
      <c r="E687" s="11"/>
      <c r="F687" s="17" t="str">
        <f t="shared" si="151"/>
        <v/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0"/>
      <c r="D688" s="62"/>
      <c r="E688" s="11"/>
      <c r="F688" s="12" t="str">
        <f t="shared" si="151"/>
        <v/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181</v>
      </c>
      <c r="B689" s="90"/>
      <c r="C689" s="90"/>
      <c r="D689" s="90"/>
      <c r="E689" s="19">
        <f>SUM(E677:E688)</f>
        <v>0</v>
      </c>
      <c r="F689" s="19">
        <f>SUM(F677:F688)</f>
        <v>0</v>
      </c>
      <c r="G689" s="38"/>
      <c r="H689" s="38"/>
      <c r="I689" s="38"/>
      <c r="J689" s="38"/>
      <c r="K689" s="38"/>
      <c r="L689" s="72">
        <f>IFERROR(SUM(L677:L688),"")</f>
        <v>0</v>
      </c>
      <c r="M689" s="19" t="s">
        <v>182</v>
      </c>
      <c r="N689" s="20"/>
    </row>
    <row r="690" spans="1:14" ht="15" customHeight="1">
      <c r="A690" s="58">
        <v>46199</v>
      </c>
      <c r="B690" s="9">
        <v>0.83333333333333304</v>
      </c>
      <c r="C690" s="10"/>
      <c r="D690" s="62"/>
      <c r="E690" s="11"/>
      <c r="F690" s="12" t="str">
        <f t="shared" ref="F690:F701" si="154">IF(E690="","",E690*4)</f>
        <v/>
      </c>
      <c r="G690" s="10"/>
      <c r="H690" s="10"/>
      <c r="I690" s="10"/>
      <c r="J690" s="13"/>
      <c r="K690" s="13"/>
      <c r="L690" s="70" t="str">
        <f t="shared" ref="L690:L701" si="155">IFERROR(IF(K690="","",IF(K690&gt;=J690,K690-J690,K690+1-J690)),"")</f>
        <v/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6"/>
      <c r="D691" s="63"/>
      <c r="E691" s="11"/>
      <c r="F691" s="17" t="str">
        <f t="shared" si="154"/>
        <v/>
      </c>
      <c r="G691" s="16"/>
      <c r="H691" s="16"/>
      <c r="I691" s="16"/>
      <c r="J691" s="13"/>
      <c r="K691" s="13"/>
      <c r="L691" s="71" t="str">
        <f t="shared" si="155"/>
        <v/>
      </c>
      <c r="M691" s="11"/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/>
      <c r="D692" s="62"/>
      <c r="E692" s="11"/>
      <c r="F692" s="12" t="str">
        <f t="shared" si="154"/>
        <v/>
      </c>
      <c r="G692" s="10"/>
      <c r="H692" s="10"/>
      <c r="I692" s="10"/>
      <c r="J692" s="13"/>
      <c r="K692" s="13"/>
      <c r="L692" s="70" t="str">
        <f t="shared" si="155"/>
        <v/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6"/>
      <c r="D693" s="63"/>
      <c r="E693" s="11"/>
      <c r="F693" s="17" t="str">
        <f t="shared" si="154"/>
        <v/>
      </c>
      <c r="G693" s="16"/>
      <c r="H693" s="16"/>
      <c r="I693" s="16"/>
      <c r="J693" s="13"/>
      <c r="K693" s="13"/>
      <c r="L693" s="71" t="str">
        <f t="shared" si="155"/>
        <v/>
      </c>
      <c r="M693" s="11"/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/>
      <c r="D694" s="62"/>
      <c r="E694" s="11"/>
      <c r="F694" s="12" t="str">
        <f t="shared" si="154"/>
        <v/>
      </c>
      <c r="G694" s="10"/>
      <c r="H694" s="10"/>
      <c r="I694" s="10"/>
      <c r="J694" s="13"/>
      <c r="K694" s="13"/>
      <c r="L694" s="70" t="str">
        <f t="shared" si="155"/>
        <v/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6"/>
      <c r="D695" s="63"/>
      <c r="E695" s="11"/>
      <c r="F695" s="17" t="str">
        <f t="shared" si="154"/>
        <v/>
      </c>
      <c r="G695" s="16"/>
      <c r="H695" s="16"/>
      <c r="I695" s="16"/>
      <c r="J695" s="13"/>
      <c r="K695" s="13"/>
      <c r="L695" s="71" t="str">
        <f t="shared" si="155"/>
        <v/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/>
      <c r="D696" s="62"/>
      <c r="E696" s="11"/>
      <c r="F696" s="12" t="str">
        <f t="shared" si="154"/>
        <v/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6"/>
      <c r="D697" s="63"/>
      <c r="E697" s="11"/>
      <c r="F697" s="17" t="str">
        <f t="shared" si="154"/>
        <v/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/>
      <c r="D698" s="62"/>
      <c r="E698" s="11"/>
      <c r="F698" s="12" t="str">
        <f t="shared" si="154"/>
        <v/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6"/>
      <c r="D699" s="63"/>
      <c r="E699" s="11"/>
      <c r="F699" s="17" t="str">
        <f t="shared" si="154"/>
        <v/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/>
      <c r="D700" s="62"/>
      <c r="E700" s="11"/>
      <c r="F700" s="12" t="str">
        <f t="shared" si="154"/>
        <v/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6"/>
      <c r="D701" s="63"/>
      <c r="E701" s="11"/>
      <c r="F701" s="17" t="str">
        <f t="shared" si="154"/>
        <v/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183</v>
      </c>
      <c r="B702" s="90"/>
      <c r="C702" s="90"/>
      <c r="D702" s="90"/>
      <c r="E702" s="19">
        <f>SUM(E690:E701)</f>
        <v>0</v>
      </c>
      <c r="F702" s="19">
        <f>SUM(F690:F701)</f>
        <v>0</v>
      </c>
      <c r="G702" s="38"/>
      <c r="H702" s="38"/>
      <c r="I702" s="38"/>
      <c r="J702" s="38"/>
      <c r="K702" s="38"/>
      <c r="L702" s="72">
        <f>IFERROR(SUM(L690:L701),"")</f>
        <v>0</v>
      </c>
      <c r="M702" s="19" t="s">
        <v>182</v>
      </c>
      <c r="N702" s="20"/>
    </row>
    <row r="703" spans="1:14" ht="18" customHeight="1">
      <c r="A703" s="91" t="s">
        <v>184</v>
      </c>
      <c r="B703" s="91"/>
      <c r="C703" s="91"/>
      <c r="D703" s="91"/>
      <c r="E703" s="22">
        <f>E689+E702</f>
        <v>0</v>
      </c>
      <c r="F703" s="22">
        <f>F689+F702</f>
        <v>0</v>
      </c>
      <c r="G703" s="39"/>
      <c r="H703" s="39"/>
      <c r="I703" s="39"/>
      <c r="J703" s="39"/>
      <c r="K703" s="39"/>
      <c r="L703" s="73">
        <f>IFERROR(L689+L702,"")</f>
        <v>0</v>
      </c>
      <c r="M703" s="22" t="s">
        <v>185</v>
      </c>
      <c r="N703" s="31">
        <f>IFERROR(N689+N702,"")</f>
        <v>0</v>
      </c>
    </row>
    <row r="704" spans="1:14" ht="15" customHeight="1">
      <c r="A704" s="58">
        <v>46200</v>
      </c>
      <c r="B704" s="9">
        <v>0.33333333333333298</v>
      </c>
      <c r="C704" s="10"/>
      <c r="D704" s="62"/>
      <c r="E704" s="11"/>
      <c r="F704" s="12" t="str">
        <f t="shared" ref="F704:F715" si="157">IF(E704="","",E704*4)</f>
        <v/>
      </c>
      <c r="G704" s="10"/>
      <c r="H704" s="10"/>
      <c r="I704" s="10"/>
      <c r="J704" s="13"/>
      <c r="K704" s="13"/>
      <c r="L704" s="70" t="str">
        <f t="shared" ref="L704:L715" si="158">IFERROR(IF(K704="","",IF(K704&gt;=J704,K704-J704,K704+1-J704)),"")</f>
        <v/>
      </c>
      <c r="M704" s="11"/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6"/>
      <c r="D705" s="63"/>
      <c r="E705" s="11"/>
      <c r="F705" s="17" t="str">
        <f t="shared" si="157"/>
        <v/>
      </c>
      <c r="G705" s="16"/>
      <c r="H705" s="16"/>
      <c r="I705" s="16"/>
      <c r="J705" s="13"/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/>
      <c r="D706" s="62"/>
      <c r="E706" s="11"/>
      <c r="F706" s="12" t="str">
        <f t="shared" si="157"/>
        <v/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6"/>
      <c r="D707" s="63"/>
      <c r="E707" s="11"/>
      <c r="F707" s="17" t="str">
        <f t="shared" si="157"/>
        <v/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/>
      <c r="D708" s="62"/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6"/>
      <c r="D709" s="63"/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/>
      <c r="D710" s="62"/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6"/>
      <c r="D711" s="63"/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/>
      <c r="D712" s="62"/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6"/>
      <c r="D713" s="63"/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/>
      <c r="D714" s="62"/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6"/>
      <c r="D715" s="63"/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181</v>
      </c>
      <c r="B716" s="90"/>
      <c r="C716" s="90"/>
      <c r="D716" s="90"/>
      <c r="E716" s="19">
        <f>SUM(E704:E715)</f>
        <v>0</v>
      </c>
      <c r="F716" s="19">
        <f>SUM(F704:F715)</f>
        <v>0</v>
      </c>
      <c r="G716" s="38"/>
      <c r="H716" s="38"/>
      <c r="I716" s="38"/>
      <c r="J716" s="38"/>
      <c r="K716" s="38"/>
      <c r="L716" s="72">
        <f>IFERROR(SUM(L704:L715),"")</f>
        <v>0</v>
      </c>
      <c r="M716" s="19" t="s">
        <v>182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183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182</v>
      </c>
      <c r="N729" s="20"/>
    </row>
    <row r="730" spans="1:14" ht="18" customHeight="1">
      <c r="A730" s="91" t="s">
        <v>184</v>
      </c>
      <c r="B730" s="91"/>
      <c r="C730" s="91"/>
      <c r="D730" s="91"/>
      <c r="E730" s="22">
        <f>E716+E729</f>
        <v>0</v>
      </c>
      <c r="F730" s="22">
        <f>F716+F729</f>
        <v>0</v>
      </c>
      <c r="G730" s="39"/>
      <c r="H730" s="39"/>
      <c r="I730" s="39"/>
      <c r="J730" s="39"/>
      <c r="K730" s="39"/>
      <c r="L730" s="73">
        <f>IFERROR(L716+L729,"")</f>
        <v>0</v>
      </c>
      <c r="M730" s="22" t="s">
        <v>185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181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182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183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182</v>
      </c>
      <c r="N756" s="20"/>
    </row>
    <row r="757" spans="1:14" ht="18" customHeight="1">
      <c r="A757" s="91" t="s">
        <v>184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185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181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183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182</v>
      </c>
      <c r="N783" s="20"/>
    </row>
    <row r="784" spans="1:14" ht="18" customHeight="1">
      <c r="A784" s="91" t="s">
        <v>184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16"/>
      <c r="D785" s="63"/>
      <c r="E785" s="11"/>
      <c r="F785" s="17" t="str">
        <f t="shared" ref="F785:F796" si="175">IF(E785="","",E785*4)</f>
        <v/>
      </c>
      <c r="G785" s="16"/>
      <c r="H785" s="16"/>
      <c r="I785" s="16"/>
      <c r="J785" s="13"/>
      <c r="K785" s="13"/>
      <c r="L785" s="71" t="str">
        <f t="shared" ref="L785:L796" si="176">IFERROR(IF(K785="","",IF(K785&gt;=J785,K785-J785,K785+1-J785)),"")</f>
        <v/>
      </c>
      <c r="M785" s="11"/>
      <c r="N785" s="41"/>
    </row>
    <row r="786" spans="1:14" ht="15" customHeight="1">
      <c r="A786" s="58">
        <v>46203</v>
      </c>
      <c r="B786" s="9">
        <f t="shared" ref="B786:B796" si="177">B785+TIME(0,60,0)</f>
        <v>0.37499999999999967</v>
      </c>
      <c r="C786" s="10"/>
      <c r="D786" s="62"/>
      <c r="E786" s="11"/>
      <c r="F786" s="12" t="str">
        <f t="shared" si="175"/>
        <v/>
      </c>
      <c r="G786" s="10"/>
      <c r="H786" s="10"/>
      <c r="I786" s="10"/>
      <c r="J786" s="13"/>
      <c r="K786" s="13"/>
      <c r="L786" s="70" t="str">
        <f t="shared" si="176"/>
        <v/>
      </c>
      <c r="M786" s="11"/>
      <c r="N786" s="41"/>
    </row>
    <row r="787" spans="1:14" ht="15" customHeight="1">
      <c r="A787" s="59">
        <v>46203</v>
      </c>
      <c r="B787" s="15">
        <f t="shared" si="177"/>
        <v>0.41666666666666635</v>
      </c>
      <c r="C787" s="16"/>
      <c r="D787" s="63"/>
      <c r="E787" s="11"/>
      <c r="F787" s="17" t="str">
        <f t="shared" si="175"/>
        <v/>
      </c>
      <c r="G787" s="16"/>
      <c r="H787" s="16"/>
      <c r="I787" s="16"/>
      <c r="J787" s="13"/>
      <c r="K787" s="13"/>
      <c r="L787" s="71" t="str">
        <f t="shared" si="176"/>
        <v/>
      </c>
      <c r="M787" s="11"/>
      <c r="N787" s="41"/>
    </row>
    <row r="788" spans="1:14" ht="15" customHeight="1">
      <c r="A788" s="58">
        <v>46203</v>
      </c>
      <c r="B788" s="9">
        <f t="shared" si="177"/>
        <v>0.45833333333333304</v>
      </c>
      <c r="C788" s="10"/>
      <c r="D788" s="62"/>
      <c r="E788" s="11"/>
      <c r="F788" s="12" t="str">
        <f t="shared" si="175"/>
        <v/>
      </c>
      <c r="G788" s="10"/>
      <c r="H788" s="10"/>
      <c r="I788" s="10"/>
      <c r="J788" s="13"/>
      <c r="K788" s="13"/>
      <c r="L788" s="70" t="str">
        <f t="shared" si="176"/>
        <v/>
      </c>
      <c r="M788" s="11"/>
      <c r="N788" s="41"/>
    </row>
    <row r="789" spans="1:14" ht="15" customHeight="1">
      <c r="A789" s="59">
        <v>46203</v>
      </c>
      <c r="B789" s="15">
        <f t="shared" si="177"/>
        <v>0.49999999999999972</v>
      </c>
      <c r="C789" s="16"/>
      <c r="D789" s="63"/>
      <c r="E789" s="11"/>
      <c r="F789" s="17" t="str">
        <f t="shared" si="175"/>
        <v/>
      </c>
      <c r="G789" s="16"/>
      <c r="H789" s="16"/>
      <c r="I789" s="16"/>
      <c r="J789" s="13"/>
      <c r="K789" s="13"/>
      <c r="L789" s="71" t="str">
        <f t="shared" si="176"/>
        <v/>
      </c>
      <c r="M789" s="11"/>
      <c r="N789" s="41"/>
    </row>
    <row r="790" spans="1:14" ht="15" customHeight="1">
      <c r="A790" s="58">
        <v>46203</v>
      </c>
      <c r="B790" s="9">
        <f t="shared" si="177"/>
        <v>0.54166666666666641</v>
      </c>
      <c r="C790" s="10"/>
      <c r="D790" s="62"/>
      <c r="E790" s="11"/>
      <c r="F790" s="12" t="str">
        <f t="shared" si="175"/>
        <v/>
      </c>
      <c r="G790" s="10"/>
      <c r="H790" s="10"/>
      <c r="I790" s="10"/>
      <c r="J790" s="13"/>
      <c r="K790" s="13"/>
      <c r="L790" s="70" t="str">
        <f t="shared" si="176"/>
        <v/>
      </c>
      <c r="M790" s="11"/>
      <c r="N790" s="41"/>
    </row>
    <row r="791" spans="1:14" ht="15" customHeight="1">
      <c r="A791" s="59">
        <v>46203</v>
      </c>
      <c r="B791" s="15">
        <f t="shared" si="177"/>
        <v>0.58333333333333304</v>
      </c>
      <c r="C791" s="16"/>
      <c r="D791" s="63"/>
      <c r="E791" s="11"/>
      <c r="F791" s="17" t="str">
        <f t="shared" si="175"/>
        <v/>
      </c>
      <c r="G791" s="16"/>
      <c r="H791" s="16"/>
      <c r="I791" s="16"/>
      <c r="J791" s="13"/>
      <c r="K791" s="13"/>
      <c r="L791" s="71" t="str">
        <f t="shared" si="176"/>
        <v/>
      </c>
      <c r="M791" s="11"/>
      <c r="N791" s="41"/>
    </row>
    <row r="792" spans="1:14" ht="15" customHeight="1">
      <c r="A792" s="58">
        <v>46203</v>
      </c>
      <c r="B792" s="9">
        <f t="shared" si="177"/>
        <v>0.62499999999999967</v>
      </c>
      <c r="C792" s="10"/>
      <c r="D792" s="62"/>
      <c r="E792" s="11"/>
      <c r="F792" s="12" t="str">
        <f t="shared" si="175"/>
        <v/>
      </c>
      <c r="G792" s="10"/>
      <c r="H792" s="10"/>
      <c r="I792" s="10"/>
      <c r="J792" s="13"/>
      <c r="K792" s="13"/>
      <c r="L792" s="70" t="str">
        <f t="shared" si="176"/>
        <v/>
      </c>
      <c r="M792" s="11"/>
      <c r="N792" s="41"/>
    </row>
    <row r="793" spans="1:14" ht="15" customHeight="1">
      <c r="A793" s="59">
        <v>46203</v>
      </c>
      <c r="B793" s="15">
        <f t="shared" si="177"/>
        <v>0.6666666666666663</v>
      </c>
      <c r="C793" s="16"/>
      <c r="D793" s="63"/>
      <c r="E793" s="11"/>
      <c r="F793" s="17" t="str">
        <f t="shared" si="175"/>
        <v/>
      </c>
      <c r="G793" s="16"/>
      <c r="H793" s="16"/>
      <c r="I793" s="16"/>
      <c r="J793" s="13"/>
      <c r="K793" s="13"/>
      <c r="L793" s="71" t="str">
        <f t="shared" si="176"/>
        <v/>
      </c>
      <c r="M793" s="11"/>
      <c r="N793" s="41"/>
    </row>
    <row r="794" spans="1:14" ht="15" customHeight="1">
      <c r="A794" s="58">
        <v>46203</v>
      </c>
      <c r="B794" s="9">
        <f t="shared" si="177"/>
        <v>0.70833333333333293</v>
      </c>
      <c r="C794" s="10"/>
      <c r="D794" s="62"/>
      <c r="E794" s="11"/>
      <c r="F794" s="12" t="str">
        <f t="shared" si="175"/>
        <v/>
      </c>
      <c r="G794" s="10"/>
      <c r="H794" s="10"/>
      <c r="I794" s="10"/>
      <c r="J794" s="13"/>
      <c r="K794" s="13"/>
      <c r="L794" s="70" t="str">
        <f t="shared" si="176"/>
        <v/>
      </c>
      <c r="M794" s="11"/>
      <c r="N794" s="41"/>
    </row>
    <row r="795" spans="1:14" ht="15" customHeight="1">
      <c r="A795" s="59">
        <v>46203</v>
      </c>
      <c r="B795" s="15">
        <f t="shared" si="177"/>
        <v>0.74999999999999956</v>
      </c>
      <c r="C795" s="16"/>
      <c r="D795" s="63"/>
      <c r="E795" s="11"/>
      <c r="F795" s="17" t="str">
        <f t="shared" si="175"/>
        <v/>
      </c>
      <c r="G795" s="16"/>
      <c r="H795" s="16"/>
      <c r="I795" s="16"/>
      <c r="J795" s="13"/>
      <c r="K795" s="13"/>
      <c r="L795" s="71" t="str">
        <f t="shared" si="176"/>
        <v/>
      </c>
      <c r="M795" s="11"/>
      <c r="N795" s="41"/>
    </row>
    <row r="796" spans="1:14" ht="15" customHeight="1">
      <c r="A796" s="58">
        <v>46203</v>
      </c>
      <c r="B796" s="9">
        <f t="shared" si="177"/>
        <v>0.79166666666666619</v>
      </c>
      <c r="C796" s="10"/>
      <c r="D796" s="62"/>
      <c r="E796" s="11"/>
      <c r="F796" s="12" t="str">
        <f t="shared" si="175"/>
        <v/>
      </c>
      <c r="G796" s="10"/>
      <c r="H796" s="10"/>
      <c r="I796" s="10"/>
      <c r="J796" s="13"/>
      <c r="K796" s="13"/>
      <c r="L796" s="70" t="str">
        <f t="shared" si="176"/>
        <v/>
      </c>
      <c r="M796" s="11"/>
      <c r="N796" s="41"/>
    </row>
    <row r="797" spans="1:14" ht="15.75" customHeight="1">
      <c r="A797" s="90" t="s">
        <v>181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62"/>
      <c r="E798" s="11"/>
      <c r="F798" s="12" t="str">
        <f t="shared" ref="F798:F809" si="178">IF(E798="","",E798*4)</f>
        <v/>
      </c>
      <c r="G798" s="10"/>
      <c r="H798" s="10"/>
      <c r="I798" s="10"/>
      <c r="J798" s="13"/>
      <c r="K798" s="13"/>
      <c r="L798" s="70" t="str">
        <f t="shared" ref="L798:L809" si="179">IFERROR(IF(K798="","",IF(K798&gt;=J798,K798-J798,K798+1-J798)),"")</f>
        <v/>
      </c>
      <c r="M798" s="11"/>
      <c r="N798" s="41"/>
    </row>
    <row r="799" spans="1:14" ht="15" customHeight="1">
      <c r="A799" s="59">
        <v>46203</v>
      </c>
      <c r="B799" s="15">
        <f t="shared" ref="B799:B809" si="180">B798+TIME(0,60,0)</f>
        <v>0.87499999999999967</v>
      </c>
      <c r="C799" s="16"/>
      <c r="D799" s="63"/>
      <c r="E799" s="11"/>
      <c r="F799" s="17" t="str">
        <f t="shared" si="178"/>
        <v/>
      </c>
      <c r="G799" s="16"/>
      <c r="H799" s="16"/>
      <c r="I799" s="16"/>
      <c r="J799" s="13"/>
      <c r="K799" s="13"/>
      <c r="L799" s="71" t="str">
        <f t="shared" si="179"/>
        <v/>
      </c>
      <c r="M799" s="11"/>
      <c r="N799" s="41"/>
    </row>
    <row r="800" spans="1:14" ht="15" customHeight="1">
      <c r="A800" s="58">
        <v>46203</v>
      </c>
      <c r="B800" s="9">
        <f t="shared" si="180"/>
        <v>0.9166666666666663</v>
      </c>
      <c r="C800" s="10"/>
      <c r="D800" s="62"/>
      <c r="E800" s="11"/>
      <c r="F800" s="12" t="str">
        <f t="shared" si="178"/>
        <v/>
      </c>
      <c r="G800" s="10"/>
      <c r="H800" s="10"/>
      <c r="I800" s="10"/>
      <c r="J800" s="13"/>
      <c r="K800" s="13"/>
      <c r="L800" s="70" t="str">
        <f t="shared" si="179"/>
        <v/>
      </c>
      <c r="M800" s="11"/>
      <c r="N800" s="41"/>
    </row>
    <row r="801" spans="1:14" ht="15" customHeight="1">
      <c r="A801" s="59">
        <v>46203</v>
      </c>
      <c r="B801" s="15">
        <f t="shared" si="180"/>
        <v>0.95833333333333293</v>
      </c>
      <c r="C801" s="16"/>
      <c r="D801" s="63"/>
      <c r="E801" s="11"/>
      <c r="F801" s="17" t="str">
        <f t="shared" si="178"/>
        <v/>
      </c>
      <c r="G801" s="16"/>
      <c r="H801" s="16"/>
      <c r="I801" s="16"/>
      <c r="J801" s="13"/>
      <c r="K801" s="13"/>
      <c r="L801" s="71" t="str">
        <f t="shared" si="179"/>
        <v/>
      </c>
      <c r="M801" s="11"/>
      <c r="N801" s="41"/>
    </row>
    <row r="802" spans="1:14" ht="15" customHeight="1">
      <c r="A802" s="58">
        <v>46203</v>
      </c>
      <c r="B802" s="9">
        <f t="shared" si="180"/>
        <v>0.99999999999999956</v>
      </c>
      <c r="C802" s="10"/>
      <c r="D802" s="62"/>
      <c r="E802" s="11"/>
      <c r="F802" s="12" t="str">
        <f t="shared" si="178"/>
        <v/>
      </c>
      <c r="G802" s="10"/>
      <c r="H802" s="10"/>
      <c r="I802" s="10"/>
      <c r="J802" s="13"/>
      <c r="K802" s="13"/>
      <c r="L802" s="70" t="str">
        <f t="shared" si="179"/>
        <v/>
      </c>
      <c r="M802" s="11"/>
      <c r="N802" s="41"/>
    </row>
    <row r="803" spans="1:14" ht="15" customHeight="1">
      <c r="A803" s="59">
        <v>46203</v>
      </c>
      <c r="B803" s="15">
        <f t="shared" si="180"/>
        <v>1.0416666666666663</v>
      </c>
      <c r="C803" s="16"/>
      <c r="D803" s="63"/>
      <c r="E803" s="11"/>
      <c r="F803" s="17" t="str">
        <f t="shared" si="178"/>
        <v/>
      </c>
      <c r="G803" s="16"/>
      <c r="H803" s="16"/>
      <c r="I803" s="16"/>
      <c r="J803" s="13"/>
      <c r="K803" s="13"/>
      <c r="L803" s="71" t="str">
        <f t="shared" si="179"/>
        <v/>
      </c>
      <c r="M803" s="11"/>
      <c r="N803" s="41"/>
    </row>
    <row r="804" spans="1:14" ht="15" customHeight="1">
      <c r="A804" s="58">
        <v>46203</v>
      </c>
      <c r="B804" s="9">
        <f t="shared" si="180"/>
        <v>1.083333333333333</v>
      </c>
      <c r="C804" s="10"/>
      <c r="D804" s="62"/>
      <c r="E804" s="11"/>
      <c r="F804" s="12" t="str">
        <f t="shared" si="178"/>
        <v/>
      </c>
      <c r="G804" s="10"/>
      <c r="H804" s="10"/>
      <c r="I804" s="10"/>
      <c r="J804" s="13"/>
      <c r="K804" s="13"/>
      <c r="L804" s="70" t="str">
        <f t="shared" si="179"/>
        <v/>
      </c>
      <c r="M804" s="11"/>
      <c r="N804" s="41"/>
    </row>
    <row r="805" spans="1:14" ht="15" customHeight="1">
      <c r="A805" s="59">
        <v>46203</v>
      </c>
      <c r="B805" s="15">
        <f t="shared" si="180"/>
        <v>1.1249999999999998</v>
      </c>
      <c r="C805" s="16"/>
      <c r="D805" s="63"/>
      <c r="E805" s="11"/>
      <c r="F805" s="17" t="str">
        <f t="shared" si="178"/>
        <v/>
      </c>
      <c r="G805" s="16"/>
      <c r="H805" s="16"/>
      <c r="I805" s="16"/>
      <c r="J805" s="13"/>
      <c r="K805" s="13"/>
      <c r="L805" s="71" t="str">
        <f t="shared" si="179"/>
        <v/>
      </c>
      <c r="M805" s="11"/>
      <c r="N805" s="41"/>
    </row>
    <row r="806" spans="1:14" ht="15" customHeight="1">
      <c r="A806" s="58">
        <v>46203</v>
      </c>
      <c r="B806" s="9">
        <f t="shared" si="180"/>
        <v>1.1666666666666665</v>
      </c>
      <c r="C806" s="10"/>
      <c r="D806" s="62"/>
      <c r="E806" s="11"/>
      <c r="F806" s="12" t="str">
        <f t="shared" si="178"/>
        <v/>
      </c>
      <c r="G806" s="10"/>
      <c r="H806" s="10"/>
      <c r="I806" s="10"/>
      <c r="J806" s="13"/>
      <c r="K806" s="13"/>
      <c r="L806" s="70" t="str">
        <f t="shared" si="179"/>
        <v/>
      </c>
      <c r="M806" s="11"/>
      <c r="N806" s="41"/>
    </row>
    <row r="807" spans="1:14" ht="15" customHeight="1">
      <c r="A807" s="59">
        <v>46203</v>
      </c>
      <c r="B807" s="15">
        <f t="shared" si="180"/>
        <v>1.2083333333333333</v>
      </c>
      <c r="C807" s="16"/>
      <c r="D807" s="63"/>
      <c r="E807" s="11"/>
      <c r="F807" s="17" t="str">
        <f t="shared" si="178"/>
        <v/>
      </c>
      <c r="G807" s="16"/>
      <c r="H807" s="16"/>
      <c r="I807" s="16"/>
      <c r="J807" s="13"/>
      <c r="K807" s="13"/>
      <c r="L807" s="71" t="str">
        <f t="shared" si="179"/>
        <v/>
      </c>
      <c r="M807" s="11"/>
      <c r="N807" s="41"/>
    </row>
    <row r="808" spans="1:14" ht="15" customHeight="1">
      <c r="A808" s="58">
        <v>46203</v>
      </c>
      <c r="B808" s="9">
        <f t="shared" si="180"/>
        <v>1.25</v>
      </c>
      <c r="C808" s="10"/>
      <c r="D808" s="62"/>
      <c r="E808" s="11"/>
      <c r="F808" s="12" t="str">
        <f t="shared" si="178"/>
        <v/>
      </c>
      <c r="G808" s="10"/>
      <c r="H808" s="10"/>
      <c r="I808" s="10"/>
      <c r="J808" s="13"/>
      <c r="K808" s="13"/>
      <c r="L808" s="70" t="str">
        <f t="shared" si="179"/>
        <v/>
      </c>
      <c r="M808" s="11"/>
      <c r="N808" s="41"/>
    </row>
    <row r="809" spans="1:14" ht="15" customHeight="1">
      <c r="A809" s="59">
        <v>46203</v>
      </c>
      <c r="B809" s="15">
        <f t="shared" si="180"/>
        <v>1.2916666666666667</v>
      </c>
      <c r="C809" s="16"/>
      <c r="D809" s="63"/>
      <c r="E809" s="11"/>
      <c r="F809" s="17" t="str">
        <f t="shared" si="178"/>
        <v/>
      </c>
      <c r="G809" s="16"/>
      <c r="H809" s="16"/>
      <c r="I809" s="16"/>
      <c r="J809" s="13"/>
      <c r="K809" s="13"/>
      <c r="L809" s="71" t="str">
        <f t="shared" si="179"/>
        <v/>
      </c>
      <c r="M809" s="11"/>
      <c r="N809" s="41"/>
    </row>
    <row r="810" spans="1:14" ht="15.75" customHeight="1">
      <c r="A810" s="90" t="s">
        <v>183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182</v>
      </c>
      <c r="N810" s="20"/>
    </row>
    <row r="811" spans="1:14" ht="18" customHeight="1">
      <c r="A811" s="91" t="s">
        <v>184</v>
      </c>
      <c r="B811" s="91"/>
      <c r="C811" s="91"/>
      <c r="D811" s="91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2026-06-25T18:04:11Z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