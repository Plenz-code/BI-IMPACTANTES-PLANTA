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93" documentId="8_{C51EB6CB-002B-4D6B-B68F-DDEBDB4460C0}" xr6:coauthVersionLast="47" xr6:coauthVersionMax="47" xr10:uidLastSave="{282A621C-CA0B-4D58-8862-24FCF3A20B8A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<sst xmlns="http://schemas.openxmlformats.org/spreadsheetml/2006/main" count="3655" uniqueCount="290">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</sst>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N165" sqref="N1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/>
      <c r="M164" s="30">
        <f t="shared" ref="M164:M175" ca="1" si="37">IFERROR(IF(K164="","",IF(L164="",MOD(NOW()-K164,1),IF(L164&gt;=K164,L164-K164,L164+1-K164))),"")</f>
        <v>1.8243171296489891E-2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84</v>
      </c>
      <c r="G176" s="36">
        <f>SUM(G164:G175)</f>
        <v>420</v>
      </c>
      <c r="H176" s="37"/>
      <c r="I176" s="37"/>
      <c r="J176" s="37"/>
      <c r="K176" s="37"/>
      <c r="L176" s="37"/>
      <c r="M176" s="38">
        <f ca="1">IFERROR(SUM(M164:M175),"")</f>
        <v>1.8243171296489891E-2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420</v>
      </c>
      <c r="H190" s="41"/>
      <c r="I190" s="41"/>
      <c r="J190" s="41"/>
      <c r="K190" s="41"/>
      <c r="L190" s="41"/>
      <c r="M190" s="42">
        <f ca="1">IFERROR(M176+M189,"")</f>
        <v>1.8243171296489891E-2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40" activePane="bottomLeft" state="frozen"/>
      <selection pane="bottomLeft" activeCell="H165" sqref="H1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0.27171539351547835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0.41060428240436725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0.49532650462658956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158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18</v>
      </c>
      <c r="I165" s="33"/>
      <c r="J165" s="33"/>
      <c r="K165" s="29">
        <v>0.39305555555555555</v>
      </c>
      <c r="L165" s="29"/>
      <c r="M165" s="35">
        <f t="shared" ca="1" si="37"/>
        <v>1.8761574028758332E-4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10</v>
      </c>
      <c r="G176" s="36">
        <f>SUM(G164:G175)</f>
        <v>42</v>
      </c>
      <c r="H176" s="37"/>
      <c r="I176" s="37"/>
      <c r="J176" s="37"/>
      <c r="K176" s="37"/>
      <c r="L176" s="37"/>
      <c r="M176" s="38">
        <f ca="1">IFERROR(SUM(M164:M175),"")</f>
        <v>3.1437615740287583E-2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10</v>
      </c>
      <c r="G190" s="40">
        <f>G176+G189</f>
        <v>42</v>
      </c>
      <c r="H190" s="41"/>
      <c r="I190" s="41"/>
      <c r="J190" s="41"/>
      <c r="K190" s="41"/>
      <c r="L190" s="41"/>
      <c r="M190" s="42">
        <f ca="1">IFERROR(M176+M189,"")</f>
        <v>3.1437615740287583E-2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44" zoomScale="50" zoomScaleNormal="50" workbookViewId="0">
      <selection activeCell="F166" sqref="F1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18</v>
      </c>
      <c r="G176" s="36">
        <f>SUM(G164:G175)</f>
        <v>75.600000000000009</v>
      </c>
      <c r="H176" s="37"/>
      <c r="I176" s="37"/>
      <c r="J176" s="37"/>
      <c r="K176" s="37"/>
      <c r="L176" s="37"/>
      <c r="M176" s="38">
        <f ca="1">IFERROR(SUM(M164:M175),"")</f>
        <v>8.3333333333333592E-3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18</v>
      </c>
      <c r="G190" s="40">
        <f>G176+G189</f>
        <v>75.600000000000009</v>
      </c>
      <c r="H190" s="41"/>
      <c r="I190" s="41"/>
      <c r="J190" s="41"/>
      <c r="K190" s="41"/>
      <c r="L190" s="41"/>
      <c r="M190" s="42">
        <f ca="1">IFERROR(M176+M189,"")</f>
        <v>8.3333333333333592E-3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F166" sqref="F1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289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/>
      <c r="G166" s="28" t="str">
        <f t="shared" si="36"/>
        <v/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22</v>
      </c>
      <c r="G176" s="36">
        <f>SUM(G164:G175)</f>
        <v>92.4</v>
      </c>
      <c r="H176" s="37"/>
      <c r="I176" s="37"/>
      <c r="J176" s="37"/>
      <c r="K176" s="61"/>
      <c r="L176" s="61"/>
      <c r="M176" s="38">
        <f ca="1">IFERROR(SUM(M164:M175),"")</f>
        <v>4.2361111111111072E-2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22</v>
      </c>
      <c r="G190" s="40">
        <f>G176+G189</f>
        <v>92.4</v>
      </c>
      <c r="H190" s="41"/>
      <c r="I190" s="41"/>
      <c r="J190" s="41"/>
      <c r="K190" s="63"/>
      <c r="L190" s="63"/>
      <c r="M190" s="42">
        <f ca="1">IFERROR(M176+M189,"")</f>
        <v>4.2361111111111072E-2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2026-08-07T13:28:10Z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