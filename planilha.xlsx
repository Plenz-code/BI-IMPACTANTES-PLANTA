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013" documentId="8_{AF585B22-221D-4780-BB9C-493D365A6A02}" xr6:coauthVersionLast="47" xr6:coauthVersionMax="47" xr10:uidLastSave="{B4272860-C229-4C5E-8120-353AE0855008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<sst xmlns="http://schemas.openxmlformats.org/spreadsheetml/2006/main" count="7886" uniqueCount="354">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</sst>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2098690</v>
      </c>
      <c r="D22" s="8">
        <f>IFERROR('Linha 1'!O514,"")</f>
        <v>751110</v>
      </c>
      <c r="E22" s="8">
        <f>IFERROR('Linha 2'!O514,"")</f>
        <v>316430</v>
      </c>
      <c r="F22" s="8">
        <f>IFERROR('Linha 3'!O514,"")</f>
        <v>1031150</v>
      </c>
      <c r="G22" s="9">
        <f t="shared" si="0"/>
        <v>2098690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58684012</v>
      </c>
      <c r="D35" s="13">
        <f>IFERROR(SUM(D4:D34),"")</f>
        <v>21837300</v>
      </c>
      <c r="E35" s="13">
        <f>IFERROR(SUM(E4:E34),"")</f>
        <v>13133660</v>
      </c>
      <c r="F35" s="13">
        <f>IFERROR(SUM(F4:F34),"")</f>
        <v>26457640</v>
      </c>
      <c r="G35" s="13">
        <f>IFERROR(SUM(G4:G34),"")</f>
        <v>61428600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72" activePane="bottomLeft" state="frozen"/>
      <selection pane="bottomLeft" activeCell="E512" sqref="E51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>
        <v>2098690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254</v>
      </c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231</v>
      </c>
      <c r="G514" s="40">
        <f>G500+G513</f>
        <v>1082.2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2098690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69" activePane="bottomLeft" state="frozen"/>
      <selection pane="bottomLeft" activeCell="O501" sqref="O50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0.54227175925916526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0.69991064814805415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0.80963287037027631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0.52074398148397449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0.69157731481730789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0.83671620370619681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296</v>
      </c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230</v>
      </c>
      <c r="O500" s="78">
        <v>751110</v>
      </c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130</v>
      </c>
      <c r="G514" s="40">
        <f>G500+G513</f>
        <v>590.79999999999995</v>
      </c>
      <c r="H514" s="41"/>
      <c r="I514" s="41"/>
      <c r="J514" s="41"/>
      <c r="K514" s="41"/>
      <c r="L514" s="41"/>
      <c r="M514" s="42">
        <f ca="1">IFERROR(M500+M513,"")</f>
        <v>9.9305555555555702E-2</v>
      </c>
      <c r="N514" s="40" t="s">
        <v>233</v>
      </c>
      <c r="O514" s="84">
        <f>IFERROR(O500+O513,"")</f>
        <v>751110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68" zoomScale="50" zoomScaleNormal="50" workbookViewId="0">
      <selection activeCell="O501" sqref="O50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305</v>
      </c>
      <c r="N166" s="27" t="s">
        <v>306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317</v>
      </c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>
        <v>316430</v>
      </c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54</v>
      </c>
      <c r="G514" s="40">
        <f>G500+G513</f>
        <v>248.40000000000003</v>
      </c>
      <c r="H514" s="41"/>
      <c r="I514" s="41"/>
      <c r="J514" s="41"/>
      <c r="K514" s="41"/>
      <c r="L514" s="41"/>
      <c r="M514" s="42">
        <f ca="1">IFERROR(M500+M513,"")</f>
        <v>1.736111111111116E-2</v>
      </c>
      <c r="N514" s="40" t="s">
        <v>233</v>
      </c>
      <c r="O514" s="48">
        <f>IFERROR(O500+O513,"")</f>
        <v>316430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69" activePane="bottomLeft" state="frozen"/>
      <selection pane="bottomLeft" activeCell="O501" sqref="O50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322</v>
      </c>
      <c r="L58" s="29">
        <v>0.54097222222222219</v>
      </c>
      <c r="M58" s="30" t="str">
        <f t="shared" ca="1" si="13"/>
        <v/>
      </c>
      <c r="N58" s="27" t="s">
        <v>323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0.53254953704163199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0.73185509259718762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1.0992162037082986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352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353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327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327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>
        <v>1031150</v>
      </c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155</v>
      </c>
      <c r="G514" s="40">
        <f>G500+G513</f>
        <v>714.20000000000016</v>
      </c>
      <c r="H514" s="41"/>
      <c r="I514" s="41"/>
      <c r="J514" s="41"/>
      <c r="K514" s="63"/>
      <c r="L514" s="63"/>
      <c r="M514" s="42">
        <f ca="1">IFERROR(M500+M513,"")</f>
        <v>4.9305555555555436E-2</v>
      </c>
      <c r="N514" s="40" t="s">
        <v>233</v>
      </c>
      <c r="O514" s="48">
        <f>IFERROR(O500+O513,"")</f>
        <v>1031150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2026-07-19T22:46:15Z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