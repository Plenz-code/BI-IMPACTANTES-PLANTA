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32" documentId="13_ncr:1_{A6DBCFB4-28D9-4249-9038-216934055CA6}" xr6:coauthVersionLast="47" xr6:coauthVersionMax="47" xr10:uidLastSave="{C8BB9F45-5C37-48EB-BA95-2098E11A4AF1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<sst xmlns="http://schemas.openxmlformats.org/spreadsheetml/2006/main" count="8937" uniqueCount="401">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</sst>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D529" sqref="D52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/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39</v>
      </c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17</v>
      </c>
      <c r="G540" s="2">
        <f>SUM(G528:G539)</f>
        <v>85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205</v>
      </c>
      <c r="G541" s="1">
        <f>G527+G540</f>
        <v>966.6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P529" sqref="P52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0.74407268518552883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0.88296157407441656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0.96768379629663936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/>
      <c r="M529" s="70"/>
      <c r="N529" s="70" t="s">
        <v>71</v>
      </c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7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29.400000000000002</v>
      </c>
      <c r="L540" s="72"/>
      <c r="M540" s="72"/>
      <c r="N540" s="72"/>
      <c r="O540" s="72"/>
      <c r="P540" s="72"/>
      <c r="Q540" s="73">
        <f ca="1">IFERROR(SUM(Q528:Q539),"")</f>
        <v>1.1805555555555625E-2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186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854.80000000000007</v>
      </c>
      <c r="L541" s="76"/>
      <c r="M541" s="76"/>
      <c r="N541" s="76"/>
      <c r="O541" s="76"/>
      <c r="P541" s="76"/>
      <c r="Q541" s="77">
        <f ca="1">IFERROR(Q527+Q540,"")</f>
        <v>7.6388888888888895E-2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15" activePane="bottomLeft" state="frozen"/>
      <selection pane="bottomLeft" activeCell="P527" sqref="P527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/>
      <c r="M528" s="61"/>
      <c r="N528" s="61"/>
      <c r="O528" s="65">
        <v>0.86111111111111116</v>
      </c>
      <c r="P528" s="65"/>
      <c r="Q528" s="66">
        <f t="shared" ref="Q528:Q539" ca="1" si="133">IFERROR(IF(O528="","",IF(P528="",MOD(NOW()-O528,1),IF(P528&gt;=O528,P528-O528,P528+1-O528))),"")</f>
        <v>4.4891203724546358E-3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/>
      <c r="F529" s="88">
        <f>IFERROR(IF($D529="","",VLOOKUP($D529,Cadastro!$C$4:$E$7,3,FALSE())),"")</f>
        <v>0.24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31</v>
      </c>
      <c r="E530" s="87"/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19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79.8</v>
      </c>
      <c r="L540" s="72"/>
      <c r="M540" s="72"/>
      <c r="N540" s="72"/>
      <c r="O540" s="72"/>
      <c r="P540" s="72"/>
      <c r="Q540" s="73">
        <f ca="1">IFERROR(SUM(Q528:Q539),"")</f>
        <v>4.4891203724546358E-3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96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428.8</v>
      </c>
      <c r="L541" s="76"/>
      <c r="M541" s="76"/>
      <c r="N541" s="76"/>
      <c r="O541" s="76"/>
      <c r="P541" s="76"/>
      <c r="Q541" s="77">
        <f ca="1">IFERROR(Q527+Q540,"")</f>
        <v>7.3239120372454558E-2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O528" sqref="O52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/>
      <c r="M528" s="61"/>
      <c r="N528" s="61"/>
      <c r="O528" s="65">
        <v>0.86388888888888893</v>
      </c>
      <c r="P528" s="65"/>
      <c r="Q528" s="66">
        <f t="shared" ref="Q528:Q539" ca="1" si="136">IFERROR(IF(O528="","",IF(P528="",MOD(NOW()-O528,1),IF(P528&gt;=O528,P528-O528,P528+1-O528))),"")</f>
        <v>1.7113425928982906E-3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31</v>
      </c>
      <c r="E530" s="87" t="s">
        <v>274</v>
      </c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22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92.4</v>
      </c>
      <c r="L540" s="72"/>
      <c r="M540" s="72"/>
      <c r="N540" s="72"/>
      <c r="O540" s="134"/>
      <c r="P540" s="134"/>
      <c r="Q540" s="73">
        <f ca="1">IFERROR(SUM(Q528:Q539),"")</f>
        <v>1.7113425928982906E-3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219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993.4</v>
      </c>
      <c r="L541" s="76"/>
      <c r="M541" s="76"/>
      <c r="N541" s="76"/>
      <c r="O541" s="135"/>
      <c r="P541" s="135"/>
      <c r="Q541" s="77">
        <f ca="1">IFERROR(Q527+Q540,"")</f>
        <v>5.1711342592898391E-2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2026-08-21T00:46:28Z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