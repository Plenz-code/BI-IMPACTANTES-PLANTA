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789" documentId="8_{AF585B22-221D-4780-BB9C-493D365A6A02}" xr6:coauthVersionLast="47" xr6:coauthVersionMax="47" xr10:uidLastSave="{38E35973-18E3-48AD-986A-DCDFF2EF19AC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<sst xmlns="http://schemas.openxmlformats.org/spreadsheetml/2006/main" count="12371" uniqueCount="442">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</sst>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27" t="s">
        <v>9</v>
      </c>
      <c r="B35" s="127"/>
      <c r="C35" s="13">
        <f>IFERROR(SUM(C4:C34),"")</f>
        <v>94024778</v>
      </c>
      <c r="D35" s="13">
        <f>IFERROR(SUM(D4:D34),"")</f>
        <v>37560090</v>
      </c>
      <c r="E35" s="13">
        <f>IFERROR(SUM(E4:E34),"")</f>
        <v>20853980</v>
      </c>
      <c r="F35" s="13">
        <f>IFERROR(SUM(F4:F34),"")</f>
        <v>37673430</v>
      </c>
      <c r="G35" s="13">
        <f>IFERROR(SUM(G4:G34),"")</f>
        <v>96087500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790" activePane="bottomLeft" state="frozen"/>
      <selection pane="bottomLeft" activeCell="G819" sqref="G81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/>
      <c r="M812" s="78">
        <f ca="1">IFERROR(IF(K812="","",IF(L812="",MOD(NOW()-K812,1),IF(L812&gt;=K812,L812-K812,L812+1-K812))),"")</f>
        <v>8.6568634258583188E-2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/>
      <c r="G819" s="101"/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/>
      <c r="G820" s="104"/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/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/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/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54</v>
      </c>
      <c r="G824" s="37"/>
      <c r="H824" s="37"/>
      <c r="I824" s="37"/>
      <c r="J824" s="37"/>
      <c r="K824" s="37"/>
      <c r="L824" s="37"/>
      <c r="M824" s="110">
        <f ca="1">IFERROR(SUM(M812:M823),"")</f>
        <v>8.6568634258583188E-2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1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54</v>
      </c>
      <c r="G838" s="111">
        <f>G824+G837</f>
        <v>0</v>
      </c>
      <c r="H838" s="41"/>
      <c r="I838" s="41"/>
      <c r="J838" s="41"/>
      <c r="K838" s="41"/>
      <c r="L838" s="41"/>
      <c r="M838" s="112">
        <f ca="1">IFERROR(M824+M837,"")</f>
        <v>8.6568634258583188E-2</v>
      </c>
      <c r="N838" s="111" t="s">
        <v>240</v>
      </c>
      <c r="O838" s="83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784" activePane="bottomLeft" state="frozen"/>
      <selection pane="bottomLeft" activeCell="F819" sqref="F8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0.34698530092282454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0.50462418981171342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0.61434641203393558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0.32545752314763376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0.49629085648096716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0.64142974536985609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335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336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337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338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340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341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342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343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346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347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348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113</v>
      </c>
      <c r="G824" s="109">
        <f>SUM(G812:G823)</f>
        <v>474.6</v>
      </c>
      <c r="H824" s="37"/>
      <c r="I824" s="37"/>
      <c r="J824" s="37"/>
      <c r="K824" s="37"/>
      <c r="L824" s="37"/>
      <c r="M824" s="110">
        <f ca="1">IFERROR(SUM(M812:M823),"")</f>
        <v>5.9722222222222177E-2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113</v>
      </c>
      <c r="G838" s="111">
        <f>G824+G837</f>
        <v>474.6</v>
      </c>
      <c r="H838" s="41"/>
      <c r="I838" s="41"/>
      <c r="J838" s="41"/>
      <c r="K838" s="41"/>
      <c r="L838" s="41"/>
      <c r="M838" s="112">
        <f ca="1">IFERROR(M824+M837,"")</f>
        <v>5.9722222222222177E-2</v>
      </c>
      <c r="N838" s="111" t="s">
        <v>240</v>
      </c>
      <c r="O838" s="82">
        <f>IFERROR(O824+O837,"")</f>
        <v>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788" zoomScale="50" zoomScaleNormal="50" workbookViewId="0">
      <selection activeCell="F819" sqref="F81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291</v>
      </c>
      <c r="K141" s="29">
        <v>0.71597222222222223</v>
      </c>
      <c r="L141" s="29" t="s">
        <v>354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356</v>
      </c>
      <c r="N166" s="27" t="s">
        <v>357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328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328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378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379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380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381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344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345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346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382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328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73</v>
      </c>
      <c r="G824" s="109">
        <f>SUM(G812:G823)</f>
        <v>306.59999999999997</v>
      </c>
      <c r="H824" s="37"/>
      <c r="I824" s="37"/>
      <c r="J824" s="37"/>
      <c r="K824" s="37"/>
      <c r="L824" s="37"/>
      <c r="M824" s="110">
        <f ca="1">IFERROR(SUM(M812:M823),"")</f>
        <v>2.6388888888888906E-2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73</v>
      </c>
      <c r="G838" s="111">
        <f>G824+G837</f>
        <v>306.59999999999997</v>
      </c>
      <c r="H838" s="41"/>
      <c r="I838" s="41"/>
      <c r="J838" s="41"/>
      <c r="K838" s="41"/>
      <c r="L838" s="41"/>
      <c r="M838" s="112">
        <f ca="1">IFERROR(M824+M837,"")</f>
        <v>2.6388888888888906E-2</v>
      </c>
      <c r="N838" s="111" t="s">
        <v>240</v>
      </c>
      <c r="O838" s="82">
        <f>IFERROR(O824+O837,"")</f>
        <v>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789" activePane="bottomLeft" state="frozen"/>
      <selection pane="bottomLeft" activeCell="F819" sqref="F8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387</v>
      </c>
      <c r="L58" s="29">
        <v>0.54097222222222219</v>
      </c>
      <c r="M58" s="30" t="str">
        <f t="shared" ca="1" si="13"/>
        <v/>
      </c>
      <c r="N58" s="27" t="s">
        <v>388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389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0.33726307870529126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0.53656863426084689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0.90392974537195792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399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409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399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419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429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343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432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436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437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438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439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440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441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/>
      <c r="G819" s="104" t="str">
        <f>IF(F819="","",IF(E819="PC 17",F819*4.2,IF(E819="PC 19",F819*5,"")))</f>
        <v/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/>
      <c r="G820" s="104" t="str">
        <f>IF(F820="","",IF(E820="PC 17",F820*4.2,IF(E820="PC 19",F820*5,"")))</f>
        <v/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/>
      <c r="G821" s="104" t="str">
        <f>IF(F821="","",IF(E821="PC 17",F821*4.2,IF(E821="PC 19",F821*5,"")))</f>
        <v/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30</v>
      </c>
      <c r="E822" s="99" t="s">
        <v>261</v>
      </c>
      <c r="F822" s="100"/>
      <c r="G822" s="104" t="str">
        <f>IF(F822="","",IF(E822="PC 17",F822*4.2,IF(E822="PC 19",F822*5,"")))</f>
        <v/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30</v>
      </c>
      <c r="E823" s="108" t="s">
        <v>261</v>
      </c>
      <c r="F823" s="100"/>
      <c r="G823" s="104" t="str">
        <f>IF(F823="","",IF(E823="PC 17",F823*4.2,IF(E823="PC 19",F823*5,"")))</f>
        <v/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66</v>
      </c>
      <c r="G824" s="109">
        <f>SUM(G812:G823)</f>
        <v>277.20000000000005</v>
      </c>
      <c r="H824" s="37"/>
      <c r="I824" s="37"/>
      <c r="J824" s="37"/>
      <c r="K824" s="37"/>
      <c r="L824" s="37"/>
      <c r="M824" s="110">
        <f ca="1">IFERROR(SUM(M812:M823),"")</f>
        <v>9.5138888888888884E-2</v>
      </c>
      <c r="N824" s="109" t="s">
        <v>237</v>
      </c>
      <c r="O824" s="77"/>
    </row>
    <row r="825" spans="1:15" ht="15">
      <c r="A825" s="106">
        <v>46234</v>
      </c>
      <c r="B825" s="107">
        <v>0.83333333333333304</v>
      </c>
      <c r="C825" s="81"/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/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/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/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/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/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/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/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/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/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/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/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66</v>
      </c>
      <c r="G838" s="111">
        <f>G824+G837</f>
        <v>277.20000000000005</v>
      </c>
      <c r="H838" s="41"/>
      <c r="I838" s="41"/>
      <c r="J838" s="41"/>
      <c r="K838" s="41"/>
      <c r="L838" s="41"/>
      <c r="M838" s="112">
        <f ca="1">IFERROR(M824+M837,"")</f>
        <v>9.5138888888888884E-2</v>
      </c>
      <c r="N838" s="111" t="s">
        <v>240</v>
      </c>
      <c r="O838" s="82">
        <f>IFERROR(O824+O837,"")</f>
        <v>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2026-07-31T18:07:08Z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