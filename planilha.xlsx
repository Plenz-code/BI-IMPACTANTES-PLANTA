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43" documentId="8_{C51EB6CB-002B-4D6B-B68F-DDEBDB4460C0}" xr6:coauthVersionLast="47" xr6:coauthVersionMax="47" xr10:uidLastSave="{45085928-A9F4-4A86-9B6A-E09A62719FB0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<sst xmlns="http://schemas.openxmlformats.org/spreadsheetml/2006/main" count="1408" uniqueCount="241">
  <si>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</si>
  <si>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</si>
  <si>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</si>
  <si>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</si>
  <si>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</si>
  <si>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</si>
  <si>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</si>
  <si>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</si>
  <si>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</si>
  <si>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</si>
  <si>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</si>
  <si>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</si>
  <si>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</si>
  <si>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</si>
  <si>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</si>
  <si>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</si>
  <si>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</si>
  <si>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</si>
  <si>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</si>
  <si>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</si>
  <si>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</si>
  <si>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</si>
  <si>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</si>
  <si>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</si>
  <si>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</si>
  <si>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</si>
  <si>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</si>
  <si>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</si>
  <si>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</si>
  <si>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</si>
  <si>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</si>
  <si>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</si>
  <si>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</si>
  <si>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</si>
  <si>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</si>
  <si>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</si>
  <si>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</si>
  <si>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</si>
  <si>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</si>
  <si>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</si>
  <si>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</si>
  <si>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</si>
  <si>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</si>
  <si>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</si>
  <si>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</si>
  <si>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</si>
  <si>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</si>
  <si>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</si>
  <si>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</si>
  <si>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</si>
  <si>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</si>
  <si>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</si>
  <si>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</si>
  <si>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</si>
  <si>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</si>
  <si>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</si>
  <si>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</si>
  <si>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</si>
  <si>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</si>
  <si>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</si>
  <si>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</si>
  <si>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</si>
  <si>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</si>
  <si>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</si>
  <si>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</si>
  <si>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</si>
  <si>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</si>
  <si>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</si>
  <si>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</si>
  <si>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</si>
  <si>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</si>
  <si>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</si>
  <si>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</si>
  <si>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</si>
  <si>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</si>
  <si>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</si>
  <si>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</si>
  <si>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</si>
  <si>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</si>
  <si>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</si>
  <si>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</si>
  <si>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</si>
  <si>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</si>
  <si>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</si>
  <si>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</si>
  <si>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</si>
  <si>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</si>
  <si>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</si>
  <si>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</si>
  <si>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</si>
  <si>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</si>
  <si>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</si>
  <si>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</si>
  <si>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</si>
  <si>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</si>
  <si>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</si>
  <si>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</si>
  <si>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</si>
  <si>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</si>
  <si>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</si>
  <si>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</si>
  <si>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</si>
  <si>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</si>
  <si>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</si>
  <si>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</si>
  <si>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</si>
  <si>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</si>
  <si>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</si>
  <si>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</si>
  <si>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</si>
  <si>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</si>
  <si>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</si>
  <si>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</si>
  <si>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</si>
  <si>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</si>
  <si>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</si>
  <si>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</si>
  <si>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</si>
  <si>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</si>
  <si>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</si>
  <si>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</si>
  <si>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</si>
  <si>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</si>
  <si>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</si>
  <si>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</si>
  <si>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</si>
  <si>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</si>
  <si>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</si>
  <si>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</si>
  <si>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</si>
  <si>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</si>
  <si>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</si>
  <si>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</si>
  <si>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</si>
  <si>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</si>
  <si>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</si>
  <si>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</si>
  <si>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</si>
  <si>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</si>
  <si>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</si>
  <si>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</si>
  <si>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</si>
  <si>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</si>
  <si>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</si>
  <si>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</si>
  <si>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</si>
  <si>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</si>
  <si>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</si>
  <si>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</si>
  <si>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</si>
  <si>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</si>
  <si>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</si>
  <si>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</si>
  <si>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</si>
  <si>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</si>
  <si>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</si>
  <si>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</si>
  <si>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</si>
  <si>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</si>
  <si>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</si>
  <si>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</si>
  <si>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</si>
  <si>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</si>
  <si>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</si>
  <si>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</si>
  <si>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</si>
  <si>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</si>
  <si>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</si>
  <si>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</si>
  <si>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</si>
  <si>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</si>
  <si>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</si>
  <si>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</si>
  <si>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</si>
  <si>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</si>
  <si>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</si>
  <si>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</si>
  <si>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</si>
  <si>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</si>
  <si>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</si>
  <si>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</si>
  <si>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</si>
  <si>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</si>
  <si>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</si>
  <si>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</si>
  <si>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</si>
  <si>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</si>
  <si>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</si>
  <si>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</si>
  <si>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</si>
  <si>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</si>
  <si>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</si>
  <si>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</si>
  <si>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</si>
  <si>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</si>
  <si>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</si>
  <si>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</si>
  <si>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</si>
  <si>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</si>
  <si>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</si>
  <si>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</si>
  <si>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</si>
  <si>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</si>
  <si>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</si>
  <si>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</si>
  <si>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</si>
  <si>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</si>
  <si>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</si>
  <si>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</si>
  <si>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</si>
  <si>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</si>
  <si>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</si>
  <si>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</si>
  <si>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</si>
  <si>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</si>
  <si>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</si>
  <si>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</si>
  <si>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</si>
  <si>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</si>
  <si>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</si>
  <si>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</si>
  <si>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</si>
  <si>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</si>
  <si>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</si>
  <si>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</si>
  <si>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</si>
  <si>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</si>
  <si>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</si>
  <si>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</si>
  <si>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</si>
  <si>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</si>
  <si>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</si>
  <si>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</si>
  <si>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</si>
  <si>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</si>
  <si>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</si>
  <si>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</si>
  <si>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solda no queixo</t>
  </si>
  <si>
    <t>colocar chapa na bica</t>
  </si>
  <si>
    <t>martelo soltou</t>
  </si>
  <si>
    <t>solda no queixo ,revestimento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</si>
</sst>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F20" sqref="F2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104</v>
      </c>
      <c r="G27" s="36">
        <f>SUM(G15:G26)</f>
        <v>520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300</v>
      </c>
      <c r="G28" s="40">
        <f>G14+G27</f>
        <v>1500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L19" sqref="L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</v>
      </c>
      <c r="G19" s="34">
        <f t="shared" si="3"/>
        <v>4.2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62</v>
      </c>
      <c r="G27" s="36">
        <f>SUM(G15:G26)</f>
        <v>260.39999999999998</v>
      </c>
      <c r="H27" s="37"/>
      <c r="I27" s="37"/>
      <c r="J27" s="37"/>
      <c r="K27" s="37"/>
      <c r="L27" s="37"/>
      <c r="M27" s="38">
        <f ca="1">IFERROR(SUM(M15:M26),"")</f>
        <v>1.9444444444444389E-2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174</v>
      </c>
      <c r="G28" s="40">
        <f>G14+G27</f>
        <v>730.8</v>
      </c>
      <c r="H28" s="41"/>
      <c r="I28" s="41"/>
      <c r="J28" s="41"/>
      <c r="K28" s="41"/>
      <c r="L28" s="41"/>
      <c r="M28" s="42">
        <f ca="1">IFERROR(M14+M27,"")</f>
        <v>0.22013888888888872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zoomScale="50" zoomScaleNormal="50" workbookViewId="0">
      <selection activeCell="L18" sqref="L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237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>
        <v>0</v>
      </c>
      <c r="G18" s="28">
        <f t="shared" si="3"/>
        <v>0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>
        <v>8</v>
      </c>
      <c r="G19" s="34">
        <f t="shared" si="3"/>
        <v>33.6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45</v>
      </c>
      <c r="G27" s="36">
        <f>SUM(G15:G26)</f>
        <v>189</v>
      </c>
      <c r="H27" s="37"/>
      <c r="I27" s="37"/>
      <c r="J27" s="37"/>
      <c r="K27" s="37"/>
      <c r="L27" s="37"/>
      <c r="M27" s="38">
        <f ca="1">IFERROR(SUM(M15:M26),"")</f>
        <v>3.8194444444444434E-2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126</v>
      </c>
      <c r="G28" s="40">
        <f>G14+G27</f>
        <v>529.20000000000005</v>
      </c>
      <c r="H28" s="41"/>
      <c r="I28" s="41"/>
      <c r="J28" s="41"/>
      <c r="K28" s="41"/>
      <c r="L28" s="41"/>
      <c r="M28" s="42">
        <f ca="1">IFERROR(M14+M27,"")</f>
        <v>5.1388888888888942E-2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F21" sqref="F2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238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239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76</v>
      </c>
      <c r="G27" s="36">
        <f>SUM(G15:G26)</f>
        <v>319.20000000000005</v>
      </c>
      <c r="H27" s="37"/>
      <c r="I27" s="37"/>
      <c r="J27" s="37"/>
      <c r="K27" s="61"/>
      <c r="L27" s="61"/>
      <c r="M27" s="38">
        <f ca="1">IFERROR(SUM(M15:M26),"")</f>
        <v>7.2916666666666741E-2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206</v>
      </c>
      <c r="G28" s="40">
        <f>G14+G27</f>
        <v>865.20000000000016</v>
      </c>
      <c r="H28" s="41"/>
      <c r="I28" s="41"/>
      <c r="J28" s="41"/>
      <c r="K28" s="63"/>
      <c r="L28" s="63"/>
      <c r="M28" s="42">
        <f ca="1">IFERROR(M14+M27,"")</f>
        <v>0.11180555555555566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2026-08-02T04:39:29Z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