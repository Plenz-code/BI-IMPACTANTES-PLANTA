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35" documentId="8_{C51EB6CB-002B-4D6B-B68F-DDEBDB4460C0}" xr6:coauthVersionLast="47" xr6:coauthVersionMax="47" xr10:uidLastSave="{0E36BA15-F5BF-4208-8FAA-C326AADFC34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<sst xmlns="http://schemas.openxmlformats.org/spreadsheetml/2006/main" count="3216" uniqueCount="276">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</sst>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3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1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1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1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1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1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1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1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1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1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1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1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1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1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1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1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1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1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1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1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1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1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1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1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1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1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1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1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204</v>
      </c>
      <c r="L58" s="16"/>
      <c r="M58" s="16"/>
    </row>
    <row r="59" spans="1:13" ht="15" customHeight="1">
      <c r="H59" s="111"/>
      <c r="I59" s="17"/>
      <c r="J59" s="17"/>
      <c r="K59" s="17" t="s">
        <v>205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206</v>
      </c>
      <c r="L61" s="17"/>
      <c r="M61" s="17"/>
    </row>
    <row r="62" spans="1:13" ht="15" customHeight="1">
      <c r="H62" s="111"/>
      <c r="I62" s="16"/>
      <c r="J62" s="16"/>
      <c r="K62" s="16" t="s">
        <v>207</v>
      </c>
      <c r="L62" s="16"/>
      <c r="M62" s="16"/>
    </row>
    <row r="63" spans="1:13" ht="15" customHeight="1">
      <c r="H63" s="111"/>
      <c r="I63" s="17"/>
      <c r="J63" s="17"/>
      <c r="K63" s="17" t="s">
        <v>208</v>
      </c>
      <c r="L63" s="17"/>
      <c r="M63" s="17"/>
    </row>
    <row r="64" spans="1:13" ht="15" customHeight="1">
      <c r="H64" s="111"/>
      <c r="I64" s="16"/>
      <c r="J64" s="16"/>
      <c r="K64" s="16" t="s">
        <v>209</v>
      </c>
      <c r="L64" s="16"/>
      <c r="M64" s="16"/>
    </row>
    <row r="65" spans="8:13" ht="15" customHeight="1">
      <c r="H65" s="111"/>
      <c r="I65" s="17"/>
      <c r="J65" s="17"/>
      <c r="K65" s="17" t="s">
        <v>210</v>
      </c>
      <c r="L65" s="17"/>
      <c r="M65" s="17"/>
    </row>
    <row r="66" spans="8:13" ht="15" customHeight="1">
      <c r="H66" s="111"/>
      <c r="I66" s="16"/>
      <c r="J66" s="16"/>
      <c r="K66" s="16" t="s">
        <v>211</v>
      </c>
      <c r="L66" s="16"/>
      <c r="M66" s="16"/>
    </row>
    <row r="67" spans="8:13" ht="15" customHeight="1">
      <c r="H67" s="111"/>
      <c r="I67" s="17"/>
      <c r="J67" s="17"/>
      <c r="K67" s="17" t="s">
        <v>212</v>
      </c>
      <c r="L67" s="17"/>
      <c r="M67" s="17"/>
    </row>
    <row r="68" spans="8:13" ht="15" customHeight="1">
      <c r="H68" s="111"/>
      <c r="I68" s="16"/>
      <c r="J68" s="16"/>
      <c r="K68" s="16" t="s">
        <v>213</v>
      </c>
      <c r="L68" s="16"/>
      <c r="M68" s="16"/>
    </row>
    <row r="69" spans="8:13" ht="15" customHeight="1">
      <c r="H69" s="111"/>
      <c r="I69" s="17"/>
      <c r="J69" s="17"/>
      <c r="K69" s="17" t="s">
        <v>214</v>
      </c>
      <c r="L69" s="17"/>
      <c r="M69" s="17"/>
    </row>
    <row r="70" spans="8:13" ht="15" customHeight="1">
      <c r="H70" s="111"/>
      <c r="I70" s="16"/>
      <c r="J70" s="16"/>
      <c r="K70" s="16" t="s">
        <v>215</v>
      </c>
      <c r="L70" s="16"/>
      <c r="M70" s="16"/>
    </row>
    <row r="71" spans="8:13" ht="15" customHeight="1">
      <c r="H71" s="111"/>
      <c r="I71" s="17"/>
      <c r="J71" s="17"/>
      <c r="K71" s="17" t="s">
        <v>216</v>
      </c>
      <c r="L71" s="17"/>
      <c r="M71" s="17"/>
    </row>
    <row r="72" spans="8:13" ht="15" customHeight="1">
      <c r="H72" s="111"/>
      <c r="I72" s="16"/>
      <c r="J72" s="16"/>
      <c r="K72" s="16" t="s">
        <v>217</v>
      </c>
      <c r="L72" s="16"/>
      <c r="M72" s="16"/>
    </row>
    <row r="73" spans="8:13" ht="15" customHeight="1">
      <c r="H73" s="111"/>
      <c r="I73" s="17"/>
      <c r="J73" s="17"/>
      <c r="K73" s="17" t="s">
        <v>218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14" activePane="bottomLeft" state="frozen"/>
      <selection pane="bottomLeft" activeCell="E148" sqref="E1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230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233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4" t="s">
        <v>234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233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4" t="s">
        <v>234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233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4" t="s">
        <v>234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233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4" t="s">
        <v>234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233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4" t="s">
        <v>234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>
        <v>0.32847222222222222</v>
      </c>
      <c r="M137" s="35" t="str">
        <f t="shared" ref="M137:M148" ca="1" si="31">IFERROR(IF(K137="","",IF(L137="",MOD(NOW()-K137,1),IF(L137&gt;=K137,L137-K137,L137+1-K137))),"")</f>
        <v/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233</v>
      </c>
      <c r="B162" s="102"/>
      <c r="C162" s="102"/>
      <c r="D162" s="102"/>
      <c r="E162" s="10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4" t="s">
        <v>234</v>
      </c>
      <c r="B163" s="105"/>
      <c r="C163" s="105"/>
      <c r="D163" s="105"/>
      <c r="E163" s="10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233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4" t="s">
        <v>234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233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4" t="s">
        <v>234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230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233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4" t="s">
        <v>234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233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4" t="s">
        <v>234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233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4" t="s">
        <v>234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233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4" t="s">
        <v>234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230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233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4" t="s">
        <v>234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230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233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4" t="s">
        <v>234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233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4" t="s">
        <v>234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233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4" t="s">
        <v>234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233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4" t="s">
        <v>234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233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4" t="s">
        <v>234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233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4" t="s">
        <v>234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233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4" t="s">
        <v>234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233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4" t="s">
        <v>234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233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4" t="s">
        <v>234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233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4" t="s">
        <v>234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233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4" t="s">
        <v>234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233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4" t="s">
        <v>234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233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4" t="s">
        <v>234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233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4" t="s">
        <v>234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233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4" t="s">
        <v>234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233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4" t="s">
        <v>234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233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3" t="s">
        <v>234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230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233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4" t="s">
        <v>234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1" activePane="bottomLeft" state="frozen"/>
      <selection pane="bottomLeft" activeCell="E148" sqref="E1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230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233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4" t="s">
        <v>234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0.21757708332734182</v>
      </c>
      <c r="N53" s="46" t="s">
        <v>251</v>
      </c>
      <c r="O53" s="31"/>
    </row>
    <row r="54" spans="1:15" ht="15.75" customHeight="1">
      <c r="A54" s="101" t="s">
        <v>233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0.35646597221623072</v>
      </c>
      <c r="N54" s="36" t="s">
        <v>231</v>
      </c>
      <c r="O54" s="84">
        <v>352430</v>
      </c>
    </row>
    <row r="55" spans="1:15" ht="18" customHeight="1">
      <c r="A55" s="104" t="s">
        <v>234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0.44118819443845303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233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4" t="s">
        <v>234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233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4" t="s">
        <v>234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233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4" t="s">
        <v>234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 t="shared" ref="G137:G148" si="30"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/>
      <c r="M137" s="35">
        <f t="shared" ref="M137:M148" ca="1" si="31">IFERROR(IF(K137="","",IF(L137="",MOD(NOW()-K137,1),IF(L137&gt;=K137,L137-K137,L137+1-K137))),"")</f>
        <v>1.7577083330252208E-2</v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21</v>
      </c>
      <c r="G149" s="36">
        <f>SUM(G137:G148)</f>
        <v>88.2</v>
      </c>
      <c r="H149" s="37"/>
      <c r="I149" s="37"/>
      <c r="J149" s="37"/>
      <c r="K149" s="37"/>
      <c r="L149" s="37"/>
      <c r="M149" s="38">
        <f ca="1">IFERROR(SUM(M137:M148),"")</f>
        <v>1.7577083330252208E-2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233</v>
      </c>
      <c r="B162" s="102"/>
      <c r="C162" s="102"/>
      <c r="D162" s="102"/>
      <c r="E162" s="10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4" t="s">
        <v>234</v>
      </c>
      <c r="B163" s="105"/>
      <c r="C163" s="105"/>
      <c r="D163" s="105"/>
      <c r="E163" s="106">
        <f>E149+E162</f>
        <v>0</v>
      </c>
      <c r="F163" s="40">
        <f>F149+F162</f>
        <v>21</v>
      </c>
      <c r="G163" s="40">
        <f>G149+G162</f>
        <v>88.2</v>
      </c>
      <c r="H163" s="41"/>
      <c r="I163" s="41"/>
      <c r="J163" s="41"/>
      <c r="K163" s="41"/>
      <c r="L163" s="41"/>
      <c r="M163" s="42">
        <f ca="1">IFERROR(M149+M162,"")</f>
        <v>1.7577083330252208E-2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233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4" t="s">
        <v>234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233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4" t="s">
        <v>234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230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233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4" t="s">
        <v>234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233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4" t="s">
        <v>234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233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4" t="s">
        <v>234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233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4" t="s">
        <v>234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230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233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4" t="s">
        <v>234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230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233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4" t="s">
        <v>234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233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4" t="s">
        <v>234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233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4" t="s">
        <v>234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233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4" t="s">
        <v>234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233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4" t="s">
        <v>234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233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4" t="s">
        <v>234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233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4" t="s">
        <v>234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233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4" t="s">
        <v>234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233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4" t="s">
        <v>234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233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4" t="s">
        <v>234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233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4" t="s">
        <v>234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233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4" t="s">
        <v>234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233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4" t="s">
        <v>234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233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4" t="s">
        <v>234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233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4" t="s">
        <v>234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230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233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4" t="s">
        <v>234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E148" sqref="E1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230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233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4" t="s">
        <v>234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233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4" t="s">
        <v>234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233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4" t="s">
        <v>234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233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4" t="s">
        <v>234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233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4" t="s">
        <v>234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/>
      <c r="M137" s="35">
        <f t="shared" ref="M137:M148" ca="1" si="31">IFERROR(IF(K137="","",IF(L137="",MOD(NOW()-K137,1),IF(L137&gt;=K137,L137-K137,L137+1-K137))),"")</f>
        <v>1.9660416663100477E-2</v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3</v>
      </c>
      <c r="G149" s="36">
        <f>SUM(G137:G148)</f>
        <v>12.600000000000001</v>
      </c>
      <c r="H149" s="37"/>
      <c r="I149" s="37"/>
      <c r="J149" s="37"/>
      <c r="K149" s="37"/>
      <c r="L149" s="37"/>
      <c r="M149" s="38">
        <f ca="1">IFERROR(SUM(M137:M148),"")</f>
        <v>1.9660416663100477E-2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233</v>
      </c>
      <c r="B162" s="102"/>
      <c r="C162" s="102"/>
      <c r="D162" s="102"/>
      <c r="E162" s="10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4" t="s">
        <v>234</v>
      </c>
      <c r="B163" s="105"/>
      <c r="C163" s="105"/>
      <c r="D163" s="105"/>
      <c r="E163" s="106">
        <f>E149+E162</f>
        <v>0</v>
      </c>
      <c r="F163" s="40">
        <f>F149+F162</f>
        <v>3</v>
      </c>
      <c r="G163" s="40">
        <f>G149+G162</f>
        <v>12.600000000000001</v>
      </c>
      <c r="H163" s="41"/>
      <c r="I163" s="41"/>
      <c r="J163" s="41"/>
      <c r="K163" s="41"/>
      <c r="L163" s="41"/>
      <c r="M163" s="42">
        <f ca="1">IFERROR(M149+M162,"")</f>
        <v>1.9660416663100477E-2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233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4" t="s">
        <v>234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233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4" t="s">
        <v>234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230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233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4" t="s">
        <v>234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233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4" t="s">
        <v>234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233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4" t="s">
        <v>234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233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4" t="s">
        <v>234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230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233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4" t="s">
        <v>234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230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233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4" t="s">
        <v>234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233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4" t="s">
        <v>234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233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4" t="s">
        <v>234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233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4" t="s">
        <v>234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233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4" t="s">
        <v>234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233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4" t="s">
        <v>234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233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4" t="s">
        <v>234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233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4" t="s">
        <v>234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233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4" t="s">
        <v>234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233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4" t="s">
        <v>234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233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4" t="s">
        <v>234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233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4" t="s">
        <v>234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233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4" t="s">
        <v>234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233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4" t="s">
        <v>234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233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4" t="s">
        <v>234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233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4" t="s">
        <v>234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233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4" t="s">
        <v>234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230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233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4" t="s">
        <v>234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C137" sqref="C137:C1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230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233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4" t="s">
        <v>234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230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233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4" t="s">
        <v>234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233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4" t="s">
        <v>234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233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4" t="s">
        <v>234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233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4" t="s">
        <v>234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100"/>
      <c r="D149" s="88"/>
      <c r="E149" s="89">
        <f>SUM(E137:E148)</f>
        <v>0</v>
      </c>
      <c r="F149" s="36">
        <f>SUM(F137:F148)</f>
        <v>20</v>
      </c>
      <c r="G149" s="36">
        <f>SUM(G137:G148)</f>
        <v>84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233</v>
      </c>
      <c r="B162" s="102"/>
      <c r="C162" s="102"/>
      <c r="D162" s="102"/>
      <c r="E162" s="10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4" t="s">
        <v>234</v>
      </c>
      <c r="B163" s="105"/>
      <c r="C163" s="105"/>
      <c r="D163" s="105"/>
      <c r="E163" s="106">
        <f>E149+E162</f>
        <v>0</v>
      </c>
      <c r="F163" s="40">
        <f>F149+F162</f>
        <v>20</v>
      </c>
      <c r="G163" s="40">
        <f>G149+G162</f>
        <v>84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233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4" t="s">
        <v>234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233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4" t="s">
        <v>234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230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233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4" t="s">
        <v>234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233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4" t="s">
        <v>234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233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4" t="s">
        <v>234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233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4" t="s">
        <v>234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230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233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4" t="s">
        <v>234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233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4" t="s">
        <v>234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233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4" t="s">
        <v>234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233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4" t="s">
        <v>234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233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4" t="s">
        <v>234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233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4" t="s">
        <v>234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233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4" t="s">
        <v>234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233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4" t="s">
        <v>234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233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4" t="s">
        <v>234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233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4" t="s">
        <v>234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233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4" t="s">
        <v>234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233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4" t="s">
        <v>234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233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4" t="s">
        <v>234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233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4" t="s">
        <v>234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233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4" t="s">
        <v>234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233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4" t="s">
        <v>234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233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4" t="s">
        <v>234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233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4" t="s">
        <v>234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230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233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4" t="s">
        <v>234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