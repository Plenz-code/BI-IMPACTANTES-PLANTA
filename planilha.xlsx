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47" documentId="8_{C51EB6CB-002B-4D6B-B68F-DDEBDB4460C0}" xr6:coauthVersionLast="47" xr6:coauthVersionMax="47" xr10:uidLastSave="{2BB475BD-D468-4237-970E-AB8004BE0D63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<sst xmlns="http://schemas.openxmlformats.org/spreadsheetml/2006/main" count="3911" uniqueCount="298">
  <si>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</si>
  <si>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</si>
  <si>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</si>
  <si>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</si>
  <si>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</si>
  <si>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</si>
  <si>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</si>
  <si>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</si>
  <si>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</si>
  <si>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</si>
  <si>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</si>
  <si>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</si>
  <si>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</si>
  <si>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</si>
  <si>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</si>
  <si>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</si>
  <si>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</si>
  <si>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</si>
  <si>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</si>
  <si>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</si>
  <si>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</si>
  <si>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</si>
  <si>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</si>
  <si>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</si>
  <si>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</si>
  <si>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</si>
  <si>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</si>
  <si>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</si>
  <si>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</si>
  <si>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</si>
  <si>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</si>
  <si>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</si>
  <si>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</si>
  <si>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</si>
  <si>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</si>
  <si>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</si>
  <si>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</si>
  <si>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</si>
  <si>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</si>
  <si>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</si>
  <si>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</si>
  <si>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</si>
  <si>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</si>
  <si>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</si>
  <si>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</si>
  <si>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</si>
  <si>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</si>
  <si>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</si>
  <si>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</si>
  <si>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</si>
  <si>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</si>
  <si>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</si>
  <si>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</si>
  <si>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</si>
  <si>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</si>
  <si>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</si>
  <si>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</si>
  <si>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</si>
  <si>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</si>
  <si>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</si>
  <si>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</si>
  <si>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</si>
  <si>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</si>
  <si>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</si>
  <si>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</si>
  <si>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</si>
  <si>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</si>
  <si>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</si>
  <si>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</si>
  <si>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</si>
  <si>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</si>
  <si>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</si>
  <si>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</si>
  <si>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</si>
  <si>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</si>
  <si>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</si>
  <si>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</si>
  <si>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</si>
  <si>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</si>
  <si>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</si>
  <si>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</si>
  <si>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</si>
  <si>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</si>
  <si>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</si>
  <si>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</si>
  <si>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</si>
  <si>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</si>
  <si>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</si>
  <si>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</si>
  <si>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</si>
  <si>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</si>
  <si>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</si>
  <si>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</si>
  <si>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</si>
  <si>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</si>
  <si>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</si>
  <si>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</si>
  <si>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</si>
  <si>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</si>
  <si>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</si>
  <si>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</si>
  <si>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</si>
  <si>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</si>
  <si>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</si>
  <si>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</si>
  <si>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</si>
  <si>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</si>
  <si>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</si>
  <si>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</si>
  <si>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</si>
  <si>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</si>
  <si>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</si>
  <si>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</si>
  <si>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</si>
  <si>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</si>
  <si>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</si>
  <si>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</si>
  <si>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</si>
  <si>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</si>
  <si>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</si>
  <si>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</si>
  <si>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</si>
  <si>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</si>
  <si>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</si>
  <si>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</si>
  <si>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</si>
  <si>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</si>
  <si>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</si>
  <si>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</si>
  <si>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</si>
  <si>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</si>
  <si>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</si>
  <si>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</si>
  <si>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</si>
  <si>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</si>
  <si>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</si>
  <si>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</si>
  <si>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</si>
  <si>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</si>
  <si>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</si>
  <si>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</si>
  <si>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</si>
  <si>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</si>
  <si>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</si>
  <si>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</si>
  <si>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</si>
  <si>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</si>
  <si>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</si>
  <si>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</si>
  <si>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</si>
  <si>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</si>
  <si>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</si>
  <si>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</si>
  <si>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</si>
  <si>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</si>
  <si>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</si>
  <si>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</si>
  <si>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</si>
  <si>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</si>
  <si>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</si>
  <si>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</si>
  <si>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</si>
  <si>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</si>
  <si>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</si>
  <si>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</si>
  <si>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</si>
  <si>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</si>
  <si>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</si>
  <si>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</si>
  <si>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</si>
  <si>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</si>
  <si>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</si>
  <si>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</si>
  <si>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</si>
  <si>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</si>
  <si>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</si>
  <si>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</si>
  <si>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</si>
  <si>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</si>
  <si>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</si>
  <si>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</si>
  <si>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</si>
  <si>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</si>
  <si>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</si>
  <si>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</si>
  <si>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</si>
  <si>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</si>
  <si>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</si>
  <si>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</si>
  <si>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</si>
  <si>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</si>
  <si>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</si>
  <si>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</si>
  <si>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</si>
  <si>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</si>
  <si>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</si>
  <si>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</si>
  <si>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</si>
  <si>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</si>
  <si>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</si>
  <si>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</si>
  <si>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</si>
  <si>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</si>
  <si>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</si>
  <si>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</si>
  <si>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</si>
  <si>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</si>
  <si>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</si>
  <si>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</si>
  <si>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</si>
  <si>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</si>
  <si>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</si>
  <si>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</si>
  <si>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</si>
  <si>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</si>
  <si>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</si>
  <si>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</si>
  <si>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</si>
  <si>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</si>
  <si>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</si>
  <si>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</si>
  <si>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</si>
  <si>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</si>
  <si>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</si>
  <si>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</si>
  <si>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</si>
  <si>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</si>
  <si>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</si>
  <si>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</si>
  <si>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</si>
  <si>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</si>
  <si>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</si>
  <si>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</si>
  <si>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</si>
  <si>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</si>
  <si>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</si>
  <si>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</si>
  <si>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</si>
  <si>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</si>
  <si>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</si>
  <si>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</si>
  <si>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</si>
  <si>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</si>
  <si>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</si>
  <si>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</si>
  <si>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</si>
  <si>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</si>
  <si>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</si>
  <si>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</si>
  <si>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</si>
  <si>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</si>
  <si>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</si>
  <si>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</si>
  <si>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</si>
  <si>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</si>
  <si>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</si>
  <si>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</si>
  <si>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</si>
  <si>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</si>
  <si>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</si>
  <si>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</si>
  <si>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</si>
  <si>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</si>
  <si>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</si>
  <si>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</si>
  <si>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</si>
  <si>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</si>
  <si>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</si>
  <si>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</si>
  <si>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</si>
  <si>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</si>
  <si>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</si>
  <si>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</si>
  <si>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</si>
  <si>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</si>
  <si>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</si>
  <si>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</si>
  <si>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</si>
  <si>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</si>
  <si>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</si>
  <si>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</si>
  <si>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</si>
  <si>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desobstrucao nos bicos do hidrociclone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</si>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</sst>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59" activePane="bottomLeft" state="frozen"/>
      <selection pane="bottomLeft" activeCell="F187" sqref="F18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344</v>
      </c>
      <c r="G189" s="36">
        <f>SUM(G177:G188)</f>
        <v>1682.4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746</v>
      </c>
      <c r="G190" s="40">
        <f>G176+G189</f>
        <v>3692.4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87" sqref="F1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9.7203124998486601E-2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0.2360920138873755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0.32081423610959781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/>
      <c r="M182" s="30">
        <f t="shared" ca="1" si="40"/>
        <v>2.9147569446649868E-2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0.22775868055776116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0.31039756944665009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87" sqref="F1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15</v>
      </c>
      <c r="G189" s="36">
        <f>SUM(G177:G188)</f>
        <v>63</v>
      </c>
      <c r="H189" s="37"/>
      <c r="I189" s="37"/>
      <c r="J189" s="37"/>
      <c r="K189" s="37"/>
      <c r="L189" s="37"/>
      <c r="M189" s="38">
        <f ca="1">IFERROR(SUM(M177:M188),"")</f>
        <v>0.27083333333333337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</v>
      </c>
      <c r="G190" s="40">
        <f>G176+G189</f>
        <v>336</v>
      </c>
      <c r="H190" s="41"/>
      <c r="I190" s="41"/>
      <c r="J190" s="41"/>
      <c r="K190" s="41"/>
      <c r="L190" s="41"/>
      <c r="M190" s="42">
        <f ca="1">IFERROR(M176+M189,"")</f>
        <v>0.35555555555555562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7" sqref="F18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136</v>
      </c>
      <c r="G189" s="36">
        <f>SUM(G177:G188)</f>
        <v>571.20000000000005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136</v>
      </c>
      <c r="G190" s="40">
        <f>G176+G189</f>
        <v>1251.5999999999999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2026-08-08T09:15:30Z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