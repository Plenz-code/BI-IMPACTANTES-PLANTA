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30" documentId="8_{AF585B22-221D-4780-BB9C-493D365A6A02}" xr6:coauthVersionLast="47" xr6:coauthVersionMax="47" xr10:uidLastSave="{3FCBB103-71C1-4775-9408-094EE117980B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<sst xmlns="http://schemas.openxmlformats.org/spreadsheetml/2006/main" count="8417" uniqueCount="363">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</sst>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5" sqref="F5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/>
      <c r="M529" s="35">
        <f t="shared" ref="M528:M539" ca="1" si="119">IFERROR(IF(K529="","",IF(L529="",MOD(NOW()-K529,1),IF(L529&gt;=K529,L529-K529,L529+1-K529))),"")</f>
        <v>3.6040277780557517E-2</v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173</v>
      </c>
      <c r="G540" s="36">
        <f>SUM(G528:G539)</f>
        <v>865</v>
      </c>
      <c r="H540" s="37"/>
      <c r="I540" s="37"/>
      <c r="J540" s="37"/>
      <c r="K540" s="37"/>
      <c r="L540" s="37"/>
      <c r="M540" s="38">
        <f ca="1">IFERROR(SUM(M528:M539),"")</f>
        <v>6.9373611113890843E-2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347</v>
      </c>
      <c r="G541" s="40">
        <f>G527+G540</f>
        <v>1735</v>
      </c>
      <c r="H541" s="41"/>
      <c r="I541" s="41"/>
      <c r="J541" s="41"/>
      <c r="K541" s="41"/>
      <c r="L541" s="41"/>
      <c r="M541" s="42">
        <f ca="1">IFERROR(M527+M540,"")</f>
        <v>0.26590138889166859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F535" sqref="F5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0.85409583333239425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1.0117347222212831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1.1214569444435054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0.83256805555720348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1.0034013888905369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1.1485402777794258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82</v>
      </c>
      <c r="G540" s="36">
        <f>SUM(G528:G539)</f>
        <v>344.40000000000003</v>
      </c>
      <c r="H540" s="37"/>
      <c r="I540" s="37"/>
      <c r="J540" s="37"/>
      <c r="K540" s="37"/>
      <c r="L540" s="37"/>
      <c r="M540" s="38">
        <f ca="1">IFERROR(SUM(M528:M539),"")</f>
        <v>4.9305555555555623E-2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266</v>
      </c>
      <c r="G541" s="40">
        <f>G527+G540</f>
        <v>1117.2</v>
      </c>
      <c r="H541" s="41"/>
      <c r="I541" s="41"/>
      <c r="J541" s="41"/>
      <c r="K541" s="41"/>
      <c r="L541" s="41"/>
      <c r="M541" s="42">
        <f ca="1">IFERROR(M527+M540,"")</f>
        <v>0.13680555555555571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35" sqref="F5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2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/>
      <c r="M533" s="35">
        <f t="shared" ca="1" si="118"/>
        <v>6.8679166666697711E-2</v>
      </c>
      <c r="N533" s="27" t="s">
        <v>323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27</v>
      </c>
      <c r="G540" s="36">
        <f>SUM(G528:G539)</f>
        <v>113.4</v>
      </c>
      <c r="H540" s="37"/>
      <c r="I540" s="37"/>
      <c r="J540" s="37"/>
      <c r="K540" s="37"/>
      <c r="L540" s="37"/>
      <c r="M540" s="38">
        <f ca="1">IFERROR(SUM(M528:M539),"")</f>
        <v>0.14437361111114211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78</v>
      </c>
      <c r="G541" s="40">
        <f>G527+G540</f>
        <v>327.60000000000002</v>
      </c>
      <c r="H541" s="41"/>
      <c r="I541" s="41"/>
      <c r="J541" s="41"/>
      <c r="K541" s="41"/>
      <c r="L541" s="41"/>
      <c r="M541" s="42">
        <f ca="1">IFERROR(M527+M540,"")</f>
        <v>0.24854027777780868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05" activePane="bottomLeft" state="frozen"/>
      <selection pane="bottomLeft" activeCell="F535" sqref="F53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328</v>
      </c>
      <c r="L58" s="29">
        <v>0.54097222222222219</v>
      </c>
      <c r="M58" s="30" t="str">
        <f t="shared" ca="1" si="13"/>
        <v/>
      </c>
      <c r="N58" s="27" t="s">
        <v>329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0.84437361111486098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1.0436791666704166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1.4110402777815276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/>
      <c r="M531" s="35">
        <f t="shared" ca="1" si="118"/>
        <v>1.5206944444798864E-2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62</v>
      </c>
      <c r="G540" s="36">
        <f>SUM(G528:G539)</f>
        <v>260.39999999999998</v>
      </c>
      <c r="H540" s="37"/>
      <c r="I540" s="37"/>
      <c r="J540" s="37"/>
      <c r="K540" s="61"/>
      <c r="L540" s="61"/>
      <c r="M540" s="38">
        <f ca="1">IFERROR(SUM(M528:M539),"")</f>
        <v>7.0762500000354417E-2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142</v>
      </c>
      <c r="G541" s="40">
        <f>G527+G540</f>
        <v>596.40000000000009</v>
      </c>
      <c r="H541" s="41"/>
      <c r="I541" s="41"/>
      <c r="J541" s="41"/>
      <c r="K541" s="63"/>
      <c r="L541" s="63"/>
      <c r="M541" s="42">
        <f ca="1">IFERROR(M527+M540,"")</f>
        <v>0.38256805555590989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