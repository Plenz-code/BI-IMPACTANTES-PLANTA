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9" documentId="8_{AF585B22-221D-4780-BB9C-493D365A6A02}" xr6:coauthVersionLast="47" xr6:coauthVersionMax="47" xr10:uidLastSave="{36474B3E-C6D5-4361-B347-71C30FE0BF02}"/>
  <bookViews>
    <workbookView xWindow="-28920" yWindow="-60" windowWidth="29040" windowHeight="1572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5" i="4" s="1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<sst xmlns="http://schemas.openxmlformats.org/spreadsheetml/2006/main" count="1473" uniqueCount="203">
  <si>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</si>
  <si>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</si>
  <si>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</si>
  <si>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</si>
  <si>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</si>
  <si>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</si>
  <si>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</si>
  <si>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</si>
  <si>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</si>
  <si>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</si>
  <si>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</si>
  <si>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</si>
  <si>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</si>
  <si>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</si>
  <si>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</si>
  <si>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</si>
  <si>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</si>
  <si>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</si>
  <si>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</si>
  <si>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</si>
  <si>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</si>
  <si>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</si>
  <si>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</si>
  <si>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</si>
  <si>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</si>
  <si>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</si>
  <si>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</si>
  <si>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</si>
  <si>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</si>
  <si>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</si>
  <si>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</si>
  <si>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</si>
  <si>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</si>
  <si>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</si>
  <si>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</si>
  <si>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</si>
  <si>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</si>
  <si>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</si>
  <si>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</si>
  <si>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</si>
  <si>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</si>
  <si>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</si>
  <si>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</si>
  <si>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</si>
  <si>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</si>
  <si>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</si>
  <si>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</si>
  <si>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</si>
  <si>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</si>
  <si>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</si>
  <si>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</si>
  <si>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</si>
  <si>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</si>
  <si>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</si>
  <si>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</si>
  <si>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</si>
  <si>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</si>
  <si>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</si>
  <si>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</si>
  <si>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</si>
  <si>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</si>
  <si>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</si>
  <si>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</si>
  <si>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</si>
  <si>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</si>
  <si>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</si>
  <si>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</si>
  <si>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</si>
  <si>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</si>
  <si>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</si>
  <si>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</si>
  <si>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</si>
  <si>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</si>
  <si>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</si>
  <si>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</si>
  <si>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</si>
  <si>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</si>
  <si>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</si>
  <si>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</si>
  <si>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</si>
  <si>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</si>
  <si>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</si>
  <si>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</si>
  <si>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</si>
  <si>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</si>
  <si>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</si>
  <si>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</si>
  <si>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</si>
  <si>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</si>
  <si>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</si>
  <si>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</si>
  <si>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</si>
  <si>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</si>
  <si>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</si>
  <si>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</si>
  <si>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</si>
  <si>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</si>
  <si>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</si>
  <si>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</si>
  <si>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</si>
  <si>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</si>
  <si>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</si>
  <si>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</si>
  <si>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</si>
  <si>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</si>
  <si>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</si>
  <si>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</si>
  <si>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</si>
  <si>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</si>
  <si>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</si>
  <si>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</si>
  <si>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</si>
  <si>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</si>
  <si>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</si>
  <si>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</si>
  <si>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</si>
  <si>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</si>
  <si>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</si>
  <si>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</si>
  <si>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</si>
  <si>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</si>
  <si>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</si>
  <si>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</si>
  <si>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</si>
  <si>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</si>
  <si>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</si>
  <si>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</si>
  <si>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</si>
  <si>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</si>
  <si>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</si>
  <si>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</si>
  <si>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</si>
  <si>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</si>
  <si>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</si>
  <si>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</si>
  <si>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</si>
  <si>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</si>
  <si>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</si>
  <si>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</si>
  <si>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</si>
  <si>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</si>
  <si>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</si>
  <si>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</si>
  <si>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</si>
  <si>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</si>
  <si>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</si>
  <si>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</si>
  <si>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</si>
  <si>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</si>
  <si>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</si>
  <si>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</si>
  <si>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</si>
  <si>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</si>
  <si>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</si>
  <si>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</si>
  <si>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</si>
  <si>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</si>
  <si>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</si>
  <si>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</si>
  <si>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</si>
  <si>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</si>
  <si>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</si>
  <si>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</si>
  <si>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</si>
  <si>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</si>
  <si>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</si>
  <si>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</si>
  <si>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</si>
  <si>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</si>
  <si>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</si>
  <si>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</si>
  <si>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</si>
  <si>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</si>
  <si>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</si>
  <si>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</si>
  <si>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</si>
  <si>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</si>
  <si>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</si>
  <si>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</si>
  <si>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</si>
  <si>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</si>
  <si>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</si>
  <si>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</si>
  <si>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</si>
  <si>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</si>
  <si>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</si>
  <si>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</si>
  <si>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</si>
  <si>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</si>
  <si>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</si>
  <si>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</si>
  <si>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</si>
  <si>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</si>
  <si>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</si>
  <si>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</si>
  <si>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</si>
  <si>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</si>
  <si>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</si>
  <si>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</si>
  <si>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</si>
  <si>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</si>
  <si>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</si>
  <si>
    <t>martelo soltou, troca de martelo,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</si>
</sst>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5" t="s">
        <v>0</v>
      </c>
      <c r="B1" s="85"/>
      <c r="C1" s="85"/>
      <c r="D1" s="85"/>
      <c r="E1" s="85"/>
      <c r="F1" s="85"/>
      <c r="G1" s="85"/>
    </row>
    <row r="2" spans="1:7" ht="24.75" customHeight="1" x14ac:dyDescent="0.25">
      <c r="A2" s="86"/>
      <c r="B2" s="8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87" t="s">
        <v>9</v>
      </c>
      <c r="B35" s="87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88" t="s">
        <v>10</v>
      </c>
      <c r="B1" s="88"/>
      <c r="C1" s="88"/>
      <c r="D1" s="88"/>
      <c r="E1" s="88"/>
      <c r="F1" s="88"/>
      <c r="G1" s="88"/>
      <c r="H1" s="89"/>
      <c r="I1" s="90" t="s">
        <v>11</v>
      </c>
      <c r="J1" s="90"/>
      <c r="K1" s="90"/>
      <c r="L1" s="90"/>
      <c r="M1" s="90"/>
    </row>
    <row r="2" spans="1:13" ht="4.5" customHeight="1" x14ac:dyDescent="0.25">
      <c r="H2" s="8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8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8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8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8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8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8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8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8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8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8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8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89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89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89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89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89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89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89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89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89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89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89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89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89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89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89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89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89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89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89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89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89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89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89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89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89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89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89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89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89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89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89"/>
      <c r="I44" s="16"/>
      <c r="J44" s="16"/>
      <c r="K44" s="16" t="s">
        <v>170</v>
      </c>
      <c r="L44" s="16"/>
      <c r="M44" s="16"/>
    </row>
    <row r="45" spans="1:13" ht="15.75" customHeight="1" x14ac:dyDescent="0.25">
      <c r="A45" s="17"/>
      <c r="C45" s="17"/>
      <c r="E45" s="17"/>
      <c r="G45" s="17"/>
      <c r="H45" s="89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89"/>
      <c r="I46" s="16"/>
      <c r="J46" s="16"/>
      <c r="K46" s="16" t="s">
        <v>171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89"/>
      <c r="I47" s="17"/>
      <c r="J47" s="17"/>
      <c r="K47" s="17" t="s">
        <v>172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89"/>
      <c r="I48" s="16"/>
      <c r="J48" s="16"/>
      <c r="K48" s="16" t="s">
        <v>173</v>
      </c>
      <c r="L48" s="16"/>
      <c r="M48" s="16"/>
    </row>
    <row r="49" spans="1:13" ht="18" customHeight="1" x14ac:dyDescent="0.25">
      <c r="H49" s="89"/>
      <c r="I49" s="17"/>
      <c r="J49" s="17"/>
      <c r="K49" s="17" t="s">
        <v>174</v>
      </c>
      <c r="L49" s="17"/>
      <c r="M49" s="17"/>
    </row>
    <row r="50" spans="1:13" ht="21" customHeight="1" x14ac:dyDescent="0.25">
      <c r="A50" s="19" t="s">
        <v>175</v>
      </c>
      <c r="B50" s="19"/>
      <c r="C50" s="19"/>
      <c r="D50" s="19"/>
      <c r="E50" s="19"/>
      <c r="F50" s="19"/>
      <c r="G50" s="19"/>
      <c r="H50" s="89"/>
      <c r="I50" s="16"/>
      <c r="J50" s="16"/>
      <c r="K50" s="16" t="s">
        <v>176</v>
      </c>
      <c r="L50" s="16"/>
      <c r="M50" s="16"/>
    </row>
    <row r="51" spans="1:13" ht="24" customHeight="1" x14ac:dyDescent="0.25">
      <c r="H51" s="89"/>
      <c r="I51" s="17"/>
      <c r="J51" s="17"/>
      <c r="K51" s="17"/>
      <c r="L51" s="17"/>
      <c r="M51" s="17"/>
    </row>
    <row r="52" spans="1:13" ht="24" customHeight="1" x14ac:dyDescent="0.25">
      <c r="H52" s="89"/>
      <c r="I52" s="16"/>
      <c r="J52" s="16"/>
      <c r="K52" s="16"/>
      <c r="L52" s="16"/>
      <c r="M52" s="16"/>
    </row>
    <row r="53" spans="1:13" ht="36" customHeight="1" x14ac:dyDescent="0.25">
      <c r="H53" s="89"/>
      <c r="I53" s="17"/>
      <c r="J53" s="17"/>
      <c r="K53" s="17"/>
      <c r="L53" s="17"/>
      <c r="M53" s="17"/>
    </row>
    <row r="54" spans="1:13" ht="15" customHeight="1" x14ac:dyDescent="0.25">
      <c r="H54" s="89"/>
      <c r="I54" s="16"/>
      <c r="J54" s="16"/>
      <c r="K54" s="16"/>
      <c r="L54" s="16"/>
      <c r="M54" s="16"/>
    </row>
    <row r="55" spans="1:13" ht="15" customHeight="1" x14ac:dyDescent="0.25">
      <c r="H55" s="89"/>
      <c r="I55" s="17"/>
      <c r="J55" s="17"/>
      <c r="K55" s="17"/>
      <c r="L55" s="17"/>
      <c r="M55" s="17"/>
    </row>
    <row r="56" spans="1:13" ht="15" customHeight="1" x14ac:dyDescent="0.25">
      <c r="H56" s="89"/>
      <c r="I56" s="16"/>
      <c r="J56" s="16"/>
      <c r="K56" s="16"/>
      <c r="L56" s="16"/>
      <c r="M56" s="16"/>
    </row>
    <row r="57" spans="1:13" ht="15" customHeight="1" x14ac:dyDescent="0.25">
      <c r="H57" s="89"/>
      <c r="I57" s="17"/>
      <c r="J57" s="17"/>
      <c r="K57" s="17"/>
      <c r="L57" s="17"/>
      <c r="M57" s="17"/>
    </row>
    <row r="58" spans="1:13" ht="15" customHeight="1" x14ac:dyDescent="0.25">
      <c r="H58" s="89"/>
      <c r="I58" s="16"/>
      <c r="J58" s="16"/>
      <c r="K58" s="16"/>
      <c r="L58" s="16"/>
      <c r="M58" s="16"/>
    </row>
    <row r="59" spans="1:13" ht="15" customHeight="1" x14ac:dyDescent="0.25">
      <c r="H59" s="89"/>
      <c r="I59" s="17"/>
      <c r="J59" s="17"/>
      <c r="K59" s="17"/>
      <c r="L59" s="17"/>
      <c r="M59" s="17"/>
    </row>
    <row r="60" spans="1:13" ht="15" customHeight="1" x14ac:dyDescent="0.25">
      <c r="H60" s="89"/>
      <c r="I60" s="16"/>
      <c r="J60" s="16"/>
      <c r="K60" s="16"/>
      <c r="L60" s="16"/>
      <c r="M60" s="16"/>
    </row>
    <row r="61" spans="1:13" ht="15" customHeight="1" x14ac:dyDescent="0.25">
      <c r="H61" s="89"/>
      <c r="I61" s="17"/>
      <c r="J61" s="17"/>
      <c r="K61" s="17"/>
      <c r="L61" s="17"/>
      <c r="M61" s="17"/>
    </row>
    <row r="62" spans="1:13" ht="15" customHeight="1" x14ac:dyDescent="0.25">
      <c r="H62" s="89"/>
      <c r="I62" s="16"/>
      <c r="J62" s="16"/>
      <c r="K62" s="16"/>
      <c r="L62" s="16"/>
      <c r="M62" s="16"/>
    </row>
    <row r="63" spans="1:13" ht="15" customHeight="1" x14ac:dyDescent="0.25">
      <c r="H63" s="89"/>
      <c r="I63" s="17"/>
      <c r="J63" s="17"/>
      <c r="K63" s="17"/>
      <c r="L63" s="17"/>
      <c r="M63" s="17"/>
    </row>
    <row r="64" spans="1:13" ht="15" customHeight="1" x14ac:dyDescent="0.25">
      <c r="H64" s="89"/>
      <c r="I64" s="16"/>
      <c r="J64" s="16"/>
      <c r="K64" s="16"/>
      <c r="L64" s="16"/>
      <c r="M64" s="16"/>
    </row>
    <row r="65" spans="8:13" ht="15" customHeight="1" x14ac:dyDescent="0.25">
      <c r="H65" s="89"/>
      <c r="I65" s="17"/>
      <c r="J65" s="17"/>
      <c r="K65" s="17"/>
      <c r="L65" s="17"/>
      <c r="M65" s="17"/>
    </row>
    <row r="66" spans="8:13" ht="15" customHeight="1" x14ac:dyDescent="0.25">
      <c r="H66" s="89"/>
      <c r="I66" s="16"/>
      <c r="J66" s="16"/>
      <c r="K66" s="16"/>
      <c r="L66" s="16"/>
      <c r="M66" s="16"/>
    </row>
    <row r="67" spans="8:13" ht="15" customHeight="1" x14ac:dyDescent="0.25">
      <c r="H67" s="89"/>
      <c r="I67" s="17"/>
      <c r="J67" s="17"/>
      <c r="K67" s="17"/>
      <c r="L67" s="17"/>
      <c r="M67" s="17"/>
    </row>
    <row r="68" spans="8:13" ht="15" customHeight="1" x14ac:dyDescent="0.25">
      <c r="H68" s="89"/>
      <c r="I68" s="16"/>
      <c r="J68" s="16"/>
      <c r="K68" s="16"/>
      <c r="L68" s="16"/>
      <c r="M68" s="16"/>
    </row>
    <row r="69" spans="8:13" ht="15" customHeight="1" x14ac:dyDescent="0.25">
      <c r="H69" s="89"/>
      <c r="I69" s="17"/>
      <c r="J69" s="17"/>
      <c r="K69" s="17"/>
      <c r="L69" s="17"/>
      <c r="M69" s="17"/>
    </row>
    <row r="70" spans="8:13" ht="15" customHeight="1" x14ac:dyDescent="0.25">
      <c r="H70" s="89"/>
      <c r="I70" s="16"/>
      <c r="J70" s="16"/>
      <c r="K70" s="16"/>
      <c r="L70" s="16"/>
      <c r="M70" s="16"/>
    </row>
    <row r="71" spans="8:13" ht="15" customHeight="1" x14ac:dyDescent="0.25">
      <c r="H71" s="89"/>
      <c r="I71" s="17"/>
      <c r="J71" s="17"/>
      <c r="K71" s="17"/>
      <c r="L71" s="17"/>
      <c r="M71" s="17"/>
    </row>
    <row r="72" spans="8:13" ht="15" customHeight="1" x14ac:dyDescent="0.25">
      <c r="H72" s="89"/>
      <c r="I72" s="16"/>
      <c r="J72" s="16"/>
      <c r="K72" s="16"/>
      <c r="L72" s="16"/>
      <c r="M72" s="16"/>
    </row>
    <row r="73" spans="8:13" ht="15" customHeight="1" x14ac:dyDescent="0.25">
      <c r="H73" s="89"/>
      <c r="I73" s="17"/>
      <c r="J73" s="17"/>
      <c r="K73" s="17"/>
      <c r="L73" s="17"/>
      <c r="M73" s="17"/>
    </row>
    <row r="74" spans="8:13" ht="15" customHeight="1" x14ac:dyDescent="0.25">
      <c r="H74" s="89"/>
      <c r="I74" s="16"/>
      <c r="J74" s="16"/>
      <c r="K74" s="16"/>
      <c r="L74" s="16"/>
      <c r="M74" s="16"/>
    </row>
    <row r="75" spans="8:13" ht="15" customHeight="1" x14ac:dyDescent="0.25">
      <c r="H75" s="8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85" zoomScaleNormal="85" workbookViewId="0">
      <pane ySplit="1" topLeftCell="A2" activePane="bottomLeft" state="frozen"/>
      <selection pane="bottomLeft" activeCell="H31" sqref="H31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188</v>
      </c>
      <c r="F29" s="27"/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/>
      <c r="M29" s="35">
        <f t="shared" ref="M29:M40" ca="1" si="7">IFERROR(IF(K29="","",IF(L29="",MOD(NOW()-K29,1),IF(L29&gt;=K29,L29-K29,L29+1-K29))),"")</f>
        <v>4.6754976850934327E-2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188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188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188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188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188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4.6754976850934327E-2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4.6754976850934327E-2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2" activePane="bottomLeft" state="frozen"/>
      <selection pane="bottomLeft" activeCell="F29" sqref="F2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78">
        <v>393200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</v>
      </c>
      <c r="G29" s="28">
        <f t="shared" ref="G29:G40" si="6">IF(F29="","",IF(E29="PC 17",F29*4.2,IF(E29="PC 19",F29*5,"")))</f>
        <v>4.2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5.9949421294732019E-2</v>
      </c>
      <c r="N29" s="46" t="s">
        <v>202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1</v>
      </c>
      <c r="G41" s="36">
        <f>SUM(G29:G40)</f>
        <v>4.2</v>
      </c>
      <c r="H41" s="37"/>
      <c r="I41" s="37"/>
      <c r="J41" s="37"/>
      <c r="K41" s="37"/>
      <c r="L41" s="37"/>
      <c r="M41" s="38">
        <f ca="1">IFERROR(SUM(M29:M40),"")</f>
        <v>5.9949421294732019E-2</v>
      </c>
      <c r="N41" s="36" t="s">
        <v>191</v>
      </c>
      <c r="O41" s="54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3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1</v>
      </c>
      <c r="G55" s="40">
        <f>G41+G54</f>
        <v>4.2</v>
      </c>
      <c r="H55" s="41"/>
      <c r="I55" s="41"/>
      <c r="J55" s="41"/>
      <c r="K55" s="41"/>
      <c r="L55" s="41"/>
      <c r="M55" s="42">
        <f ca="1">IFERROR(M41+M54,"")</f>
        <v>5.9949421294732019E-2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85" zoomScaleNormal="85" workbookViewId="0">
      <pane ySplit="1" topLeftCell="A2" activePane="bottomLeft" state="frozen"/>
      <selection pane="bottomLeft" activeCell="M29" sqref="M2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7.5921643518086057E-2</v>
      </c>
      <c r="N29" s="27" t="s">
        <v>198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7.5921643518086057E-2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7.5921643518086057E-2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80" zoomScaleNormal="80" workbookViewId="0">
      <pane ySplit="1" topLeftCell="A2" activePane="bottomLeft" state="frozen"/>
      <selection pane="bottomLeft" activeCell="O34" sqref="O34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201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7</v>
      </c>
      <c r="G29" s="28">
        <f t="shared" ref="G29:G40" si="6">IF(F29="","",IF(E29="PC 17",F29*4.2,IF(E29="PC 19",F29*5,"")))</f>
        <v>29.400000000000002</v>
      </c>
      <c r="H29" s="33"/>
      <c r="I29" s="33"/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2.7310532401315868E-2</v>
      </c>
      <c r="N29" s="27"/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7</v>
      </c>
      <c r="G41" s="36">
        <f>SUM(G29:G40)</f>
        <v>29.400000000000002</v>
      </c>
      <c r="H41" s="37"/>
      <c r="I41" s="37"/>
      <c r="J41" s="37"/>
      <c r="K41" s="61"/>
      <c r="L41" s="61"/>
      <c r="M41" s="38">
        <f ca="1">IFERROR(SUM(M29:M40),"")</f>
        <v>2.7310532401315868E-2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7</v>
      </c>
      <c r="G55" s="40">
        <f>G41+G54</f>
        <v>29.400000000000002</v>
      </c>
      <c r="H55" s="41"/>
      <c r="I55" s="41"/>
      <c r="J55" s="41"/>
      <c r="K55" s="63"/>
      <c r="L55" s="63"/>
      <c r="M55" s="42">
        <f ca="1">IFERROR(M41+M54,"")</f>
        <v>2.7310532401315868E-2</v>
      </c>
      <c r="N55" s="40" t="s">
        <v>194</v>
      </c>
      <c r="O55" s="48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2026-07-02T12:49:19Z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