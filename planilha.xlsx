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164" documentId="8_{AF585B22-221D-4780-BB9C-493D365A6A02}" xr6:coauthVersionLast="47" xr6:coauthVersionMax="47" xr10:uidLastSave="{D52255AA-D5B3-4908-8B7F-EC1D5A0A9EA6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<sst xmlns="http://schemas.openxmlformats.org/spreadsheetml/2006/main" count="3219" uniqueCount="264">
  <si>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</si>
  <si>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</si>
  <si>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</si>
  <si>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</si>
  <si>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</si>
  <si>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</si>
  <si>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</si>
  <si>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</si>
  <si>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</si>
  <si>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</si>
  <si>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</si>
  <si>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</si>
  <si>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</si>
  <si>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</si>
  <si>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</si>
  <si>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</si>
  <si>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</si>
  <si>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</si>
  <si>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</si>
  <si>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</si>
  <si>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</si>
  <si>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</si>
  <si>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</si>
  <si>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</si>
  <si>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</si>
  <si>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</si>
  <si>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</si>
  <si>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</si>
  <si>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</si>
  <si>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</si>
  <si>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</si>
  <si>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</si>
  <si>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</si>
  <si>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</si>
  <si>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</si>
  <si>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</si>
  <si>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</si>
  <si>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</si>
  <si>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</si>
  <si>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</si>
  <si>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</si>
  <si>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</si>
  <si>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</si>
  <si>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</si>
  <si>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</si>
  <si>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</si>
  <si>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</si>
  <si>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</si>
  <si>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</si>
  <si>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</si>
  <si>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</si>
  <si>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</si>
  <si>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</si>
  <si>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</si>
  <si>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</si>
  <si>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</si>
  <si>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</si>
  <si>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</si>
  <si>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</si>
  <si>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</si>
  <si>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</si>
  <si>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</si>
  <si>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</si>
  <si>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</si>
  <si>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</si>
  <si>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</si>
  <si>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</si>
  <si>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</si>
  <si>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</si>
  <si>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</si>
  <si>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</si>
  <si>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</si>
  <si>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</si>
  <si>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</si>
  <si>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</si>
  <si>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</si>
  <si>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</si>
  <si>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</si>
  <si>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</si>
  <si>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</si>
  <si>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</si>
  <si>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</si>
  <si>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</si>
  <si>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</si>
  <si>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</si>
  <si>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</si>
  <si>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</si>
  <si>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</si>
  <si>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</si>
  <si>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</si>
  <si>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</si>
  <si>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</si>
  <si>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</si>
  <si>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</si>
  <si>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</si>
  <si>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</si>
  <si>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</si>
  <si>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</si>
  <si>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</si>
  <si>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</si>
  <si>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</si>
  <si>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</si>
  <si>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</si>
  <si>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</si>
  <si>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</si>
  <si>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</si>
  <si>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</si>
  <si>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</si>
  <si>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</si>
  <si>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</si>
  <si>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</si>
  <si>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</si>
  <si>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</si>
  <si>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</si>
  <si>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</si>
  <si>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</si>
  <si>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</si>
  <si>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</si>
  <si>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</si>
  <si>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</si>
  <si>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</si>
  <si>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</si>
  <si>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</si>
  <si>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</si>
  <si>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</si>
  <si>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</si>
  <si>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</si>
  <si>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</si>
  <si>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</si>
  <si>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</si>
  <si>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</si>
  <si>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</si>
  <si>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</si>
  <si>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</si>
  <si>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</si>
  <si>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</si>
  <si>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</si>
  <si>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</si>
  <si>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</si>
  <si>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</si>
  <si>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</si>
  <si>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</si>
  <si>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</si>
  <si>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</si>
  <si>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</si>
  <si>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</si>
  <si>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</si>
  <si>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</si>
  <si>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</si>
  <si>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</si>
  <si>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</si>
  <si>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</si>
  <si>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</si>
  <si>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</si>
  <si>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</si>
  <si>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</si>
  <si>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</si>
  <si>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</si>
  <si>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</si>
  <si>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</si>
  <si>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</si>
  <si>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</si>
  <si>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</si>
  <si>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</si>
  <si>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</si>
  <si>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</si>
  <si>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</si>
  <si>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</si>
  <si>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</si>
  <si>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</si>
  <si>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</si>
  <si>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</si>
  <si>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</si>
  <si>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</si>
  <si>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</si>
  <si>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</si>
  <si>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</si>
  <si>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</si>
  <si>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</si>
  <si>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</si>
  <si>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</si>
  <si>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</si>
  <si>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</si>
  <si>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</si>
  <si>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</si>
  <si>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</si>
  <si>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</si>
  <si>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</si>
  <si>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</si>
  <si>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</si>
  <si>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</si>
  <si>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</si>
  <si>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</si>
  <si>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</si>
  <si>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</si>
  <si>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</si>
  <si>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</si>
  <si>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</si>
  <si>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</si>
  <si>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</si>
  <si>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</si>
  <si>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</si>
  <si>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</si>
  <si>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</si>
  <si>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</si>
  <si>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</si>
  <si>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</si>
  <si>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</si>
  <si>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</si>
  <si>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</si>
  <si>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</si>
  <si>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</si>
  <si>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</si>
  <si>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</si>
  <si>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</si>
  <si>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</si>
  <si>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20</t>
  </si>
  <si>
    <t>PC 22</t>
  </si>
  <si>
    <t>PC 23</t>
  </si>
  <si>
    <t>PC 24</t>
  </si>
  <si>
    <t>PC 25</t>
  </si>
  <si>
    <t>PC 26</t>
  </si>
  <si>
    <t>PC 27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</si>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</sst>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15131070</v>
      </c>
      <c r="D35" s="13">
        <f>IFERROR(SUM(D4:D34),"")</f>
        <v>7238930</v>
      </c>
      <c r="E35" s="13">
        <f>IFERROR(SUM(E4:E34),"")</f>
        <v>3700390</v>
      </c>
      <c r="F35" s="13">
        <f>IFERROR(SUM(F4:F34),"")</f>
        <v>6731590</v>
      </c>
      <c r="G35" s="13">
        <f>IFERROR(SUM(G4:G34),"")</f>
        <v>17670910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K60" sqref="K6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192</v>
      </c>
      <c r="L58" s="16"/>
      <c r="M58" s="16"/>
    </row>
    <row r="59" spans="1:13" ht="15" customHeight="1">
      <c r="H59" s="97"/>
      <c r="I59" s="17"/>
      <c r="J59" s="17"/>
      <c r="K59" s="17" t="s">
        <v>193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tabSelected="1" zoomScale="60" zoomScaleNormal="60" workbookViewId="0">
      <pane ySplit="1" topLeftCell="A147" activePane="bottomLeft" state="frozen"/>
      <selection pane="bottomLeft" activeCell="E169" sqref="E1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204</v>
      </c>
      <c r="E2" s="59" t="s">
        <v>205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206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205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205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205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205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205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205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205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205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205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205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205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208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205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205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205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205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205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205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205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205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205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205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205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205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208</v>
      </c>
      <c r="O27" s="39">
        <v>1183060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211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205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205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212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205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205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205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205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205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205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205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208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205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205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205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205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205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205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205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205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205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205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205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208</v>
      </c>
      <c r="O54" s="39">
        <v>959290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211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205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205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205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205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205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205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205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205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205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205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205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205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208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205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205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213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205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205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205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205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205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205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205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205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208</v>
      </c>
      <c r="O81" s="39">
        <v>878050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211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214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205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205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208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215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208</v>
      </c>
      <c r="O108" s="39">
        <v>1700000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211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205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205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205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205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205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205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205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205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205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205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205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205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208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208</v>
      </c>
      <c r="O135" s="39">
        <v>862330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211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208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157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136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205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205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205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205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205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205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205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205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205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205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208</v>
      </c>
      <c r="O162" s="44">
        <v>1546080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211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30</v>
      </c>
      <c r="E164" s="59" t="s">
        <v>205</v>
      </c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30</v>
      </c>
      <c r="E165" s="59" t="s">
        <v>205</v>
      </c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30</v>
      </c>
      <c r="E166" s="59" t="s">
        <v>216</v>
      </c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30</v>
      </c>
      <c r="E167" s="59" t="s">
        <v>205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30</v>
      </c>
      <c r="E168" s="59" t="s">
        <v>205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30</v>
      </c>
      <c r="E169" s="59" t="s">
        <v>205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30</v>
      </c>
      <c r="E170" s="59" t="s">
        <v>217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30</v>
      </c>
      <c r="E171" s="59" t="s">
        <v>218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30</v>
      </c>
      <c r="E172" s="59" t="s">
        <v>219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30</v>
      </c>
      <c r="E173" s="59" t="s">
        <v>220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30</v>
      </c>
      <c r="E174" s="59" t="s">
        <v>221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30</v>
      </c>
      <c r="E175" s="59" t="s">
        <v>222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42" activePane="bottomLeft" state="frozen"/>
      <selection pane="bottomLeft" activeCell="J164" sqref="J1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208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208</v>
      </c>
      <c r="O27" s="78">
        <v>393200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211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208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223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85">
        <v>276360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211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208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208</v>
      </c>
      <c r="O81" s="54">
        <v>787860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211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208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208</v>
      </c>
      <c r="O108" s="54">
        <v>1087080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211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208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208</v>
      </c>
      <c r="O135" s="54">
        <v>794480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211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208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208</v>
      </c>
      <c r="O162" s="54">
        <v>882280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211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 t="s">
        <v>18</v>
      </c>
      <c r="I164" s="26" t="s">
        <v>31</v>
      </c>
      <c r="J164" s="26" t="s">
        <v>193</v>
      </c>
      <c r="K164" s="29">
        <v>0.29166666666666669</v>
      </c>
      <c r="L164" s="29"/>
      <c r="M164" s="30">
        <f t="shared" ref="M164:M175" ca="1" si="37">IFERROR(IF(K164="","",IF(L164="",MOD(NOW()-K164,1),IF(L164&gt;=K164,L164-K164,L164+1-K164))),"")</f>
        <v>2.340034722146811E-2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2.340034722146811E-2</v>
      </c>
      <c r="N176" s="36" t="s">
        <v>208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78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2.340034722146811E-2</v>
      </c>
      <c r="N190" s="40" t="s">
        <v>211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78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78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78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78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78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78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78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78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78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78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78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78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78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78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78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78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78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78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78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78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8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35" activePane="bottomLeft" state="frozen"/>
      <selection pane="bottomLeft" activeCell="E164" sqref="E1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208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208</v>
      </c>
      <c r="O27" s="39">
        <v>308500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211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242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208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208</v>
      </c>
      <c r="O54" s="39">
        <v>124290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211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243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208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244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208</v>
      </c>
      <c r="O81" s="39">
        <v>396340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211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205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205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245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205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208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208</v>
      </c>
      <c r="O108" s="39">
        <v>41230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211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208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208</v>
      </c>
      <c r="O135" s="39">
        <v>381250</v>
      </c>
    </row>
    <row r="136" spans="1:15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211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205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205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205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205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208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208</v>
      </c>
      <c r="O162" s="39">
        <v>337120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211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208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208</v>
      </c>
      <c r="O216" s="39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208</v>
      </c>
      <c r="O432" s="39"/>
    </row>
    <row r="433" spans="1:15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208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40" activePane="bottomLeft" state="frozen"/>
      <selection pane="bottomLeft" activeCell="E164" sqref="E16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194</v>
      </c>
      <c r="C1" s="23" t="s">
        <v>12</v>
      </c>
      <c r="D1" s="22" t="s">
        <v>13</v>
      </c>
      <c r="E1" s="22" t="s">
        <v>195</v>
      </c>
      <c r="F1" s="23" t="s">
        <v>196</v>
      </c>
      <c r="G1" s="23" t="s">
        <v>197</v>
      </c>
      <c r="H1" s="23" t="s">
        <v>14</v>
      </c>
      <c r="I1" s="23" t="s">
        <v>15</v>
      </c>
      <c r="J1" s="23" t="s">
        <v>198</v>
      </c>
      <c r="K1" s="23" t="s">
        <v>199</v>
      </c>
      <c r="L1" s="23" t="s">
        <v>200</v>
      </c>
      <c r="M1" s="24" t="s">
        <v>201</v>
      </c>
      <c r="N1" s="23" t="s">
        <v>202</v>
      </c>
      <c r="O1" s="23" t="s">
        <v>203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223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244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207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208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249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209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208</v>
      </c>
      <c r="O27" s="39">
        <v>202230</v>
      </c>
    </row>
    <row r="28" spans="1:15" ht="18" customHeight="1">
      <c r="A28" s="90" t="s">
        <v>210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211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250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251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223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223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207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208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209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208</v>
      </c>
      <c r="O54" s="39">
        <v>473910</v>
      </c>
    </row>
    <row r="55" spans="1:15" ht="18" customHeight="1">
      <c r="A55" s="90" t="s">
        <v>210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211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252</v>
      </c>
      <c r="L58" s="29">
        <v>0.54097222222222219</v>
      </c>
      <c r="M58" s="30" t="str">
        <f t="shared" ca="1" si="13"/>
        <v/>
      </c>
      <c r="N58" s="27" t="s">
        <v>253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207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208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223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254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255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256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257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223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209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208</v>
      </c>
      <c r="O81" s="39">
        <v>565120</v>
      </c>
    </row>
    <row r="82" spans="1:15" ht="18" customHeight="1">
      <c r="A82" s="90" t="s">
        <v>210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211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258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205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205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205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205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205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205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205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207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208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209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208</v>
      </c>
      <c r="O108" s="39">
        <v>558590</v>
      </c>
    </row>
    <row r="109" spans="1:15" ht="18" customHeight="1">
      <c r="A109" s="90" t="s">
        <v>210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211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259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207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208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205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205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260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205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261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205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205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205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6.5761458332417533E-2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205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205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205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205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205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205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209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0.26506701388797316</v>
      </c>
      <c r="N135" s="36" t="s">
        <v>208</v>
      </c>
      <c r="O135" s="39">
        <v>729290</v>
      </c>
    </row>
    <row r="136" spans="1:18" ht="18" customHeight="1">
      <c r="A136" s="90" t="s">
        <v>210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0.63242812499908418</v>
      </c>
      <c r="N136" s="40" t="s">
        <v>211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205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205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205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262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205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205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205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205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205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205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205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205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205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207</v>
      </c>
      <c r="B149" s="88"/>
      <c r="C149" s="88"/>
      <c r="D149" s="88"/>
      <c r="E149" s="89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208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205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186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205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158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263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223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209</v>
      </c>
      <c r="B162" s="88"/>
      <c r="C162" s="88"/>
      <c r="D162" s="88"/>
      <c r="E162" s="89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208</v>
      </c>
      <c r="O162" s="39">
        <v>697320</v>
      </c>
    </row>
    <row r="163" spans="1:15" ht="18" customHeight="1">
      <c r="A163" s="90" t="s">
        <v>210</v>
      </c>
      <c r="B163" s="91"/>
      <c r="C163" s="91"/>
      <c r="D163" s="91"/>
      <c r="E163" s="9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211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207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208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209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208</v>
      </c>
      <c r="O189" s="39"/>
    </row>
    <row r="190" spans="1:15" ht="18" customHeight="1">
      <c r="A190" s="90" t="s">
        <v>210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211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207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208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209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208</v>
      </c>
      <c r="O216" s="45"/>
    </row>
    <row r="217" spans="1:15" ht="18" customHeight="1">
      <c r="A217" s="90" t="s">
        <v>210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211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207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208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209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208</v>
      </c>
      <c r="O243" s="39"/>
    </row>
    <row r="244" spans="1:15" ht="18" customHeight="1">
      <c r="A244" s="90" t="s">
        <v>210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211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207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208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209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208</v>
      </c>
      <c r="O270" s="39"/>
    </row>
    <row r="271" spans="1:15" ht="18" customHeight="1">
      <c r="A271" s="90" t="s">
        <v>210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211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207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208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209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208</v>
      </c>
      <c r="O297" s="39"/>
    </row>
    <row r="298" spans="1:15" ht="18" customHeight="1">
      <c r="A298" s="90" t="s">
        <v>210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211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207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208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209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208</v>
      </c>
      <c r="O324" s="39"/>
    </row>
    <row r="325" spans="1:15" ht="18" customHeight="1">
      <c r="A325" s="90" t="s">
        <v>210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211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207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208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209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208</v>
      </c>
      <c r="O351" s="39"/>
    </row>
    <row r="352" spans="1:15" ht="18" customHeight="1">
      <c r="A352" s="90" t="s">
        <v>210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211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207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208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209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208</v>
      </c>
      <c r="O378" s="39"/>
    </row>
    <row r="379" spans="1:15" ht="18" customHeight="1">
      <c r="A379" s="90" t="s">
        <v>210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211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207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208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209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208</v>
      </c>
      <c r="O405" s="39"/>
    </row>
    <row r="406" spans="1:15" ht="18" customHeight="1">
      <c r="A406" s="90" t="s">
        <v>210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211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207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208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209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208</v>
      </c>
      <c r="O432" s="39"/>
    </row>
    <row r="433" spans="1:17" ht="18" customHeight="1">
      <c r="A433" s="90" t="s">
        <v>210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211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207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208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209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208</v>
      </c>
      <c r="O459" s="39"/>
    </row>
    <row r="460" spans="1:15" ht="18" customHeight="1">
      <c r="A460" s="90" t="s">
        <v>210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211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207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208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209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208</v>
      </c>
      <c r="O486" s="39"/>
    </row>
    <row r="487" spans="1:15" ht="18" customHeight="1">
      <c r="A487" s="90" t="s">
        <v>210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211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207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208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209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208</v>
      </c>
      <c r="O513" s="39"/>
    </row>
    <row r="514" spans="1:15" ht="18" customHeight="1">
      <c r="A514" s="90" t="s">
        <v>210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211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207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208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209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208</v>
      </c>
      <c r="O540" s="39"/>
    </row>
    <row r="541" spans="1:15" ht="18" customHeight="1">
      <c r="A541" s="90" t="s">
        <v>210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211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207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208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209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208</v>
      </c>
      <c r="O567" s="39"/>
    </row>
    <row r="568" spans="1:15" ht="18" customHeight="1">
      <c r="A568" s="90" t="s">
        <v>210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211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207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208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209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208</v>
      </c>
      <c r="O594" s="39"/>
    </row>
    <row r="595" spans="1:15" ht="18" customHeight="1">
      <c r="A595" s="90" t="s">
        <v>210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211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207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208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209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208</v>
      </c>
      <c r="O621" s="39"/>
    </row>
    <row r="622" spans="1:15" ht="18" customHeight="1">
      <c r="A622" s="90" t="s">
        <v>210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211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207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208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209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208</v>
      </c>
      <c r="O648" s="39"/>
    </row>
    <row r="649" spans="1:15" ht="18" customHeight="1">
      <c r="A649" s="90" t="s">
        <v>210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211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207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208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209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208</v>
      </c>
      <c r="O675" s="39"/>
    </row>
    <row r="676" spans="1:15" ht="18" customHeight="1">
      <c r="A676" s="90" t="s">
        <v>210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211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207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208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209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208</v>
      </c>
      <c r="O702" s="39"/>
    </row>
    <row r="703" spans="1:15" ht="18" customHeight="1">
      <c r="A703" s="90" t="s">
        <v>210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211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207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208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209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208</v>
      </c>
      <c r="O729" s="39"/>
    </row>
    <row r="730" spans="1:15" ht="18" customHeight="1">
      <c r="A730" s="90" t="s">
        <v>210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211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207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208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209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208</v>
      </c>
      <c r="O756" s="39"/>
    </row>
    <row r="757" spans="1:15" ht="18" customHeight="1">
      <c r="A757" s="90" t="s">
        <v>210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211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207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208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209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208</v>
      </c>
      <c r="O783" s="39"/>
    </row>
    <row r="784" spans="1:15" ht="18" customHeight="1">
      <c r="A784" s="90" t="s">
        <v>210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211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207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208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209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208</v>
      </c>
      <c r="O810" s="39"/>
    </row>
    <row r="811" spans="1:15" ht="18" customHeight="1">
      <c r="A811" s="90" t="s">
        <v>210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211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2026-07-07T11:33:43Z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