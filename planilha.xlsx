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0" documentId="8_{C51EB6CB-002B-4D6B-B68F-DDEBDB4460C0}" xr6:coauthVersionLast="47" xr6:coauthVersionMax="47" xr10:uidLastSave="{DCF57092-8ECF-4CA4-8B2C-90D49D8A1A1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<sst xmlns="http://schemas.openxmlformats.org/spreadsheetml/2006/main" count="5839" uniqueCount="341">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</sst>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I312" sqref="I31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0.72800879629357951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0.86689768518246835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0.95161990740469071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/>
      <c r="K312" s="29">
        <v>0.84722222222222221</v>
      </c>
      <c r="L312" s="29"/>
      <c r="M312" s="30">
        <f t="shared" ref="M312:M323" ca="1" si="70">IFERROR(IF(K312="","",IF(L312="",MOD(NOW()-K312,1),IF(L312&gt;=K312,L312-K312,L312+1-K312))),"")</f>
        <v>2.3143518556025811E-3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2.3143518556025811E-3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191</v>
      </c>
      <c r="G325" s="40">
        <f>G311+G324</f>
        <v>802.19999999999993</v>
      </c>
      <c r="H325" s="41"/>
      <c r="I325" s="41"/>
      <c r="J325" s="41"/>
      <c r="K325" s="41"/>
      <c r="L325" s="41"/>
      <c r="M325" s="42">
        <f ca="1">IFERROR(M311+M324,"")</f>
        <v>5.5786574077824724E-2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6" sqref="N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0.65509212962933816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0.71689768518489372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0.77800879629600495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</v>
      </c>
      <c r="G324" s="36">
        <f>SUM(G312:G323)</f>
        <v>33.6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131</v>
      </c>
      <c r="G325" s="40">
        <f>G311+G324</f>
        <v>550.19999999999993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N301" sqref="N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</v>
      </c>
      <c r="G324" s="36">
        <f>SUM(G312:G323)</f>
        <v>96.600000000000009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215</v>
      </c>
      <c r="G325" s="40">
        <f>G311+G324</f>
        <v>903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