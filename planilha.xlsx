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549" documentId="8_{C51EB6CB-002B-4D6B-B68F-DDEBDB4460C0}" xr6:coauthVersionLast="47" xr6:coauthVersionMax="47" xr10:uidLastSave="{D122CEA9-3ED7-4B3C-86FA-C5385346D6AE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<sst xmlns="http://schemas.openxmlformats.org/spreadsheetml/2006/main" count="4684" uniqueCount="315">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</sst>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2165620</v>
      </c>
      <c r="D12" s="8">
        <f>IFERROR('Linha 1'!O244,"")</f>
        <v>503310</v>
      </c>
      <c r="E12" s="8">
        <f>IFERROR('Linha 2'!O244,"")</f>
        <v>329640</v>
      </c>
      <c r="F12" s="8">
        <f>IFERROR('Linha 3'!O244,"")</f>
        <v>755220</v>
      </c>
      <c r="G12" s="9">
        <f t="shared" si="0"/>
        <v>1588170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29446500</v>
      </c>
      <c r="D35" s="13">
        <f>IFERROR(SUM(D4:D34),"")</f>
        <v>8827170</v>
      </c>
      <c r="E35" s="13">
        <f>IFERROR(SUM(E4:E34),"")</f>
        <v>4207220</v>
      </c>
      <c r="F35" s="13">
        <f>IFERROR(SUM(F4:F34),"")</f>
        <v>11603970</v>
      </c>
      <c r="G35" s="13">
        <f>IFERROR(SUM(G4:G34),"")</f>
        <v>24638360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F233" sqref="F23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49</v>
      </c>
      <c r="G243" s="36">
        <f>SUM(G231:G242)</f>
        <v>245</v>
      </c>
      <c r="H243" s="37"/>
      <c r="I243" s="37"/>
      <c r="J243" s="37"/>
      <c r="K243" s="37"/>
      <c r="L243" s="37"/>
      <c r="M243" s="38">
        <f ca="1">IFERROR(SUM(M231:M242),"")</f>
        <v>3.0555555555555558E-2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358</v>
      </c>
      <c r="G244" s="40">
        <f>G230+G243</f>
        <v>1790</v>
      </c>
      <c r="H244" s="41"/>
      <c r="I244" s="41"/>
      <c r="J244" s="41"/>
      <c r="K244" s="41"/>
      <c r="L244" s="41"/>
      <c r="M244" s="42">
        <f ca="1">IFERROR(M230+M243,"")</f>
        <v>0.10972222222222211</v>
      </c>
      <c r="N244" s="40" t="s">
        <v>239</v>
      </c>
      <c r="O244" s="48">
        <f>IFERROR(O230+O243,"")</f>
        <v>2165620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10" activePane="bottomLeft" state="frozen"/>
      <selection pane="bottomLeft" activeCell="E232" sqref="E2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0.75659699073730735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0.89548587962619619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0.98020810184841856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26</v>
      </c>
      <c r="G243" s="36">
        <f>SUM(G231:G242)</f>
        <v>118</v>
      </c>
      <c r="H243" s="37"/>
      <c r="I243" s="37"/>
      <c r="J243" s="37"/>
      <c r="K243" s="37"/>
      <c r="L243" s="37"/>
      <c r="M243" s="38">
        <f ca="1">IFERROR(SUM(M231:M242),"")</f>
        <v>2.5694444444444464E-2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160</v>
      </c>
      <c r="G244" s="40">
        <f>G230+G243</f>
        <v>684.80000000000007</v>
      </c>
      <c r="H244" s="41"/>
      <c r="I244" s="41"/>
      <c r="J244" s="41"/>
      <c r="K244" s="41"/>
      <c r="L244" s="41"/>
      <c r="M244" s="42">
        <f ca="1">IFERROR(M230+M243,"")</f>
        <v>0.17500000000000016</v>
      </c>
      <c r="N244" s="40" t="s">
        <v>239</v>
      </c>
      <c r="O244" s="83">
        <f>IFERROR(O230+O243,"")</f>
        <v>503310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33" sqref="F2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0.1538192129592062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0.21215254629253955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16</v>
      </c>
      <c r="G243" s="36">
        <f>SUM(G231:G242)</f>
        <v>72.800000000000011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93</v>
      </c>
      <c r="G244" s="40">
        <f>G230+G243</f>
        <v>400.2</v>
      </c>
      <c r="H244" s="41"/>
      <c r="I244" s="41"/>
      <c r="J244" s="41"/>
      <c r="K244" s="41"/>
      <c r="L244" s="41"/>
      <c r="M244" s="42">
        <f ca="1">IFERROR(M230+M243,"")</f>
        <v>0.21215254629253955</v>
      </c>
      <c r="N244" s="40" t="s">
        <v>239</v>
      </c>
      <c r="O244" s="48">
        <f>IFERROR(O230+O243,"")</f>
        <v>329640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7" activePane="bottomLeft" state="frozen"/>
      <selection pane="bottomLeft" activeCell="E232" sqref="E23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23</v>
      </c>
      <c r="G243" s="36">
        <f>SUM(G231:G242)</f>
        <v>100.60000000000001</v>
      </c>
      <c r="H243" s="37"/>
      <c r="I243" s="37"/>
      <c r="J243" s="37"/>
      <c r="K243" s="61"/>
      <c r="L243" s="61"/>
      <c r="M243" s="38">
        <f ca="1">IFERROR(SUM(M231:M242),"")</f>
        <v>4.166666666666663E-2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192</v>
      </c>
      <c r="G244" s="40">
        <f>G230+G243</f>
        <v>826.40000000000009</v>
      </c>
      <c r="H244" s="41"/>
      <c r="I244" s="41"/>
      <c r="J244" s="41"/>
      <c r="K244" s="63"/>
      <c r="L244" s="63"/>
      <c r="M244" s="42">
        <f ca="1">IFERROR(M230+M243,"")</f>
        <v>9.5833333333333381E-2</v>
      </c>
      <c r="N244" s="40" t="s">
        <v>239</v>
      </c>
      <c r="O244" s="48">
        <f>IFERROR(O230+O243,"")</f>
        <v>755220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2026-08-10T01:04:30Z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