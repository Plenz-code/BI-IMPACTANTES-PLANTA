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034" documentId="8_{AF585B22-221D-4780-BB9C-493D365A6A02}" xr6:coauthVersionLast="47" xr6:coauthVersionMax="47" xr10:uidLastSave="{E6DE7420-3B3F-404D-A043-A91B478480BC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<sst xmlns="http://schemas.openxmlformats.org/spreadsheetml/2006/main" count="11122" uniqueCount="412">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</sst>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E734" sqref="E7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90</v>
      </c>
      <c r="G743" s="36">
        <f>SUM(G731:G742)</f>
        <v>450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90</v>
      </c>
      <c r="G757" s="40">
        <f>G743+G756</f>
        <v>450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17" activePane="bottomLeft" state="frozen"/>
      <selection pane="bottomLeft" activeCell="F735" sqref="F73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0.24251354166335659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0.40015243055224547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0.50987465277446764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0.22098576388816582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0.39181909722149921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0.53695798611038814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54</v>
      </c>
      <c r="G743" s="36">
        <f>SUM(G731:G742)</f>
        <v>226.8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54</v>
      </c>
      <c r="G757" s="40">
        <f>G743+G756</f>
        <v>226.8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14" zoomScale="50" zoomScaleNormal="50" workbookViewId="0">
      <selection activeCell="H732" sqref="H7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/>
      <c r="F731" s="27">
        <v>1</v>
      </c>
      <c r="G731" s="34" t="str">
        <f t="shared" ref="G731:G742" si="162">IF(F731="","",IF(E731="PC 17",F731*4.2,IF(E731="PC 19",F731*5,"")))</f>
        <v/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>
        <v>10</v>
      </c>
      <c r="G732" s="28" t="str">
        <f t="shared" si="162"/>
        <v/>
      </c>
      <c r="H732" s="26" t="s">
        <v>20</v>
      </c>
      <c r="I732" s="26" t="s">
        <v>47</v>
      </c>
      <c r="J732" s="26"/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319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>
        <v>13</v>
      </c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>
        <v>6</v>
      </c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30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4.0972222222222243E-2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30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4.0972222222222243E-2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15" activePane="bottomLeft" state="frozen"/>
      <selection pane="bottomLeft" activeCell="L737" sqref="L73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0.23279131944582332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0.43209687500137894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0.79945798611248997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410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20</v>
      </c>
      <c r="I734" s="26" t="s">
        <v>155</v>
      </c>
      <c r="J734" s="26" t="s">
        <v>74</v>
      </c>
      <c r="K734" s="29">
        <v>0.37430555555555556</v>
      </c>
      <c r="L734" s="29">
        <v>0.38333333333333336</v>
      </c>
      <c r="M734" s="30">
        <f t="shared" ca="1" si="163"/>
        <v>9.0277777777778012E-3</v>
      </c>
      <c r="N734" s="27" t="s">
        <v>411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/>
      <c r="G735" s="34" t="str">
        <f t="shared" si="162"/>
        <v/>
      </c>
      <c r="H735" s="33" t="s">
        <v>18</v>
      </c>
      <c r="I735" s="33" t="s">
        <v>127</v>
      </c>
      <c r="J735" s="33" t="s">
        <v>164</v>
      </c>
      <c r="K735" s="29">
        <v>0.42708333333333331</v>
      </c>
      <c r="L735" s="29">
        <v>0.4513888888888889</v>
      </c>
      <c r="M735" s="35">
        <f t="shared" ca="1" si="163"/>
        <v>2.430555555555558E-2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 t="s">
        <v>20</v>
      </c>
      <c r="I736" s="26" t="s">
        <v>155</v>
      </c>
      <c r="J736" s="26" t="s">
        <v>74</v>
      </c>
      <c r="K736" s="29">
        <v>0.46875</v>
      </c>
      <c r="L736" s="29">
        <v>0.47152777777777777</v>
      </c>
      <c r="M736" s="30">
        <f t="shared" ca="1" si="163"/>
        <v>2.7777777777777679E-3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47</v>
      </c>
      <c r="G743" s="36">
        <f>SUM(G731:G742)</f>
        <v>197.39999999999998</v>
      </c>
      <c r="H743" s="37"/>
      <c r="I743" s="37"/>
      <c r="J743" s="37"/>
      <c r="K743" s="61"/>
      <c r="L743" s="61"/>
      <c r="M743" s="38">
        <f ca="1">IFERROR(SUM(M731:M742),"")</f>
        <v>8.6805555555555525E-2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47</v>
      </c>
      <c r="G757" s="40">
        <f>G743+G756</f>
        <v>197.39999999999998</v>
      </c>
      <c r="H757" s="41"/>
      <c r="I757" s="41"/>
      <c r="J757" s="41"/>
      <c r="K757" s="63"/>
      <c r="L757" s="63"/>
      <c r="M757" s="42">
        <f ca="1">IFERROR(M743+M756,"")</f>
        <v>8.6805555555555525E-2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2026-07-28T15:34:37Z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