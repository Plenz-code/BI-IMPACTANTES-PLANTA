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44" documentId="13_ncr:1_{A6DBCFB4-28D9-4249-9038-216934055CA6}" xr6:coauthVersionLast="47" xr6:coauthVersionMax="47" xr10:uidLastSave="{C308A65F-A0AF-4C76-A2B4-35B0FA07338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<sst xmlns="http://schemas.openxmlformats.org/spreadsheetml/2006/main" count="8983" uniqueCount="401">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</sst>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19" activePane="bottomLeft" state="frozen"/>
      <selection pane="bottomLeft" activeCell="D534" sqref="D53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60</v>
      </c>
      <c r="G540" s="2">
        <f>SUM(G528:G539)</f>
        <v>300</v>
      </c>
      <c r="H540" s="72"/>
      <c r="I540" s="72"/>
      <c r="J540" s="72"/>
      <c r="K540" s="72"/>
      <c r="L540" s="72"/>
      <c r="M540" s="73">
        <f ca="1">IFERROR(SUM(M528:M539),"")</f>
        <v>6.9444444444444198E-3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248</v>
      </c>
      <c r="G541" s="1">
        <f>G527+G540</f>
        <v>1181.5999999999999</v>
      </c>
      <c r="H541" s="76"/>
      <c r="I541" s="76"/>
      <c r="J541" s="76"/>
      <c r="K541" s="76"/>
      <c r="L541" s="76"/>
      <c r="M541" s="77">
        <f ca="1">IFERROR(M527+M540,"")</f>
        <v>5.208333333333337E-2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32" sqref="P53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0.84014305555319879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0.97903194444208652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1.0637541666643093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9.7222222222222265E-2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P532" sqref="P53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2.9166666666666674E-2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9.7916666666666596E-2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2026-08-21T03:05:03Z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