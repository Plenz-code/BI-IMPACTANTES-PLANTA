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32" documentId="13_ncr:1_{0A10D8D4-8450-4366-8075-B53B08E6B7EA}" xr6:coauthVersionLast="47" xr6:coauthVersionMax="47" xr10:uidLastSave="{A1A19212-A844-4CAF-A053-ABC534D21A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40" i="6" s="1"/>
  <c r="J440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40" i="5" s="1"/>
  <c r="J440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40" i="4" s="1"/>
  <c r="J440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<sst xmlns="http://schemas.openxmlformats.org/spreadsheetml/2006/main" count="7534" uniqueCount="364">
  <si>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</si>
  <si>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</si>
  <si>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</si>
  <si>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</si>
  <si>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</si>
  <si>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</si>
  <si>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</si>
  <si>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</si>
  <si>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</si>
  <si>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</si>
  <si>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</si>
  <si>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</si>
  <si>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</si>
  <si>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</si>
  <si>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</si>
  <si>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</si>
  <si>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</si>
  <si>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</si>
  <si>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</si>
  <si>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</si>
  <si>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</si>
  <si>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</si>
  <si>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</si>
  <si>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</si>
  <si>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</si>
  <si>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</si>
  <si>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</si>
  <si>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</si>
  <si>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</si>
  <si>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</si>
  <si>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</si>
  <si>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</si>
  <si>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</si>
  <si>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</si>
  <si>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</si>
  <si>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</si>
  <si>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</si>
  <si>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</si>
  <si>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</si>
  <si>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</si>
  <si>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</si>
  <si>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</si>
  <si>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</si>
  <si>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</si>
  <si>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</si>
  <si>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</si>
  <si>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</si>
  <si>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</si>
  <si>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</si>
  <si>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</si>
  <si>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</si>
  <si>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</si>
  <si>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</si>
  <si>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</si>
  <si>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</si>
  <si>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</si>
  <si>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</si>
  <si>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</si>
  <si>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</si>
  <si>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</si>
  <si>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</si>
  <si>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</si>
  <si>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</si>
  <si>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</si>
  <si>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</si>
  <si>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</si>
  <si>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</si>
  <si>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</si>
  <si>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</si>
  <si>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</si>
  <si>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</si>
  <si>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</si>
  <si>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</si>
  <si>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</si>
  <si>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</si>
  <si>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</si>
  <si>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</si>
  <si>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</si>
  <si>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</si>
  <si>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</si>
  <si>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</si>
  <si>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</si>
  <si>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</si>
  <si>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</si>
  <si>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</si>
  <si>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</si>
  <si>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</si>
  <si>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</si>
  <si>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</si>
  <si>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</si>
  <si>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</si>
  <si>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</si>
  <si>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</si>
  <si>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</si>
  <si>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</si>
  <si>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</si>
  <si>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</si>
  <si>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</si>
  <si>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</si>
  <si>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</si>
  <si>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</si>
  <si>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</si>
  <si>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</si>
  <si>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</si>
  <si>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</si>
  <si>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</si>
  <si>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</si>
  <si>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</si>
  <si>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</si>
  <si>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</si>
  <si>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</si>
  <si>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</si>
  <si>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</si>
  <si>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</si>
  <si>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</si>
  <si>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</si>
  <si>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</si>
  <si>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</si>
  <si>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</si>
  <si>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</si>
  <si>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</si>
  <si>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</si>
  <si>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</si>
  <si>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</si>
  <si>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</si>
  <si>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</si>
  <si>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</si>
  <si>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</si>
  <si>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</si>
  <si>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</si>
  <si>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</si>
  <si>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</si>
  <si>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</si>
  <si>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</si>
  <si>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</si>
  <si>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</si>
  <si>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</si>
  <si>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</si>
  <si>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</si>
  <si>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</si>
  <si>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</si>
  <si>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</si>
  <si>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</si>
  <si>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</si>
  <si>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</si>
  <si>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</si>
  <si>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</si>
  <si>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</si>
  <si>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</si>
  <si>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</si>
  <si>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</si>
  <si>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</si>
  <si>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</si>
  <si>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</si>
  <si>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</si>
  <si>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</si>
  <si>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</si>
  <si>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</si>
  <si>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</si>
  <si>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</si>
  <si>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</si>
  <si>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</si>
  <si>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</si>
  <si>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</si>
  <si>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</si>
  <si>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</si>
  <si>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</si>
  <si>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</si>
  <si>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</si>
  <si>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</si>
  <si>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</si>
  <si>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</si>
  <si>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</si>
  <si>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</si>
  <si>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</si>
  <si>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</si>
  <si>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</si>
  <si>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</si>
  <si>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</si>
  <si>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</si>
  <si>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</si>
  <si>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</si>
  <si>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</si>
  <si>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</si>
  <si>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</si>
  <si>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</si>
  <si>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</si>
  <si>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</si>
  <si>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</si>
  <si>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</si>
  <si>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</si>
  <si>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</si>
  <si>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</si>
  <si>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</si>
  <si>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</si>
  <si>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</si>
  <si>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</si>
  <si>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</si>
  <si>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</si>
  <si>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</si>
  <si>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</si>
  <si>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</si>
  <si>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</si>
  <si>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</si>
  <si>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</si>
  <si>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</si>
  <si>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</si>
  <si>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</si>
  <si>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</si>
  <si>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</si>
  <si>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</si>
  <si>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</si>
  <si>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</si>
  <si>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</si>
  <si>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</si>
  <si>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</si>
  <si>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</si>
  <si>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</si>
  <si>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</si>
  <si>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</si>
  <si>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</si>
  <si>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</si>
  <si>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</si>
  <si>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</si>
  <si>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</si>
  <si>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</si>
  <si>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</si>
  <si>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</si>
  <si>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</si>
  <si>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</si>
  <si>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</si>
  <si>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</si>
  <si>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</si>
  <si>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</si>
  <si>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</si>
  <si>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</si>
  <si>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</si>
  <si>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</si>
  <si>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</si>
  <si>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</si>
  <si>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</si>
  <si>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</si>
  <si>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</si>
  <si>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</si>
  <si>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</si>
  <si>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</si>
  <si>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</si>
  <si>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</si>
  <si>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</si>
  <si>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</si>
  <si>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</si>
  <si>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</si>
  <si>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</si>
  <si>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</si>
  <si>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</si>
  <si>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</si>
  <si>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</si>
  <si>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</si>
  <si>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</si>
  <si>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</si>
  <si>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</si>
  <si>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</si>
  <si>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</si>
  <si>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</si>
  <si>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</si>
  <si>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</si>
  <si>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</si>
  <si>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</si>
  <si>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</si>
  <si>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</si>
  <si>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</si>
  <si>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 xml:space="preserve">manutenção na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</si>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</sst>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L436" sqref="L436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 t="s">
        <v>271</v>
      </c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/>
      <c r="M436" s="30">
        <f t="shared" ca="1" si="92"/>
        <v>5.4341435170499608E-3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2.6961921294827773E-2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2.6961921294827773E-2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P437" sqref="P43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274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275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276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277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278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279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280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281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0.49362858795939246</v>
      </c>
      <c r="R53" s="46" t="s">
        <v>282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0.6325174768482813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0.71723969907050367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274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283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284</v>
      </c>
      <c r="Q96" s="30" t="str">
        <f t="shared" ref="Q96:Q107" ca="1" si="22">IFERROR(IF(O96="","",IF(P96="",MOD(NOW()-O96,1),IF(P96&gt;=O96,P96-O96,P96+1-O96))),"")</f>
        <v/>
      </c>
      <c r="R96" s="46" t="s">
        <v>285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286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287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288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289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290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291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293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294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295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288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283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297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298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299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300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301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302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295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290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283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305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306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307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308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167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309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285.60000000000002</v>
      </c>
      <c r="L446" s="37"/>
      <c r="M446" s="37"/>
      <c r="N446" s="37"/>
      <c r="O446" s="37"/>
      <c r="P446" s="37"/>
      <c r="Q446" s="38">
        <f ca="1">IFERROR(SUM(Q434:Q445),"")</f>
        <v>4.9305555555555602E-2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285.60000000000002</v>
      </c>
      <c r="L460" s="41"/>
      <c r="M460" s="41"/>
      <c r="N460" s="41"/>
      <c r="O460" s="41"/>
      <c r="P460" s="41"/>
      <c r="Q460" s="42">
        <f ca="1">IFERROR(Q446+Q459,"")</f>
        <v>4.9305555555555602E-2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G441" sqref="G44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277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283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291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283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294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302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283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305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44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184.8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44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184.8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1" sqref="G44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272</v>
      </c>
      <c r="I1" s="133" t="s">
        <v>20</v>
      </c>
      <c r="J1" s="133" t="s">
        <v>273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273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280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283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291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305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133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558.60000000000014</v>
      </c>
      <c r="L446" s="37"/>
      <c r="M446" s="37"/>
      <c r="N446" s="37"/>
      <c r="O446" s="61"/>
      <c r="P446" s="61"/>
      <c r="Q446" s="38">
        <f ca="1">IFERROR(SUM(Q434:Q445),"")</f>
        <v>1.3194444444444509E-2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133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558.60000000000014</v>
      </c>
      <c r="L460" s="41"/>
      <c r="M460" s="41"/>
      <c r="N460" s="41"/>
      <c r="O460" s="63"/>
      <c r="P460" s="63"/>
      <c r="Q460" s="42">
        <f ca="1">IFERROR(Q446+Q459,"")</f>
        <v>1.3194444444444509E-2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2026-08-17T18:47:34Z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