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24" documentId="13_ncr:1_{0A10D8D4-8450-4366-8075-B53B08E6B7EA}" xr6:coauthVersionLast="47" xr6:coauthVersionMax="47" xr10:uidLastSave="{84E86292-F1AD-42CB-B5B4-81AF55799100}"/>
  <bookViews>
    <workbookView xWindow="-28920" yWindow="-6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4" i="6"/>
  <c r="J394" i="6" s="1"/>
  <c r="H395" i="6"/>
  <c r="J395" i="6" s="1"/>
  <c r="H396" i="6"/>
  <c r="J396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4" i="5"/>
  <c r="J394" i="5" s="1"/>
  <c r="H395" i="5"/>
  <c r="J395" i="5" s="1"/>
  <c r="H396" i="5"/>
  <c r="J396" i="5" s="1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4" i="4"/>
  <c r="J394" i="4" s="1"/>
  <c r="H395" i="4"/>
  <c r="J395" i="4" s="1"/>
  <c r="H396" i="4"/>
  <c r="J396" i="4" s="1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393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393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393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393" i="6" l="1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<sst xmlns="http://schemas.openxmlformats.org/spreadsheetml/2006/main" count="6902" uniqueCount="351">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</sst>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76" activePane="bottomLeft" state="frozen"/>
      <selection pane="bottomLeft" activeCell="K394" sqref="K39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/>
      <c r="M393" s="35">
        <f t="shared" ref="M393:M404" ca="1" si="83">IFERROR(IF(K393="","",IF(L393="",MOD(NOW()-K393,1),IF(L393&gt;=K393,L393-K393,L393+1-K393))),"")</f>
        <v>2.6742592592199799E-2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45</v>
      </c>
      <c r="G405" s="36">
        <f>SUM(G393:G404)</f>
        <v>225</v>
      </c>
      <c r="H405" s="37"/>
      <c r="I405" s="37"/>
      <c r="J405" s="37"/>
      <c r="K405" s="37"/>
      <c r="L405" s="37"/>
      <c r="M405" s="38">
        <f ca="1">IFERROR(SUM(M393:M404),"")</f>
        <v>2.6742592592199799E-2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325</v>
      </c>
      <c r="G406" s="40">
        <f>G392+G405</f>
        <v>1640</v>
      </c>
      <c r="H406" s="41"/>
      <c r="I406" s="41"/>
      <c r="J406" s="41"/>
      <c r="K406" s="41"/>
      <c r="L406" s="41"/>
      <c r="M406" s="42">
        <f ca="1">IFERROR(M392+M405,"")</f>
        <v>2.6742592592199799E-2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M393" sqref="M39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0.75243703703017673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0.89132592591906556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0.97604814814128793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/>
      <c r="N393" s="33"/>
      <c r="O393" s="29">
        <v>0.87152777777777779</v>
      </c>
      <c r="P393" s="29"/>
      <c r="Q393" s="35">
        <f t="shared" ref="Q393:Q404" ca="1" si="96">IFERROR(IF(O393="","",IF(P393="",MOD(NOW()-O393,1),IF(P393&gt;=O393,P393-O393,P393+1-O393))),"")</f>
        <v>2.4370370301767252E-3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/>
      <c r="H394" s="134" t="str">
        <f>IFERROR(IF($G394="","",$G394*$S$405/$G$405/Cadastro!$E$33),"")</f>
        <v/>
      </c>
      <c r="I394" s="135">
        <f>IFERROR(IF($D394="","",VLOOKUP($D394,Cadastro!$C$4:$G$7,5,FALSE)),"")</f>
        <v>0.6</v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84</v>
      </c>
      <c r="L405" s="37"/>
      <c r="M405" s="37"/>
      <c r="N405" s="37"/>
      <c r="O405" s="37"/>
      <c r="P405" s="37"/>
      <c r="Q405" s="38">
        <f ca="1">IFERROR(SUM(Q393:Q404),"")</f>
        <v>2.4370370301767252E-3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186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781.20000000000016</v>
      </c>
      <c r="L406" s="41"/>
      <c r="M406" s="41"/>
      <c r="N406" s="41"/>
      <c r="O406" s="41"/>
      <c r="P406" s="41"/>
      <c r="Q406" s="42">
        <f ca="1">IFERROR(Q392+Q405,"")</f>
        <v>7.4659259252398913E-2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E404" sqref="E40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/>
      <c r="H394" s="134" t="str">
        <f>IFERROR(IF($G394="","",$G394*$S$405/$G$405/Cadastro!$E$33),"")</f>
        <v/>
      </c>
      <c r="I394" s="135">
        <f>IFERROR(IF($D394="","",VLOOKUP($D394,Cadastro!$C$4:$G$7,5,FALSE)),"")</f>
        <v>0.6</v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37.800000000000004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394.8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N396" sqref="N39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0.24618703703163192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0.31077037036496519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/>
      <c r="H394" s="134" t="str">
        <f>IFERROR(IF($G394="","",$G394*$S$405/$G$405/Cadastro!$E$33),"")</f>
        <v/>
      </c>
      <c r="I394" s="135">
        <f>IFERROR(IF($D394="","",VLOOKUP($D394,Cadastro!$C$4:$G$7,5,FALSE)),"")</f>
        <v>0.6</v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13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54.6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153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642.6</v>
      </c>
      <c r="L406" s="41"/>
      <c r="M406" s="41"/>
      <c r="N406" s="41"/>
      <c r="O406" s="63"/>
      <c r="P406" s="63"/>
      <c r="Q406" s="42">
        <f ca="1">IFERROR(Q392+Q405,"")</f>
        <v>0.31077037036496519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2026-08-16T00:58:44Z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