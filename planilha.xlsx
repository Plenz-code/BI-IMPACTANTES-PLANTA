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33" documentId="13_ncr:1_{A6DBCFB4-28D9-4249-9038-216934055CA6}" xr6:coauthVersionLast="47" xr6:coauthVersionMax="47" xr10:uidLastSave="{1DFCDB15-454C-47D0-ABA3-A32133435481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<sst xmlns="http://schemas.openxmlformats.org/spreadsheetml/2006/main" count="11062" uniqueCount="448">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</sst>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74" sqref="F67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396</v>
      </c>
      <c r="G675" s="2">
        <f>SUM(G663:G674)</f>
        <v>1971.2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723</v>
      </c>
      <c r="G676" s="1">
        <f>G662+G675</f>
        <v>3606.2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40" activePane="bottomLeft" state="frozen"/>
      <selection pane="bottomLeft" activeCell="G674" sqref="G67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0.14355833332956536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0.28244722221845309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0.3671694444406759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/>
      <c r="Q669" s="70">
        <f t="shared" ca="1" si="176"/>
        <v>8.14166666532401E-3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4"/>
        <v>0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0</v>
      </c>
      <c r="I673" s="89">
        <f>IFERROR(IF($D673="","",VLOOKUP($D673,Cadastro!$C$4:$G$7,5,FALSE())),"")</f>
        <v>0.6</v>
      </c>
      <c r="J673" s="90">
        <f t="shared" si="174"/>
        <v>0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546</v>
      </c>
      <c r="L675" s="71"/>
      <c r="M675" s="71"/>
      <c r="N675" s="71"/>
      <c r="O675" s="71"/>
      <c r="P675" s="71"/>
      <c r="Q675" s="72">
        <f ca="1">IFERROR(SUM(Q663:Q674),"")</f>
        <v>0.27689166666532383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197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827.40000000000009</v>
      </c>
      <c r="L676" s="75"/>
      <c r="M676" s="75"/>
      <c r="N676" s="75"/>
      <c r="O676" s="75"/>
      <c r="P676" s="75"/>
      <c r="Q676" s="76">
        <f ca="1">IFERROR(Q662+Q675,"")</f>
        <v>0.64147499999865709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74" sqref="G67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1"/>
        <v>0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1"/>
        <v>0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1"/>
        <v>0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0</v>
      </c>
      <c r="I673" s="89">
        <f>IFERROR(IF($D673="","",VLOOKUP($D673,Cadastro!$C$4:$G$7,5,FALSE())),"")</f>
        <v>0.6</v>
      </c>
      <c r="J673" s="90">
        <f t="shared" si="171"/>
        <v>0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65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273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67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281.39999999999998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73" sqref="G67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4"/>
        <v>0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196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823.2</v>
      </c>
      <c r="L675" s="71"/>
      <c r="M675" s="71"/>
      <c r="N675" s="71"/>
      <c r="O675" s="133"/>
      <c r="P675" s="133"/>
      <c r="Q675" s="72">
        <f ca="1">IFERROR(SUM(Q663:Q674),"")</f>
        <v>4.0277777777777829E-2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326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1379.6</v>
      </c>
      <c r="L676" s="75"/>
      <c r="M676" s="75"/>
      <c r="N676" s="75"/>
      <c r="O676" s="134"/>
      <c r="P676" s="134"/>
      <c r="Q676" s="76">
        <f ca="1">IFERROR(Q662+Q675,"")</f>
        <v>0.30486111111111103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2026-08-26T10:22:49Z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