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443" documentId="8_{AF585B22-221D-4780-BB9C-493D365A6A02}" xr6:coauthVersionLast="47" xr6:coauthVersionMax="47" xr10:uidLastSave="{081C9DA7-E97D-4ADD-AC5C-88441B56B2C4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<sst xmlns="http://schemas.openxmlformats.org/spreadsheetml/2006/main" count="4167" uniqueCount="280">
  <si>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</si>
  <si>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</si>
  <si>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</si>
  <si>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</si>
  <si>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</si>
  <si>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</si>
  <si>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</si>
  <si>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</si>
  <si>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</si>
  <si>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</si>
  <si>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</si>
  <si>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</si>
  <si>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</si>
  <si>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</si>
  <si>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</si>
  <si>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</si>
  <si>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</si>
  <si>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</si>
  <si>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</si>
  <si>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</si>
  <si>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</si>
  <si>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</si>
  <si>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</si>
  <si>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</si>
  <si>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</si>
  <si>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</si>
  <si>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</si>
  <si>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</si>
  <si>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</si>
  <si>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</si>
  <si>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</si>
  <si>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</si>
  <si>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</si>
  <si>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</si>
  <si>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</si>
  <si>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</si>
  <si>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</si>
  <si>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</si>
  <si>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</si>
  <si>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</si>
  <si>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</si>
  <si>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</si>
  <si>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</si>
  <si>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</si>
  <si>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</si>
  <si>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</si>
  <si>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</si>
  <si>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</si>
  <si>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</si>
  <si>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</si>
  <si>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</si>
  <si>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</si>
  <si>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</si>
  <si>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</si>
  <si>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</si>
  <si>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</si>
  <si>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</si>
  <si>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</si>
  <si>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</si>
  <si>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</si>
  <si>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</si>
  <si>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</si>
  <si>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</si>
  <si>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</si>
  <si>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</si>
  <si>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</si>
  <si>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</si>
  <si>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</si>
  <si>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</si>
  <si>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</si>
  <si>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</si>
  <si>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</si>
  <si>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</si>
  <si>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</si>
  <si>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</si>
  <si>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</si>
  <si>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</si>
  <si>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</si>
  <si>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</si>
  <si>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</si>
  <si>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</si>
  <si>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</si>
  <si>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</si>
  <si>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</si>
  <si>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</si>
  <si>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</si>
  <si>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</si>
  <si>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</si>
  <si>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</si>
  <si>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</si>
  <si>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</si>
  <si>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</si>
  <si>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</si>
  <si>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</si>
  <si>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</si>
  <si>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</si>
  <si>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</si>
  <si>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</si>
  <si>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</si>
  <si>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</si>
  <si>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</si>
  <si>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</si>
  <si>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</si>
  <si>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</si>
  <si>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</si>
  <si>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</si>
  <si>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</si>
  <si>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</si>
  <si>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</si>
  <si>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</si>
  <si>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</si>
  <si>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</si>
  <si>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</si>
  <si>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</si>
  <si>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</si>
  <si>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</si>
  <si>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</si>
  <si>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</si>
  <si>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</si>
  <si>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</si>
  <si>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</si>
  <si>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</si>
  <si>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</si>
  <si>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</si>
  <si>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</si>
  <si>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</si>
  <si>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</si>
  <si>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</si>
  <si>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</si>
  <si>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</si>
  <si>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</si>
  <si>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</si>
  <si>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</si>
  <si>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</si>
  <si>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</si>
  <si>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</si>
  <si>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</si>
  <si>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</si>
  <si>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</si>
  <si>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</si>
  <si>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</si>
  <si>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</si>
  <si>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</si>
  <si>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</si>
  <si>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</si>
  <si>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</si>
  <si>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</si>
  <si>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</si>
  <si>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</si>
  <si>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</si>
  <si>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</si>
  <si>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</si>
  <si>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</si>
  <si>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</si>
  <si>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</si>
  <si>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</si>
  <si>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</si>
  <si>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</si>
  <si>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</si>
  <si>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</si>
  <si>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</si>
  <si>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</si>
  <si>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</si>
  <si>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</si>
  <si>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</si>
  <si>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</si>
  <si>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</si>
  <si>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</si>
  <si>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</si>
  <si>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</si>
  <si>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</si>
  <si>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</si>
  <si>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</si>
  <si>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</si>
  <si>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</si>
  <si>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</si>
  <si>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</si>
  <si>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</si>
  <si>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</si>
  <si>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</si>
  <si>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</si>
  <si>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</si>
  <si>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</si>
  <si>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</si>
  <si>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</si>
  <si>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</si>
  <si>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</si>
  <si>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</si>
  <si>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</si>
  <si>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</si>
  <si>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</si>
  <si>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</si>
  <si>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</si>
  <si>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</si>
  <si>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</si>
  <si>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</si>
  <si>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</si>
  <si>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</si>
  <si>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</si>
  <si>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</si>
  <si>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</si>
  <si>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</si>
  <si>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</si>
  <si>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</si>
  <si>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</si>
  <si>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</si>
  <si>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</si>
  <si>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</si>
  <si>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</si>
  <si>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</si>
  <si>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</si>
  <si>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</si>
  <si>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</si>
  <si>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</si>
  <si>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</si>
  <si>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</si>
  <si>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</si>
  <si>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</si>
  <si>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</si>
  <si>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</si>
  <si>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</si>
  <si>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</si>
  <si>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</si>
  <si>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</si>
  <si>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</si>
  <si>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</si>
  <si>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</si>
  <si>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</si>
  <si>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</si>
  <si>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</si>
  <si>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</si>
  <si>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</si>
  <si>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</si>
  <si>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</si>
  <si>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</si>
  <si>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</si>
  <si>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</si>
  <si>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</si>
  <si>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</si>
  <si>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</si>
  <si>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</si>
  <si>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</si>
  <si>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</si>
  <si>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</si>
  <si>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</si>
  <si>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</si>
  <si>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</si>
  <si>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</si>
  <si>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</si>
  <si>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</si>
  <si>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</si>
  <si>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</si>
  <si>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</si>
  <si>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</si>
  <si>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</si>
  <si>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</si>
  <si>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</si>
  <si>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</si>
  <si>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</si>
  <si>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</si>
  <si>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</si>
  <si>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</si>
  <si>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</si>
  <si>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</si>
  <si>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</si>
  <si>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</si>
  <si>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</si>
  <si>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</si>
  <si>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</si>
  <si>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</si>
  <si>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</si>
  <si>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</si>
  <si>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</si>
  <si>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</si>
  <si>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</si>
  <si>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</si>
  <si>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</si>
  <si>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</si>
  <si>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</si>
  <si>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moinho falhou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</si>
</sst>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3" sqref="G13:G34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03" activePane="bottomLeft" state="frozen"/>
      <selection pane="bottomLeft" activeCell="F235" sqref="F23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109</v>
      </c>
      <c r="G243" s="36">
        <f>SUM(G231:G242)</f>
        <v>545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347</v>
      </c>
      <c r="G244" s="40">
        <f>G230+G243</f>
        <v>1735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09" activePane="bottomLeft" state="frozen"/>
      <selection pane="bottomLeft" activeCell="F237" sqref="F23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21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18</v>
      </c>
      <c r="G235" s="34">
        <f t="shared" si="51"/>
        <v>75.600000000000009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65</v>
      </c>
      <c r="G243" s="36">
        <f>SUM(G231:G242)</f>
        <v>273.00000000000006</v>
      </c>
      <c r="H243" s="37"/>
      <c r="I243" s="37"/>
      <c r="J243" s="37"/>
      <c r="K243" s="37"/>
      <c r="L243" s="37"/>
      <c r="M243" s="38">
        <f ca="1">IFERROR(SUM(M231:M242),"")</f>
        <v>0.1319444444444445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180</v>
      </c>
      <c r="G244" s="40">
        <f>G230+G243</f>
        <v>756</v>
      </c>
      <c r="H244" s="41"/>
      <c r="I244" s="41"/>
      <c r="J244" s="41"/>
      <c r="K244" s="41"/>
      <c r="L244" s="41"/>
      <c r="M244" s="42">
        <f ca="1">IFERROR(M230+M243,"")</f>
        <v>0.46250000000000002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F237" sqref="F23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29.400000000000002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69</v>
      </c>
      <c r="G243" s="36">
        <f>SUM(G231:G242)</f>
        <v>289.8</v>
      </c>
      <c r="H243" s="37"/>
      <c r="I243" s="37"/>
      <c r="J243" s="37"/>
      <c r="K243" s="37"/>
      <c r="L243" s="37"/>
      <c r="M243" s="38">
        <f ca="1">IFERROR(SUM(M231:M242),"")</f>
        <v>2.8472222222222232E-2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171</v>
      </c>
      <c r="G244" s="40">
        <f>G230+G243</f>
        <v>718.2</v>
      </c>
      <c r="H244" s="41"/>
      <c r="I244" s="41"/>
      <c r="J244" s="41"/>
      <c r="K244" s="41"/>
      <c r="L244" s="41"/>
      <c r="M244" s="42">
        <f ca="1">IFERROR(M230+M243,"")</f>
        <v>6.3888888888888995E-2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0" activePane="bottomLeft" state="frozen"/>
      <selection pane="bottomLeft" activeCell="N236" sqref="N23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0.80631469907530118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1.0056202546308568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1.3729813657419678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88.2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0</v>
      </c>
      <c r="G235" s="34">
        <f t="shared" si="51"/>
        <v>0</v>
      </c>
      <c r="H235" s="33"/>
      <c r="I235" s="33" t="s">
        <v>52</v>
      </c>
      <c r="J235" s="33"/>
      <c r="K235" s="29">
        <v>5.2083333333333336E-2</v>
      </c>
      <c r="L235" s="29"/>
      <c r="M235" s="35">
        <f t="shared" ca="1" si="52"/>
        <v>3.5369212928344496E-3</v>
      </c>
      <c r="N235" s="27" t="s">
        <v>279</v>
      </c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27</v>
      </c>
      <c r="G236" s="28">
        <f t="shared" si="51"/>
        <v>113.4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92</v>
      </c>
      <c r="G243" s="36">
        <f>SUM(G231:G242)</f>
        <v>386.4</v>
      </c>
      <c r="H243" s="37"/>
      <c r="I243" s="37"/>
      <c r="J243" s="37"/>
      <c r="K243" s="61"/>
      <c r="L243" s="61"/>
      <c r="M243" s="38">
        <f ca="1">IFERROR(SUM(M231:M242),"")</f>
        <v>0.12506469907061213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210</v>
      </c>
      <c r="G244" s="40">
        <f>G230+G243</f>
        <v>882</v>
      </c>
      <c r="H244" s="41"/>
      <c r="I244" s="41"/>
      <c r="J244" s="41"/>
      <c r="K244" s="63"/>
      <c r="L244" s="63"/>
      <c r="M244" s="42">
        <f ca="1">IFERROR(M230+M243,"")</f>
        <v>0.3215924768483901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2026-07-10T05:20:20Z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