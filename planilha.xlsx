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6996" documentId="13_ncr:1_{9DFDFEE8-78F7-4C04-B87C-99924EE6CC37}" xr6:coauthVersionLast="47" xr6:coauthVersionMax="47" xr10:uidLastSave="{8A1FDD2D-2E13-4ABE-A090-D613272957E6}"/>
  <bookViews>
    <workbookView xWindow="-108" yWindow="-108" windowWidth="23256" windowHeight="12456" tabRatio="500" firstSheet="5" activeTab="4" xr2:uid="{00000000-000D-0000-FFFF-FFFF00000000}"/>
  </bookViews>
  <sheets>
    <sheet name="Resumo" sheetId="1" r:id="rId1"/>
    <sheet name="Britador Móvel" sheetId="3" r:id="rId2"/>
    <sheet name="Britador" sheetId="4" r:id="rId3"/>
    <sheet name="Linha 1" sheetId="5" r:id="rId4"/>
    <sheet name="Linha 2" sheetId="6" r:id="rId5"/>
    <sheet name="Linha 3" sheetId="7" r:id="rId6"/>
    <sheet name="Movimentação Mina" sheetId="8" r:id="rId7"/>
    <sheet name="Planilha1" sheetId="9" state="hidden" r:id="rId8"/>
    <sheet name="Cadastro" sheetId="2" r:id="rId9"/>
  </sheets>
  <definedNames>
    <definedName name="_xlnm._FilterDatabase" localSheetId="6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34" i="1" l="1"/>
  <c r="L35" i="1" s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H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H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K797" i="6" l="1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H146" i="7"/>
  <c r="J146" i="7" s="1"/>
  <c r="H140" i="7"/>
  <c r="K149" i="7"/>
  <c r="H142" i="7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H146" i="5"/>
  <c r="H140" i="5"/>
  <c r="J140" i="5" s="1"/>
  <c r="H142" i="5"/>
  <c r="H138" i="5"/>
  <c r="J138" i="5" s="1"/>
  <c r="H147" i="5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G163" i="4" s="1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45" i="5"/>
  <c r="J146" i="5"/>
  <c r="J147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0" i="7"/>
  <c r="J141" i="7"/>
  <c r="J142" i="7"/>
  <c r="J143" i="7"/>
  <c r="J145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H392" i="6" l="1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J514" i="7" s="1"/>
  <c r="T514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H190" i="7" s="1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9" i="5"/>
  <c r="J163" i="5"/>
  <c r="T163" i="5" s="1"/>
  <c r="T14" i="5"/>
  <c r="I64" i="3"/>
  <c r="L24" i="1"/>
  <c r="I61" i="3"/>
  <c r="L23" i="1"/>
  <c r="I58" i="3"/>
  <c r="L22" i="1"/>
  <c r="I55" i="3"/>
  <c r="L21" i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49" i="6"/>
  <c r="J163" i="6"/>
  <c r="T163" i="6" s="1"/>
  <c r="H9" i="1" s="1"/>
  <c r="J9" i="1" s="1"/>
  <c r="T122" i="6"/>
  <c r="G35" i="1"/>
  <c r="J82" i="5" l="1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H11" i="1" s="1"/>
  <c r="J11" i="1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5" i="1" l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<sst xmlns="http://schemas.openxmlformats.org/spreadsheetml/2006/main" count="4448" uniqueCount="1308">
  <si>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</si>
  <si>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</si>
  <si>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</si>
  <si>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</si>
  <si>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</si>
  <si>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</si>
  <si>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</si>
  <si>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</si>
  <si>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</si>
  <si>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</si>
  <si>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</si>
  <si>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</si>
  <si>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</si>
  <si>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</si>
  <si>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</si>
  <si>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</si>
  <si>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</si>
  <si>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Turno</t>
  </si>
  <si>
    <t>Hora do
Apontamento</t>
  </si>
  <si>
    <t>Supervisor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</si>
  <si>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</si>
  <si>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</si>
  <si>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</si>
  <si>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</si>
  <si>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</si>
  <si>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</si>
  <si>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</si>
  <si>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</si>
  <si>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</si>
  <si>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</si>
  <si>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</si>
  <si>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Tipo de Material</t>
  </si>
  <si>
    <t>Pá Carregadeira</t>
  </si>
  <si>
    <t>N° de Conchadas</t>
  </si>
  <si>
    <t>Produção Linha 3
(Hora a Hora)</t>
  </si>
  <si>
    <t>Tipo de Parada</t>
  </si>
  <si>
    <t>Equipamento</t>
  </si>
  <si>
    <t>Descrição do Apontamento</t>
  </si>
  <si>
    <t>Horário
Inicial</t>
  </si>
  <si>
    <t>Horário
Final</t>
  </si>
  <si>
    <t>Tempo Total
da Parada</t>
  </si>
  <si>
    <t>Totalizador
da Balança</t>
  </si>
  <si>
    <t>Douglas</t>
  </si>
  <si>
    <t>G0</t>
  </si>
  <si>
    <t>PC 19</t>
  </si>
  <si>
    <t>Corretiva mecânica</t>
  </si>
  <si>
    <t>Britador de facas</t>
  </si>
  <si>
    <t>Apertar parafuso do mancal</t>
  </si>
  <si>
    <t xml:space="preserve">troca dos dois parafuso do mancal </t>
  </si>
  <si>
    <t>Corretiva elétrica</t>
  </si>
  <si>
    <t>Queda de energia elétrica</t>
  </si>
  <si>
    <t>tc1 parou</t>
  </si>
  <si>
    <t>☀  TURNO DIURNO</t>
  </si>
  <si>
    <t>Totalizador da balança  ➜</t>
  </si>
  <si>
    <t>Victor</t>
  </si>
  <si>
    <t>Troca do motor da TC1</t>
  </si>
  <si>
    <t>troca de pino</t>
  </si>
  <si>
    <t>Lubrificação</t>
  </si>
  <si>
    <t>Troca de rolamento</t>
  </si>
  <si>
    <t>🌙  TURNO NOTURNO</t>
  </si>
  <si>
    <t>Totalizador global  ➜</t>
  </si>
  <si>
    <t>Operacional</t>
  </si>
  <si>
    <t>parada progamada</t>
  </si>
  <si>
    <t xml:space="preserve">instalação do motor da tc01 </t>
  </si>
  <si>
    <t>Teor médio de entrada</t>
  </si>
  <si>
    <t>Ponderamento da massa da balança (t)</t>
  </si>
  <si>
    <t>Recuperação da planta</t>
  </si>
  <si>
    <t>Ouro previsto (g)</t>
  </si>
  <si>
    <t>G1</t>
  </si>
  <si>
    <t>PC 17</t>
  </si>
  <si>
    <t>Preventiva</t>
  </si>
  <si>
    <t>Manutenção Programada</t>
  </si>
  <si>
    <t>Bomba de polpa 02 (6x4) CX 01</t>
  </si>
  <si>
    <t>Troca de correia da bomba</t>
  </si>
  <si>
    <t>arrebentou correia</t>
  </si>
  <si>
    <t>Troca de componente de desgaste</t>
  </si>
  <si>
    <t>Moinho de martelo 02</t>
  </si>
  <si>
    <t>Troca de martelo</t>
  </si>
  <si>
    <t>Material não britável no moinho (ferro / objeto estranho)</t>
  </si>
  <si>
    <t>troca de martelo mm2</t>
  </si>
  <si>
    <t>Moinho de martelo 01</t>
  </si>
  <si>
    <t>Martelo soltou</t>
  </si>
  <si>
    <t>Bomba de polpa 01 (8x6) CX 01</t>
  </si>
  <si>
    <t>Manutenção elétrica — falha ao partir</t>
  </si>
  <si>
    <t>Moinho de martelo 1 e 2</t>
  </si>
  <si>
    <t>forramento de moinho</t>
  </si>
  <si>
    <t>Marcos</t>
  </si>
  <si>
    <t xml:space="preserve">TROCA DE BOMBA </t>
  </si>
  <si>
    <t xml:space="preserve">TROCA DE MARTELO E 2 MANUTENÇÃO DE BALATA </t>
  </si>
  <si>
    <t xml:space="preserve">parada progamada </t>
  </si>
  <si>
    <t>Moinho de martelo 03</t>
  </si>
  <si>
    <t>Caixa de Polpa</t>
  </si>
  <si>
    <t>Ajuste do nível da caixa de polpa</t>
  </si>
  <si>
    <t>Janela de inspeção caiu</t>
  </si>
  <si>
    <t>13;41</t>
  </si>
  <si>
    <t>corrente alta / centrífuga parando</t>
  </si>
  <si>
    <t>19;20</t>
  </si>
  <si>
    <t>falha na rd3</t>
  </si>
  <si>
    <t>troca de martelo 4 e 5</t>
  </si>
  <si>
    <t>Moinho de martelo 04</t>
  </si>
  <si>
    <t xml:space="preserve">solda nas grelhas </t>
  </si>
  <si>
    <t>Troca de grelha</t>
  </si>
  <si>
    <t>Moinho de bola 03</t>
  </si>
  <si>
    <t>Serviço de solda — outros</t>
  </si>
  <si>
    <t>solda na peneira do descarte</t>
  </si>
  <si>
    <t>trocad martelo 4 e 5</t>
  </si>
  <si>
    <t>Reposição de Grelha</t>
  </si>
  <si>
    <t>moinho de martelo 4 e 5</t>
  </si>
  <si>
    <t>Moinho de bola 04</t>
  </si>
  <si>
    <t xml:space="preserve">aperta parafuso do redutor </t>
  </si>
  <si>
    <t>Caixa de polpa cheia</t>
  </si>
  <si>
    <t>ajuste do nivel da caixa de polpa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</si>
  <si>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</si>
  <si>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</si>
  <si>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</si>
  <si>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</si>
  <si>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</si>
  <si>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</si>
  <si>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</si>
  <si>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</si>
  <si>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</si>
  <si>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</si>
  <si>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</si>
  <si>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</si>
  <si>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</si>
  <si>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</si>
  <si>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</si>
  <si>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</si>
  <si>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</si>
  <si>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</si>
  <si>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</si>
  <si>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</si>
  <si>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</si>
  <si>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</si>
  <si>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</si>
  <si>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</si>
  <si>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</si>
  <si>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</si>
  <si>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</si>
  <si>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</si>
  <si>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</si>
  <si>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</si>
  <si>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</si>
  <si>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</si>
  <si>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</si>
  <si>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</si>
  <si>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</si>
  <si>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</si>
  <si>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</si>
  <si>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</si>
  <si>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</si>
  <si>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</si>
  <si>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</si>
  <si>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</si>
  <si>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</si>
  <si>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</si>
  <si>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</si>
  <si>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</si>
  <si>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</si>
  <si>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</si>
  <si>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</si>
  <si>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</si>
  <si>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</si>
  <si>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</si>
  <si>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</si>
  <si>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</si>
  <si>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</si>
  <si>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</si>
  <si>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</si>
  <si>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</si>
  <si>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</si>
  <si>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</si>
  <si>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</si>
  <si>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</si>
  <si>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</si>
  <si>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</si>
  <si>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</si>
  <si>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</si>
  <si>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</si>
  <si>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</si>
  <si>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</si>
  <si>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</si>
  <si>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</si>
  <si>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</si>
  <si>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</si>
  <si>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</si>
  <si>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</si>
  <si>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</si>
  <si>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</si>
  <si>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</si>
  <si>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</si>
  <si>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</si>
  <si>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</si>
  <si>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</si>
  <si>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</si>
  <si>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</si>
  <si>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</si>
  <si>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</si>
  <si>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</si>
  <si>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</si>
  <si>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</si>
  <si>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</si>
  <si>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</si>
  <si>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</si>
  <si>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</si>
  <si>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</si>
  <si>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</si>
  <si>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</si>
  <si>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</si>
  <si>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</si>
  <si>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</si>
  <si>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</si>
  <si>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</si>
  <si>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</si>
  <si>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</si>
  <si>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</si>
  <si>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</si>
  <si>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</si>
  <si>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</si>
  <si>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</si>
  <si>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</si>
  <si>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</si>
  <si>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</si>
  <si>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</si>
  <si>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</si>
  <si>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</si>
  <si>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</si>
  <si>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</si>
  <si>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</si>
  <si>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</si>
  <si>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</si>
  <si>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</si>
  <si>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G3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</si>
  <si>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</si>
  <si>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</si>
  <si>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</si>
  <si>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</si>
  <si>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</si>
  <si>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</si>
  <si>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</si>
  <si>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</si>
  <si>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</si>
  <si>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</si>
  <si>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</si>
  <si>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</si>
  <si>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</si>
  <si>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</si>
  <si>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</si>
  <si>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</si>
  <si>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</si>
  <si>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</si>
  <si>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</si>
  <si>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</si>
  <si>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</si>
  <si>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</si>
  <si>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</si>
  <si>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</si>
  <si>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</si>
  <si>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</si>
  <si>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</si>
  <si>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</si>
  <si>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</si>
  <si>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</si>
  <si>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</si>
  <si>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</si>
  <si>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</si>
  <si>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</si>
  <si>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</si>
  <si>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</si>
  <si>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</si>
  <si>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</si>
  <si>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</si>
  <si>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</si>
  <si>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</si>
  <si>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</si>
  <si>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</si>
  <si>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</si>
  <si>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</si>
  <si>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</si>
  <si>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</si>
  <si>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</si>
  <si>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</si>
  <si>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</si>
  <si>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</si>
  <si>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</si>
  <si>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</si>
  <si>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</si>
  <si>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</si>
  <si>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</si>
  <si>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</si>
  <si>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</si>
  <si>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</si>
  <si>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</si>
  <si>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</si>
  <si>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</si>
  <si>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</si>
  <si>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</si>
  <si>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</si>
  <si>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</si>
  <si>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</si>
  <si>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</si>
  <si>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</si>
  <si>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</si>
  <si>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</si>
  <si>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</si>
  <si>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</si>
  <si>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</si>
  <si>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</si>
  <si>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</si>
  <si>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</si>
  <si>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</si>
  <si>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</si>
  <si>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</si>
  <si>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</si>
  <si>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</si>
  <si>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</si>
  <si>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</si>
  <si>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</si>
  <si>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</si>
  <si>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</si>
  <si>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</si>
  <si>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</si>
  <si>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</si>
  <si>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</si>
  <si>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</si>
  <si>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</si>
  <si>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</si>
  <si>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</si>
  <si>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</si>
  <si>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</si>
  <si>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</si>
  <si>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</si>
  <si>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</si>
  <si>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</si>
  <si>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</si>
  <si>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</si>
  <si>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</si>
  <si>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</si>
  <si>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</si>
  <si>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</si>
  <si>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</si>
  <si>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</si>
  <si>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</si>
  <si>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</si>
  <si>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</si>
  <si>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</si>
  <si>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</si>
  <si>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</si>
  <si>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</si>
  <si>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</si>
  <si>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</si>
  <si>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</si>
  <si>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</si>
  <si>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</si>
  <si>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</si>
  <si>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</si>
  <si>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</si>
  <si>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</si>
  <si>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</si>
  <si>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</si>
  <si>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</si>
  <si>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</si>
  <si>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</si>
  <si>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</si>
  <si>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</si>
  <si>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</si>
  <si>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</si>
  <si>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</si>
  <si>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</si>
  <si>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</si>
  <si>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</si>
  <si>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</si>
  <si>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</si>
  <si>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</si>
  <si>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</si>
  <si>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</si>
  <si>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</si>
  <si>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</si>
  <si>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</si>
  <si>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</si>
  <si>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</si>
  <si>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</si>
  <si>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</si>
  <si>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</si>
  <si>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</si>
  <si>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</si>
  <si>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</si>
  <si>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</si>
  <si>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</si>
  <si>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</si>
  <si>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</si>
  <si>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</si>
  <si>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</si>
  <si>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</si>
  <si>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</si>
  <si>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</si>
  <si>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</si>
  <si>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</si>
  <si>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</si>
  <si>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</si>
  <si>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</si>
  <si>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</si>
  <si>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</si>
  <si>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</si>
  <si>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</si>
  <si>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</si>
  <si>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</si>
  <si>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</si>
  <si>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</si>
  <si>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</si>
  <si>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</si>
  <si>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</si>
  <si>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</si>
  <si>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</si>
  <si>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</si>
  <si>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</si>
  <si>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</si>
  <si>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</si>
  <si>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</si>
  <si>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</si>
  <si>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</si>
  <si>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</si>
  <si>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</si>
  <si>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</si>
  <si>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</si>
  <si>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</si>
  <si>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</si>
  <si>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</si>
  <si>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</si>
  <si>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</si>
  <si>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</si>
  <si>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</si>
  <si>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</si>
  <si>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</si>
  <si>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</si>
  <si>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</si>
  <si>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</si>
  <si>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</si>
  <si>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</si>
  <si>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</si>
  <si>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</si>
  <si>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</si>
  <si>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</si>
  <si>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</si>
  <si>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</si>
  <si>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</si>
  <si>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</si>
  <si>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</si>
  <si>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</si>
  <si>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</si>
  <si>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</si>
  <si>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</si>
  <si>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</si>
  <si>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</si>
  <si>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</si>
  <si>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</si>
  <si>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</si>
  <si>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</si>
  <si>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</si>
  <si>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</si>
  <si>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</si>
  <si>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</si>
  <si>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</si>
  <si>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</si>
  <si>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</si>
  <si>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</si>
  <si>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</si>
  <si>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</si>
  <si>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</si>
  <si>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</si>
  <si>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</si>
  <si>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</si>
  <si>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</si>
  <si>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</si>
  <si>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</si>
  <si>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</si>
  <si>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</si>
  <si>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</si>
  <si>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</si>
  <si>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</si>
  <si>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</si>
  <si>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</si>
  <si>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</si>
  <si>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</si>
  <si>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</si>
  <si>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</si>
  <si>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</si>
  <si>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</si>
  <si>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</si>
  <si>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</si>
  <si>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</si>
  <si>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</si>
  <si>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</si>
  <si>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</si>
  <si>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</si>
  <si>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</si>
  <si>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</si>
  <si>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</si>
  <si>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</si>
  <si>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</si>
  <si>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</si>
  <si>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</si>
  <si>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</si>
  <si>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</si>
  <si>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</si>
  <si>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</si>
  <si>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</si>
  <si>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</si>
  <si>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</si>
  <si>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</si>
  <si>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</si>
  <si>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</si>
  <si>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</si>
  <si>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</si>
  <si>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</si>
  <si>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</si>
  <si>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</si>
  <si>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</si>
  <si>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</si>
  <si>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</si>
  <si>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</si>
  <si>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</si>
  <si>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</si>
  <si>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</si>
  <si>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</si>
  <si>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</si>
  <si>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</si>
  <si>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</si>
  <si>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</si>
  <si>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</si>
  <si>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</si>
  <si>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</si>
  <si>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</si>
  <si>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</si>
  <si>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</si>
  <si>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</si>
  <si>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</si>
  <si>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</si>
  <si>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</si>
  <si>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</si>
  <si>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</si>
  <si>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</si>
  <si>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</si>
  <si>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</si>
  <si>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</si>
  <si>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</si>
  <si>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</si>
  <si>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</si>
  <si>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</si>
  <si>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</si>
  <si>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</si>
  <si>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</si>
  <si>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</si>
  <si>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</si>
  <si>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</si>
  <si>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</si>
  <si>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</si>
  <si>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</si>
  <si>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</si>
  <si>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</si>
  <si>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</si>
  <si>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G2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</si>
  <si>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</si>
  <si>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</si>
  <si>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</si>
  <si>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</si>
  <si>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</si>
  <si>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</si>
  <si>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</si>
  <si>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</si>
  <si>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</si>
  <si>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</si>
  <si>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</si>
  <si>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</si>
  <si>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</si>
  <si>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</si>
  <si>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</si>
  <si>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</si>
  <si>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</si>
  <si>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</si>
  <si>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</si>
  <si>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</si>
  <si>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</si>
  <si>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</si>
  <si>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</si>
  <si>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</si>
  <si>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</si>
  <si>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</si>
  <si>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</si>
  <si>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</si>
  <si>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</si>
  <si>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</si>
  <si>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</si>
  <si>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</si>
  <si>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</si>
  <si>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</si>
  <si>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</si>
  <si>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</si>
  <si>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</si>
  <si>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</si>
  <si>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</si>
  <si>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</si>
  <si>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</si>
  <si>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</si>
  <si>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</si>
  <si>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</si>
  <si>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</si>
  <si>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</si>
  <si>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</si>
  <si>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</si>
  <si>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</si>
  <si>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</si>
  <si>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</si>
  <si>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</si>
  <si>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</si>
  <si>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</si>
  <si>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</si>
  <si>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</si>
  <si>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</si>
  <si>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</si>
  <si>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</si>
  <si>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</si>
  <si>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</si>
  <si>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</si>
  <si>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</si>
  <si>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</si>
  <si>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</si>
  <si>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</si>
  <si>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</si>
  <si>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</si>
  <si>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</si>
  <si>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</si>
  <si>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</si>
  <si>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</si>
  <si>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</si>
  <si>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</si>
  <si>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</si>
  <si>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</si>
  <si>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</si>
  <si>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</si>
  <si>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</si>
  <si>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</si>
  <si>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</si>
  <si>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</si>
  <si>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</si>
  <si>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</si>
  <si>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</si>
  <si>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</si>
  <si>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</si>
  <si>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</si>
  <si>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</si>
  <si>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</si>
  <si>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</si>
  <si>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</si>
  <si>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</si>
  <si>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</si>
  <si>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</si>
  <si>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</si>
  <si>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</si>
  <si>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</si>
  <si>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</si>
  <si>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</si>
  <si>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</si>
  <si>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</si>
  <si>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</si>
  <si>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</si>
  <si>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</si>
  <si>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</si>
  <si>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</si>
  <si>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</si>
  <si>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</si>
  <si>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</si>
  <si>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</si>
  <si>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</si>
  <si>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</si>
  <si>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</si>
  <si>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</si>
  <si>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</si>
  <si>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</si>
  <si>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</si>
  <si>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</si>
  <si>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</si>
  <si>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</si>
  <si>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</si>
  <si>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</si>
  <si>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</si>
  <si>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</si>
  <si>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</si>
  <si>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</si>
  <si>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</si>
  <si>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</si>
  <si>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</si>
  <si>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</si>
  <si>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</si>
  <si>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</si>
  <si>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</si>
  <si>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</si>
  <si>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</si>
  <si>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</si>
  <si>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</si>
  <si>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</si>
  <si>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</si>
  <si>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</si>
  <si>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</si>
  <si>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</si>
  <si>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</si>
  <si>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</si>
  <si>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</si>
  <si>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</si>
  <si>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</si>
  <si>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</si>
  <si>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</si>
  <si>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</si>
  <si>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</si>
  <si>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</si>
  <si>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</si>
  <si>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</si>
  <si>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</si>
  <si>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</si>
  <si>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</si>
  <si>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</si>
  <si>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</si>
  <si>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</si>
  <si>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</si>
  <si>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</si>
  <si>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</si>
  <si>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</si>
  <si>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</si>
  <si>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</si>
  <si>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</si>
  <si>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</si>
  <si>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</si>
  <si>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</si>
  <si>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</si>
  <si>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</si>
  <si>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</si>
  <si>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</si>
  <si>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</si>
  <si>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</si>
  <si>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</si>
  <si>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</si>
  <si>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</si>
  <si>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</si>
  <si>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</si>
  <si>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</si>
  <si>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</si>
  <si>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</si>
  <si>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</si>
  <si>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</si>
  <si>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</si>
  <si>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</si>
  <si>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</si>
  <si>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</si>
  <si>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</si>
  <si>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</si>
  <si>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</si>
  <si>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</si>
  <si>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</si>
  <si>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</si>
  <si>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</si>
  <si>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</si>
  <si>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</si>
  <si>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</si>
  <si>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</si>
  <si>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</si>
  <si>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</si>
  <si>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</si>
  <si>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</si>
  <si>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</si>
  <si>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</si>
  <si>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</si>
  <si>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</si>
  <si>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</si>
  <si>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</si>
  <si>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</si>
  <si>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</si>
  <si>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</si>
  <si>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</si>
  <si>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</si>
  <si>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</si>
  <si>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</si>
  <si>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</si>
  <si>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</si>
  <si>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</si>
  <si>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</si>
  <si>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</si>
  <si>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</si>
  <si>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</si>
  <si>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</si>
  <si>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</si>
  <si>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</si>
  <si>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</si>
  <si>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</si>
  <si>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</si>
  <si>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</si>
  <si>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</si>
  <si>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</si>
  <si>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</si>
  <si>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</si>
  <si>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</si>
  <si>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</si>
  <si>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</si>
  <si>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</si>
  <si>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</si>
  <si>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</si>
  <si>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</si>
  <si>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</si>
  <si>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</si>
  <si>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</si>
  <si>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</si>
  <si>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</si>
  <si>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</si>
  <si>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</si>
  <si>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</si>
  <si>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</si>
  <si>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</si>
  <si>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</si>
  <si>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</si>
  <si>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</si>
  <si>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</si>
  <si>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</si>
  <si>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</si>
  <si>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</si>
  <si>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</si>
  <si>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</si>
  <si>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</si>
  <si>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</si>
  <si>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</si>
  <si>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</si>
  <si>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</si>
  <si>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</si>
  <si>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</si>
  <si>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</si>
  <si>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</si>
  <si>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</si>
  <si>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</si>
  <si>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</si>
  <si>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</si>
  <si>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</si>
  <si>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</si>
  <si>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</si>
  <si>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</si>
  <si>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</si>
  <si>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</si>
  <si>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</si>
  <si>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</si>
  <si>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</si>
  <si>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</si>
  <si>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</si>
  <si>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</si>
  <si>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</si>
  <si>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</si>
  <si>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</si>
  <si>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</si>
  <si>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</si>
  <si>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</si>
  <si>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</si>
  <si>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</si>
  <si>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</si>
  <si>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</si>
  <si>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</si>
  <si>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</si>
  <si>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</si>
  <si>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</si>
  <si>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</si>
  <si>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</si>
  <si>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</si>
  <si>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</si>
  <si>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</si>
  <si>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</si>
  <si>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</si>
  <si>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</si>
  <si>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</si>
  <si>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</si>
  <si>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</si>
  <si>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</si>
  <si>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</si>
  <si>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</si>
  <si>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</si>
  <si>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</si>
  <si>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</si>
  <si>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</si>
  <si>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</si>
  <si>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</si>
  <si>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</si>
  <si>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</si>
  <si>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</si>
  <si>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</si>
  <si>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</si>
  <si>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</si>
  <si>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</si>
  <si>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</si>
  <si>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</si>
  <si>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</si>
  <si>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</si>
  <si>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</si>
  <si>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</si>
  <si>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</si>
  <si>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</si>
  <si>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</si>
  <si>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</si>
  <si>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</si>
  <si>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</si>
  <si>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</si>
  <si>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</si>
  <si>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</si>
  <si>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</si>
  <si>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</si>
  <si>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</si>
  <si>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</si>
  <si>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</si>
  <si>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</si>
  <si>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</si>
  <si>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</si>
  <si>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</si>
  <si>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</si>
  <si>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</si>
  <si>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</si>
  <si>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</si>
  <si>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</si>
  <si>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</si>
  <si>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</si>
  <si>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</si>
  <si>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</si>
  <si>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</si>
  <si>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</si>
  <si>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</si>
  <si>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</si>
  <si>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</si>
  <si>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</si>
  <si>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</si>
  <si>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</si>
  <si>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</si>
  <si>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</si>
  <si>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</si>
  <si>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</si>
  <si>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</si>
  <si>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</si>
  <si>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</si>
  <si>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</si>
  <si>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</si>
  <si>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</si>
  <si>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</si>
  <si>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</si>
  <si>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</si>
  <si>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</si>
  <si>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</si>
  <si>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</si>
  <si>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</si>
  <si>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</si>
  <si>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</si>
  <si>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</si>
  <si>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</si>
  <si>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</si>
  <si>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</si>
  <si>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</si>
  <si>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</si>
  <si>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</si>
  <si>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</si>
  <si>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</si>
  <si>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</si>
  <si>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</si>
  <si>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</si>
  <si>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</si>
  <si>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</si>
  <si>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</si>
  <si>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</si>
  <si>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</si>
  <si>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</si>
  <si>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</si>
  <si>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</si>
  <si>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</si>
  <si>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</si>
  <si>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</si>
  <si>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</si>
  <si>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</si>
  <si>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</si>
  <si>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</si>
  <si>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</si>
  <si>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</si>
  <si>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</si>
  <si>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</si>
  <si>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</si>
  <si>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</si>
  <si>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</si>
  <si>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</si>
  <si>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</si>
  <si>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</si>
  <si>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</si>
  <si>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</si>
  <si>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</si>
  <si>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</si>
  <si>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</si>
  <si>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</si>
  <si>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</si>
  <si>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</si>
  <si>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</si>
  <si>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</si>
  <si>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</si>
  <si>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</si>
  <si>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</si>
  <si>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</si>
  <si>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</si>
  <si>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</si>
  <si>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</si>
  <si>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</si>
  <si>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</si>
  <si>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</si>
  <si>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</si>
  <si>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</si>
  <si>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</si>
  <si>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</si>
  <si>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</si>
  <si>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</si>
  <si>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</si>
  <si>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</si>
  <si>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</si>
  <si>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</si>
  <si>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</si>
  <si>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</si>
  <si>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</si>
  <si>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</si>
  <si>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</si>
  <si>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</si>
  <si>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</si>
  <si>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</si>
  <si>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</si>
  <si>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</si>
  <si>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</si>
  <si>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</si>
  <si>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</si>
  <si>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</si>
  <si>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</si>
  <si>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</si>
  <si>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</si>
  <si>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</si>
  <si>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</si>
  <si>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</si>
  <si>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</si>
  <si>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</si>
  <si>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</si>
  <si>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</si>
  <si>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</si>
  <si>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</si>
  <si>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</si>
  <si>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</si>
  <si>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</si>
  <si>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</si>
  <si>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</si>
  <si>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</si>
  <si>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</si>
  <si>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</si>
  <si>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</si>
  <si>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</si>
  <si>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</si>
  <si>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</si>
  <si>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</si>
  <si>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</si>
  <si>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</si>
  <si>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</si>
  <si>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</si>
  <si>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</si>
  <si>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</si>
  <si>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</si>
  <si>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</si>
  <si>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</si>
  <si>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</si>
  <si>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</si>
  <si>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</si>
  <si>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</si>
  <si>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</si>
  <si>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</si>
  <si>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</si>
  <si>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</si>
  <si>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</si>
  <si>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</si>
  <si>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</si>
  <si>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</si>
  <si>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</si>
  <si>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</si>
  <si>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</si>
  <si>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</si>
  <si>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</si>
  <si>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</si>
  <si>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</si>
  <si>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</si>
  <si>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</si>
  <si>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</si>
  <si>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</si>
  <si>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</si>
  <si>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</si>
  <si>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</si>
  <si>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</si>
  <si>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</si>
  <si>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</si>
  <si>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</si>
  <si>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</si>
  <si>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</si>
  <si>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</si>
  <si>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</si>
  <si>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</si>
  <si>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</si>
  <si>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</si>
  <si>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</si>
  <si>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</si>
  <si>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</si>
  <si>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</si>
  <si>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</si>
  <si>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</si>
  <si>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</si>
  <si>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</si>
  <si>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</si>
  <si>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</si>
  <si>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</si>
  <si>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</si>
  <si>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</si>
  <si>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</si>
  <si>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</si>
  <si>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</si>
  <si>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</si>
  <si>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</si>
  <si>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</si>
  <si>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</si>
  <si>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</si>
  <si>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</si>
  <si>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</si>
  <si>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</si>
  <si>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</si>
  <si>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</si>
  <si>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</si>
  <si>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</si>
  <si>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</si>
  <si>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📋  CADASTRO DE OPÇÕES — LISTAS DE SELEÇÃO</t>
  </si>
  <si>
    <t>📌  DESCRIÇÕES POR TIPO DE PARADA  (listas dependentes — )</t>
  </si>
  <si>
    <t>Manutenção preventiva programada</t>
  </si>
  <si>
    <t>Obstrução no ciclone ou hidrociclone</t>
  </si>
  <si>
    <t>Obstrução de bica do moinho</t>
  </si>
  <si>
    <t>Lubrificação de rolamento / mancal</t>
  </si>
  <si>
    <t>Motor queimado / superaquecido</t>
  </si>
  <si>
    <t>Obstrução interna do moinho</t>
  </si>
  <si>
    <t>Antônio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</si>
  <si>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</si>
  <si>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</si>
  <si>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</si>
  <si>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</si>
  <si>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</si>
  <si>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G4</t>
  </si>
  <si>
    <t>Aperto de parafusos do mancal</t>
  </si>
  <si>
    <t>Troca de balata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</si>
  <si>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</si>
  <si>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</si>
  <si>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</si>
  <si>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</si>
  <si>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</si>
  <si>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</si>
  <si>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</si>
  <si>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</si>
  <si>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Pedra grande presa na boca / bica do moinho</t>
  </si>
  <si>
    <t>Alimentadora de correia 01</t>
  </si>
  <si>
    <t>BRITAGEM PARADA QUEBROU O ROLETE DA TC 2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</si>
  <si>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</si>
  <si>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</si>
  <si>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</si>
  <si>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</si>
  <si>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</si>
  <si>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</si>
  <si>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</si>
  <si>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</si>
  <si>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Alimentadora de correia 03</t>
  </si>
  <si>
    <t>Recolocado saco do moinho</t>
  </si>
  <si>
    <t>Falha na guilhotina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</si>
  <si>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</si>
  <si>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</si>
  <si>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</si>
  <si>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</si>
  <si>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</si>
  <si>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</si>
  <si>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</si>
  <si>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</si>
  <si>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</si>
  <si>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</si>
  <si>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</si>
  <si>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</si>
  <si>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</si>
  <si>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</si>
  <si>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</si>
  <si>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</si>
  <si>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</si>
  <si>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</si>
  <si>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</si>
  <si>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</si>
  <si>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</si>
  <si>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</si>
  <si>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</si>
  <si>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</si>
  <si>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</si>
  <si>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</si>
  <si>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</si>
  <si>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</si>
  <si>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</si>
  <si>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</si>
  <si>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</si>
  <si>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</si>
  <si>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</si>
  <si>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</si>
  <si>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</si>
  <si>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</si>
  <si>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</si>
  <si>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</si>
  <si>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</si>
  <si>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</si>
  <si>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</si>
  <si>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</si>
  <si>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</si>
  <si>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</si>
  <si>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</si>
  <si>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</si>
  <si>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</si>
  <si>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</si>
  <si>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</si>
  <si>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Obstrução bica</t>
  </si>
  <si>
    <t>Troca de motor-redutor</t>
  </si>
  <si>
    <t>Obstrução</t>
  </si>
  <si>
    <t>Troca de motor</t>
  </si>
  <si>
    <t>Engaiolamento de mataco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</si>
  <si>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</si>
  <si>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</si>
  <si>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</si>
  <si>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</si>
  <si>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</si>
  <si>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</si>
  <si>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</si>
  <si>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</si>
  <si>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</si>
  <si>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</si>
  <si>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</si>
  <si>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</si>
  <si>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</si>
  <si>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</si>
  <si>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</si>
  <si>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</si>
  <si>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</si>
  <si>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</si>
  <si>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</si>
  <si>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faze um sevico de solda na bica</t>
  </si>
  <si>
    <t xml:space="preserve">troca do rolamento do volante </t>
  </si>
  <si>
    <t>falta de material</t>
  </si>
  <si>
    <t>Troca de volante</t>
  </si>
  <si>
    <t>Moinho vibrando</t>
  </si>
  <si>
    <t>bomba de água limpa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</si>
  <si>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</si>
  <si>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</si>
  <si>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</si>
  <si>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</si>
  <si>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</si>
  <si>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</si>
  <si>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</si>
  <si>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</si>
  <si>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</si>
  <si>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</si>
  <si>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</si>
  <si>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</si>
  <si>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</si>
  <si>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</si>
  <si>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</si>
  <si>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</si>
  <si>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</si>
  <si>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</si>
  <si>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</si>
  <si>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</si>
  <si>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</si>
  <si>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</si>
  <si>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</si>
  <si>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</si>
  <si>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</si>
  <si>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</si>
  <si>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</si>
  <si>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</si>
  <si>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</si>
  <si>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</si>
  <si>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</si>
  <si>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</si>
  <si>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</si>
  <si>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</si>
  <si>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</si>
  <si>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</si>
  <si>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</si>
  <si>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</si>
  <si>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</si>
  <si>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obstrução tc3</t>
  </si>
  <si>
    <t>Revisão geral</t>
  </si>
  <si>
    <t>Colocar braçadeira no mangote furado</t>
  </si>
  <si>
    <t>Ajuste na bica</t>
  </si>
  <si>
    <t>Limpeza na centrifuga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</si>
  <si>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</si>
  <si>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</si>
  <si>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</si>
  <si>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</si>
  <si>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</si>
  <si>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</si>
  <si>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</si>
  <si>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</si>
  <si>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</si>
  <si>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</si>
  <si>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</si>
  <si>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</si>
  <si>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</si>
  <si>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troca de correia da centrifuga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</si>
</sst>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</fonts>
  <fills count="19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78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D1" zoomScaleNormal="100" workbookViewId="0">
      <pane ySplit="3" topLeftCell="A4" activePane="bottomLeft" state="frozen"/>
      <selection pane="bottomLeft" activeCell="G5" sqref="G5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2" ht="31.5" customHeight="1">
      <c r="A1" s="169" t="s">
        <v>0</v>
      </c>
      <c r="B1" s="169"/>
      <c r="C1" s="169"/>
      <c r="D1" s="169"/>
      <c r="E1" s="169"/>
      <c r="F1" s="169"/>
      <c r="G1" s="169"/>
      <c r="H1" s="169"/>
      <c r="I1" s="169"/>
      <c r="J1" s="169"/>
      <c r="K1" s="169"/>
      <c r="L1" s="169"/>
    </row>
    <row r="2" spans="1:12" ht="30" customHeight="1">
      <c r="A2" s="170"/>
      <c r="B2" s="17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1007610</v>
      </c>
      <c r="D5" s="26">
        <f>IFERROR('Linha 1'!S55,"")</f>
        <v>134100</v>
      </c>
      <c r="E5" s="26">
        <f>IFERROR('Linha 2'!S55,"")</f>
        <v>268590</v>
      </c>
      <c r="F5" s="26">
        <f>IFERROR('Linha 3'!S55,"")</f>
        <v>343250</v>
      </c>
      <c r="G5" s="27">
        <f t="shared" si="0"/>
        <v>745940</v>
      </c>
      <c r="H5" s="21">
        <f>IFERROR('Linha 1'!T55+'Linha 2'!T55+'Linha 3'!T55,0)</f>
        <v>313.29480000000001</v>
      </c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0</v>
      </c>
      <c r="D6" s="19">
        <f>IFERROR('Linha 1'!S82,"")</f>
        <v>0</v>
      </c>
      <c r="E6" s="19">
        <f>IFERROR('Linha 2'!S82,"")</f>
        <v>0</v>
      </c>
      <c r="F6" s="19">
        <f>IFERROR('Linha 3'!S82,"")</f>
        <v>0</v>
      </c>
      <c r="G6" s="20">
        <f t="shared" si="0"/>
        <v>0</v>
      </c>
      <c r="H6" s="21">
        <f>IFERROR('Linha 1'!T82+'Linha 2'!T82+'Linha 3'!T82,0)</f>
        <v>0</v>
      </c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0</v>
      </c>
      <c r="D7" s="26">
        <f>IFERROR('Linha 1'!S109,"")</f>
        <v>0</v>
      </c>
      <c r="E7" s="26">
        <f>IFERROR('Linha 2'!S109,"")</f>
        <v>0</v>
      </c>
      <c r="F7" s="26">
        <f>IFERROR('Linha 3'!S109,"")</f>
        <v>0</v>
      </c>
      <c r="G7" s="27">
        <f t="shared" si="0"/>
        <v>0</v>
      </c>
      <c r="H7" s="21">
        <f>IFERROR('Linha 1'!T109+'Linha 2'!T109+'Linha 3'!T109,0)</f>
        <v>0</v>
      </c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0</v>
      </c>
      <c r="D8" s="19">
        <f>IFERROR('Linha 1'!S136,"")</f>
        <v>0</v>
      </c>
      <c r="E8" s="19">
        <f>IFERROR('Linha 2'!S136,"")</f>
        <v>0</v>
      </c>
      <c r="F8" s="19">
        <f>IFERROR('Linha 3'!S136,"")</f>
        <v>0</v>
      </c>
      <c r="G8" s="20">
        <f t="shared" si="0"/>
        <v>0</v>
      </c>
      <c r="H8" s="21">
        <f>IFERROR('Linha 1'!T136+'Linha 2'!T136+'Linha 3'!T136,0)</f>
        <v>0</v>
      </c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71" t="s">
        <v>16</v>
      </c>
      <c r="B35" s="171"/>
      <c r="C35" s="31">
        <f t="shared" ref="C35:G35" si="2">IFERROR(SUM(C4:C34),"")</f>
        <v>4108810</v>
      </c>
      <c r="D35" s="31">
        <f t="shared" si="2"/>
        <v>1006790</v>
      </c>
      <c r="E35" s="31">
        <f t="shared" si="2"/>
        <v>562970</v>
      </c>
      <c r="F35" s="31">
        <f t="shared" si="2"/>
        <v>1734410</v>
      </c>
      <c r="G35" s="31">
        <f t="shared" si="2"/>
        <v>3304170</v>
      </c>
      <c r="H35" s="32">
        <f>IFERROR(SUM(H4:H34),"")</f>
        <v>1033.6998608695653</v>
      </c>
      <c r="I35" s="32">
        <f>IFERROR(SUM(I4:I34),"")</f>
        <v>0</v>
      </c>
      <c r="J35" s="33" t="str">
        <f>IFERROR(IF(OR(H35="",I35="",H35=0,I35=0),"",MIN(H35,I35)/MAX(H35,I35)),"")</f>
        <v/>
      </c>
      <c r="K35" s="160">
        <f>SUM(K4:K34)</f>
        <v>0</v>
      </c>
      <c r="L35" s="34">
        <f>IFERROR(SUM(L4:L34),"")</f>
        <v>0</v>
      </c>
    </row>
    <row r="36" spans="1:12" ht="15" customHeight="1">
      <c r="J36" s="35"/>
    </row>
  </sheetData>
  <sheetProtection algorithmName="SHA-512" hashValue="nYRhyhbJIC7HN+eRi0R4N/0hXkSyPNEydN9TkZ/4NImoi7oJEwiwzycdYU38+eaoZW7imc/YPNLy8LJ5eXUNYg==" saltValue="lgbm4z4d61FsgqL8xVUdI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H56" sqref="H5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17</v>
      </c>
      <c r="C1" s="54" t="s">
        <v>18</v>
      </c>
      <c r="D1" s="54" t="s">
        <v>19</v>
      </c>
      <c r="E1" s="54" t="s">
        <v>20</v>
      </c>
      <c r="F1" s="54" t="s">
        <v>21</v>
      </c>
      <c r="G1" s="54" t="s">
        <v>22</v>
      </c>
      <c r="H1" s="54" t="s">
        <v>23</v>
      </c>
      <c r="I1" s="54" t="s">
        <v>24</v>
      </c>
      <c r="J1" s="54" t="s">
        <v>25</v>
      </c>
      <c r="K1" s="54" t="s">
        <v>26</v>
      </c>
    </row>
    <row r="2" spans="1:11" ht="15.75" customHeight="1">
      <c r="A2" s="55">
        <v>46235</v>
      </c>
      <c r="B2" s="56" t="s">
        <v>27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28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72" t="s">
        <v>29</v>
      </c>
      <c r="B4" s="172"/>
      <c r="C4" s="172"/>
      <c r="D4" s="172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27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28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72" t="s">
        <v>29</v>
      </c>
      <c r="B7" s="172"/>
      <c r="C7" s="172"/>
      <c r="D7" s="172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27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28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72" t="s">
        <v>29</v>
      </c>
      <c r="B10" s="172"/>
      <c r="C10" s="172"/>
      <c r="D10" s="172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27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28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72" t="s">
        <v>29</v>
      </c>
      <c r="B13" s="172"/>
      <c r="C13" s="172"/>
      <c r="D13" s="172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27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28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72" t="s">
        <v>29</v>
      </c>
      <c r="B16" s="172"/>
      <c r="C16" s="172"/>
      <c r="D16" s="172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27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28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72" t="s">
        <v>29</v>
      </c>
      <c r="B19" s="172"/>
      <c r="C19" s="172"/>
      <c r="D19" s="172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27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28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72" t="s">
        <v>29</v>
      </c>
      <c r="B22" s="172"/>
      <c r="C22" s="172"/>
      <c r="D22" s="172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27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28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72" t="s">
        <v>29</v>
      </c>
      <c r="B25" s="172"/>
      <c r="C25" s="172"/>
      <c r="D25" s="172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27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28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72" t="s">
        <v>29</v>
      </c>
      <c r="B28" s="172"/>
      <c r="C28" s="172"/>
      <c r="D28" s="172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27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28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72" t="s">
        <v>29</v>
      </c>
      <c r="B31" s="172"/>
      <c r="C31" s="172"/>
      <c r="D31" s="172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27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28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72" t="s">
        <v>29</v>
      </c>
      <c r="B34" s="172"/>
      <c r="C34" s="172"/>
      <c r="D34" s="172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27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28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72" t="s">
        <v>29</v>
      </c>
      <c r="B37" s="172"/>
      <c r="C37" s="172"/>
      <c r="D37" s="172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27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28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72" t="s">
        <v>29</v>
      </c>
      <c r="B40" s="172"/>
      <c r="C40" s="172"/>
      <c r="D40" s="172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27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28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72" t="s">
        <v>29</v>
      </c>
      <c r="B43" s="172"/>
      <c r="C43" s="172"/>
      <c r="D43" s="172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27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28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72" t="s">
        <v>29</v>
      </c>
      <c r="B46" s="172"/>
      <c r="C46" s="172"/>
      <c r="D46" s="172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27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28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72" t="s">
        <v>29</v>
      </c>
      <c r="B49" s="172"/>
      <c r="C49" s="172"/>
      <c r="D49" s="172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27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28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72" t="s">
        <v>29</v>
      </c>
      <c r="B52" s="172"/>
      <c r="C52" s="172"/>
      <c r="D52" s="172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27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46252</v>
      </c>
      <c r="B54" s="61" t="s">
        <v>28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72" t="s">
        <v>29</v>
      </c>
      <c r="B55" s="172"/>
      <c r="C55" s="172"/>
      <c r="D55" s="172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46253</v>
      </c>
      <c r="B56" s="56" t="s">
        <v>27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46253</v>
      </c>
      <c r="B57" s="61" t="s">
        <v>28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72" t="s">
        <v>29</v>
      </c>
      <c r="B58" s="172"/>
      <c r="C58" s="172"/>
      <c r="D58" s="172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46254</v>
      </c>
      <c r="B59" s="56" t="s">
        <v>27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46254</v>
      </c>
      <c r="B60" s="61" t="s">
        <v>28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72" t="s">
        <v>29</v>
      </c>
      <c r="B61" s="172"/>
      <c r="C61" s="172"/>
      <c r="D61" s="172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46255</v>
      </c>
      <c r="B62" s="56" t="s">
        <v>27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46255</v>
      </c>
      <c r="B63" s="61" t="s">
        <v>28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72" t="s">
        <v>29</v>
      </c>
      <c r="B64" s="172"/>
      <c r="C64" s="172"/>
      <c r="D64" s="172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46256</v>
      </c>
      <c r="B65" s="56" t="s">
        <v>27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28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72" t="s">
        <v>29</v>
      </c>
      <c r="B67" s="172"/>
      <c r="C67" s="172"/>
      <c r="D67" s="172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27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28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72" t="s">
        <v>29</v>
      </c>
      <c r="B70" s="172"/>
      <c r="C70" s="172"/>
      <c r="D70" s="172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27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28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72" t="s">
        <v>29</v>
      </c>
      <c r="B73" s="172"/>
      <c r="C73" s="172"/>
      <c r="D73" s="172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27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28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72" t="s">
        <v>29</v>
      </c>
      <c r="B76" s="172"/>
      <c r="C76" s="172"/>
      <c r="D76" s="172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27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28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72" t="s">
        <v>29</v>
      </c>
      <c r="B79" s="172"/>
      <c r="C79" s="172"/>
      <c r="D79" s="172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27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28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72" t="s">
        <v>29</v>
      </c>
      <c r="B82" s="172"/>
      <c r="C82" s="172"/>
      <c r="D82" s="172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27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28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72" t="s">
        <v>29</v>
      </c>
      <c r="B85" s="172"/>
      <c r="C85" s="172"/>
      <c r="D85" s="172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27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28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72" t="s">
        <v>29</v>
      </c>
      <c r="B88" s="172"/>
      <c r="C88" s="172"/>
      <c r="D88" s="172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27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28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72" t="s">
        <v>29</v>
      </c>
      <c r="B91" s="172"/>
      <c r="C91" s="172"/>
      <c r="D91" s="172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27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28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72" t="s">
        <v>29</v>
      </c>
      <c r="B94" s="172"/>
      <c r="C94" s="172"/>
      <c r="D94" s="172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21" activePane="bottomLeft" state="frozen"/>
      <selection pane="bottomLeft" activeCell="F43" sqref="F43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30</v>
      </c>
      <c r="C1" s="72" t="s">
        <v>19</v>
      </c>
      <c r="D1" s="71" t="s">
        <v>31</v>
      </c>
      <c r="E1" s="71" t="s">
        <v>32</v>
      </c>
      <c r="F1" s="72" t="s">
        <v>33</v>
      </c>
      <c r="G1" s="72" t="s">
        <v>34</v>
      </c>
      <c r="H1" s="72" t="s">
        <v>35</v>
      </c>
      <c r="I1" s="72" t="s">
        <v>36</v>
      </c>
      <c r="J1" s="72" t="s">
        <v>37</v>
      </c>
      <c r="K1" s="72" t="s">
        <v>38</v>
      </c>
      <c r="L1" s="72" t="s">
        <v>39</v>
      </c>
      <c r="M1" s="73" t="s">
        <v>40</v>
      </c>
      <c r="N1" s="72" t="s">
        <v>26</v>
      </c>
      <c r="O1" s="72" t="s">
        <v>41</v>
      </c>
    </row>
    <row r="2" spans="1:15" ht="15" customHeight="1">
      <c r="A2" s="74">
        <v>46266</v>
      </c>
      <c r="B2" s="75">
        <v>0.33333333333333298</v>
      </c>
      <c r="C2" s="76" t="s">
        <v>42</v>
      </c>
      <c r="D2" s="69" t="s">
        <v>43</v>
      </c>
      <c r="E2" s="77" t="s">
        <v>44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45</v>
      </c>
      <c r="I2" s="76" t="s">
        <v>46</v>
      </c>
      <c r="J2" s="76" t="s">
        <v>47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48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42</v>
      </c>
      <c r="D3" s="77" t="s">
        <v>43</v>
      </c>
      <c r="E3" s="77" t="s">
        <v>44</v>
      </c>
      <c r="F3" s="78">
        <v>20</v>
      </c>
      <c r="G3" s="84">
        <f t="shared" si="0"/>
        <v>100</v>
      </c>
      <c r="H3" s="85" t="s">
        <v>49</v>
      </c>
      <c r="I3" s="85"/>
      <c r="J3" s="85" t="s">
        <v>50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51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42</v>
      </c>
      <c r="D4" s="77" t="s">
        <v>43</v>
      </c>
      <c r="E4" s="77" t="s">
        <v>44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42</v>
      </c>
      <c r="D5" s="77" t="s">
        <v>43</v>
      </c>
      <c r="E5" s="77" t="s">
        <v>44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42</v>
      </c>
      <c r="D6" s="77" t="s">
        <v>43</v>
      </c>
      <c r="E6" s="77" t="s">
        <v>44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42</v>
      </c>
      <c r="D7" s="77" t="s">
        <v>43</v>
      </c>
      <c r="E7" s="77" t="s">
        <v>44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42</v>
      </c>
      <c r="D8" s="77" t="s">
        <v>43</v>
      </c>
      <c r="E8" s="77" t="s">
        <v>44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42</v>
      </c>
      <c r="D9" s="77" t="s">
        <v>43</v>
      </c>
      <c r="E9" s="77" t="s">
        <v>44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42</v>
      </c>
      <c r="D10" s="77" t="s">
        <v>43</v>
      </c>
      <c r="E10" s="77" t="s">
        <v>44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42</v>
      </c>
      <c r="D11" s="77" t="s">
        <v>43</v>
      </c>
      <c r="E11" s="77" t="s">
        <v>44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42</v>
      </c>
      <c r="D12" s="77" t="s">
        <v>43</v>
      </c>
      <c r="E12" s="77" t="s">
        <v>44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42</v>
      </c>
      <c r="D13" s="77" t="s">
        <v>43</v>
      </c>
      <c r="E13" s="77" t="s">
        <v>44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73" t="s">
        <v>52</v>
      </c>
      <c r="B14" s="173"/>
      <c r="C14" s="173"/>
      <c r="D14" s="173"/>
      <c r="E14" s="173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53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54</v>
      </c>
      <c r="D15" s="90" t="s">
        <v>43</v>
      </c>
      <c r="E15" s="90" t="s">
        <v>44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49</v>
      </c>
      <c r="I15" s="85" t="s">
        <v>46</v>
      </c>
      <c r="J15" s="85" t="s">
        <v>55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56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54</v>
      </c>
      <c r="D16" s="90" t="s">
        <v>43</v>
      </c>
      <c r="E16" s="90" t="s">
        <v>44</v>
      </c>
      <c r="F16" s="78">
        <v>0</v>
      </c>
      <c r="G16" s="84">
        <f t="shared" si="3"/>
        <v>0</v>
      </c>
      <c r="H16" s="76" t="s">
        <v>45</v>
      </c>
      <c r="I16" s="76" t="s">
        <v>46</v>
      </c>
      <c r="J16" s="76" t="s">
        <v>57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54</v>
      </c>
      <c r="D17" s="90" t="s">
        <v>43</v>
      </c>
      <c r="E17" s="90" t="s">
        <v>44</v>
      </c>
      <c r="F17" s="78">
        <v>0</v>
      </c>
      <c r="G17" s="84">
        <f t="shared" si="3"/>
        <v>0</v>
      </c>
      <c r="H17" s="85" t="s">
        <v>45</v>
      </c>
      <c r="I17" s="85" t="s">
        <v>46</v>
      </c>
      <c r="J17" s="85" t="s">
        <v>58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54</v>
      </c>
      <c r="D18" s="90" t="s">
        <v>43</v>
      </c>
      <c r="E18" s="90" t="s">
        <v>44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54</v>
      </c>
      <c r="D19" s="90" t="s">
        <v>43</v>
      </c>
      <c r="E19" s="90" t="s">
        <v>44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54</v>
      </c>
      <c r="D20" s="90" t="s">
        <v>43</v>
      </c>
      <c r="E20" s="90" t="s">
        <v>44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54</v>
      </c>
      <c r="D21" s="90" t="s">
        <v>43</v>
      </c>
      <c r="E21" s="90" t="s">
        <v>44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54</v>
      </c>
      <c r="D22" s="90" t="s">
        <v>43</v>
      </c>
      <c r="E22" s="90" t="s">
        <v>44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54</v>
      </c>
      <c r="D23" s="90" t="s">
        <v>43</v>
      </c>
      <c r="E23" s="90" t="s">
        <v>44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54</v>
      </c>
      <c r="D24" s="90" t="s">
        <v>43</v>
      </c>
      <c r="E24" s="90" t="s">
        <v>44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54</v>
      </c>
      <c r="D25" s="90" t="s">
        <v>43</v>
      </c>
      <c r="E25" s="90" t="s">
        <v>44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54</v>
      </c>
      <c r="D26" s="90" t="s">
        <v>43</v>
      </c>
      <c r="E26" s="90" t="s">
        <v>44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73" t="s">
        <v>59</v>
      </c>
      <c r="B27" s="173"/>
      <c r="C27" s="173"/>
      <c r="D27" s="173"/>
      <c r="E27" s="173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53</v>
      </c>
      <c r="O27" s="89">
        <v>1010460</v>
      </c>
    </row>
    <row r="28" spans="1:15" ht="18" customHeight="1">
      <c r="A28" s="174" t="s">
        <v>29</v>
      </c>
      <c r="B28" s="174"/>
      <c r="C28" s="174"/>
      <c r="D28" s="174"/>
      <c r="E28" s="174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60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42</v>
      </c>
      <c r="D29" s="77" t="s">
        <v>43</v>
      </c>
      <c r="E29" s="77" t="s">
        <v>44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45</v>
      </c>
      <c r="I29" s="85" t="s">
        <v>46</v>
      </c>
      <c r="J29" s="85" t="s">
        <v>58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42</v>
      </c>
      <c r="D30" s="77" t="s">
        <v>43</v>
      </c>
      <c r="E30" s="77" t="s">
        <v>44</v>
      </c>
      <c r="F30" s="78">
        <v>40</v>
      </c>
      <c r="G30" s="84">
        <f t="shared" si="6"/>
        <v>200</v>
      </c>
      <c r="H30" s="76" t="s">
        <v>45</v>
      </c>
      <c r="I30" s="76" t="s">
        <v>46</v>
      </c>
      <c r="J30" s="76" t="s">
        <v>47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42</v>
      </c>
      <c r="D31" s="77" t="s">
        <v>43</v>
      </c>
      <c r="E31" s="77" t="s">
        <v>44</v>
      </c>
      <c r="F31" s="78">
        <v>40</v>
      </c>
      <c r="G31" s="79">
        <f t="shared" si="6"/>
        <v>200</v>
      </c>
      <c r="H31" s="85" t="s">
        <v>61</v>
      </c>
      <c r="I31" s="85"/>
      <c r="J31" s="85" t="s">
        <v>62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42</v>
      </c>
      <c r="D32" s="77" t="s">
        <v>43</v>
      </c>
      <c r="E32" s="77" t="s">
        <v>44</v>
      </c>
      <c r="F32" s="78">
        <v>34</v>
      </c>
      <c r="G32" s="84">
        <f t="shared" si="6"/>
        <v>170</v>
      </c>
      <c r="H32" s="76" t="s">
        <v>61</v>
      </c>
      <c r="I32" s="76" t="s">
        <v>46</v>
      </c>
      <c r="J32" s="76"/>
      <c r="K32" s="80">
        <v>0.76180555555555551</v>
      </c>
      <c r="L32" s="80">
        <v>0.29166666666666669</v>
      </c>
      <c r="M32" s="81">
        <f t="shared" ca="1" si="7"/>
        <v>0.52986111111111123</v>
      </c>
      <c r="N32" s="78" t="s">
        <v>63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42</v>
      </c>
      <c r="D33" s="77" t="s">
        <v>43</v>
      </c>
      <c r="E33" s="77" t="s">
        <v>44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42</v>
      </c>
      <c r="D34" s="77" t="s">
        <v>43</v>
      </c>
      <c r="E34" s="77" t="s">
        <v>44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42</v>
      </c>
      <c r="D35" s="77" t="s">
        <v>43</v>
      </c>
      <c r="E35" s="77" t="s">
        <v>44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42</v>
      </c>
      <c r="D36" s="77" t="s">
        <v>43</v>
      </c>
      <c r="E36" s="77" t="s">
        <v>44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42</v>
      </c>
      <c r="D37" s="77" t="s">
        <v>43</v>
      </c>
      <c r="E37" s="77" t="s">
        <v>44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42</v>
      </c>
      <c r="D38" s="77" t="s">
        <v>43</v>
      </c>
      <c r="E38" s="77" t="s">
        <v>44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42</v>
      </c>
      <c r="D39" s="77" t="s">
        <v>43</v>
      </c>
      <c r="E39" s="77" t="s">
        <v>44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42</v>
      </c>
      <c r="D40" s="77" t="s">
        <v>43</v>
      </c>
      <c r="E40" s="77" t="s">
        <v>44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73" t="s">
        <v>52</v>
      </c>
      <c r="B41" s="173"/>
      <c r="C41" s="173"/>
      <c r="D41" s="173"/>
      <c r="E41" s="173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0.78680555555555565</v>
      </c>
      <c r="N41" s="2" t="s">
        <v>53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D42" s="90"/>
      <c r="E42" s="90"/>
      <c r="F42" s="78">
        <v>20</v>
      </c>
      <c r="G42" s="84" t="str">
        <f t="shared" ref="G42:G53" si="9">IF(F42="","",IF(E42="PC 17",F42*4.2,IF(E42="PC 19",F42*5,IF(E42="CB",F42*35,""))))</f>
        <v/>
      </c>
      <c r="H42" s="76"/>
      <c r="I42" s="76"/>
      <c r="J42" s="76"/>
      <c r="K42" s="80">
        <v>0.80902777777777779</v>
      </c>
      <c r="L42" s="80"/>
      <c r="M42" s="81">
        <f t="shared" ref="M42:M53" ca="1" si="10">IFERROR(IF(K42="","",IF(L42="",MOD(NOW()-K42,1),IF(L42&gt;=K42,L42-K42,L42+1-K42))),"")</f>
        <v>6.7067592586681712E-2</v>
      </c>
      <c r="N42" s="78"/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/>
      <c r="D43" s="90"/>
      <c r="E43" s="90"/>
      <c r="F43" s="78"/>
      <c r="G43" s="79" t="str">
        <f t="shared" si="9"/>
        <v/>
      </c>
      <c r="H43" s="85"/>
      <c r="I43" s="85"/>
      <c r="J43" s="85"/>
      <c r="K43" s="80"/>
      <c r="L43" s="80"/>
      <c r="M43" s="86" t="str">
        <f t="shared" ca="1" si="10"/>
        <v/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/>
      <c r="D44" s="90"/>
      <c r="E44" s="90"/>
      <c r="F44" s="78"/>
      <c r="G44" s="84" t="str">
        <f t="shared" si="9"/>
        <v/>
      </c>
      <c r="H44" s="76"/>
      <c r="I44" s="76"/>
      <c r="J44" s="76"/>
      <c r="K44" s="80"/>
      <c r="L44" s="80"/>
      <c r="M44" s="81" t="str">
        <f t="shared" ca="1" si="10"/>
        <v/>
      </c>
      <c r="N44" s="78"/>
      <c r="O44" s="82"/>
    </row>
    <row r="45" spans="1:15" ht="15" customHeight="1">
      <c r="A45" s="74">
        <v>46267</v>
      </c>
      <c r="B45" s="75">
        <f t="shared" si="11"/>
        <v>0.95833333333333293</v>
      </c>
      <c r="C45" s="85"/>
      <c r="D45" s="90"/>
      <c r="E45" s="90"/>
      <c r="F45" s="78"/>
      <c r="G45" s="79" t="str">
        <f t="shared" si="9"/>
        <v/>
      </c>
      <c r="H45" s="85"/>
      <c r="I45" s="85"/>
      <c r="J45" s="85"/>
      <c r="K45" s="80"/>
      <c r="L45" s="80"/>
      <c r="M45" s="86" t="str">
        <f t="shared" ca="1" si="10"/>
        <v/>
      </c>
      <c r="N45" s="78"/>
      <c r="O45" s="82"/>
    </row>
    <row r="46" spans="1:15" ht="15" customHeight="1">
      <c r="A46" s="18">
        <v>46267</v>
      </c>
      <c r="B46" s="83">
        <f t="shared" si="11"/>
        <v>0.99999999999999956</v>
      </c>
      <c r="C46" s="85"/>
      <c r="D46" s="90"/>
      <c r="E46" s="90"/>
      <c r="F46" s="78"/>
      <c r="G46" s="84" t="str">
        <f t="shared" si="9"/>
        <v/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/>
      <c r="D47" s="90"/>
      <c r="E47" s="90"/>
      <c r="F47" s="78"/>
      <c r="G47" s="79" t="str">
        <f t="shared" si="9"/>
        <v/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/>
      <c r="D48" s="90"/>
      <c r="E48" s="90"/>
      <c r="F48" s="78"/>
      <c r="G48" s="84" t="str">
        <f t="shared" si="9"/>
        <v/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/>
      <c r="D49" s="90"/>
      <c r="E49" s="90"/>
      <c r="F49" s="78"/>
      <c r="G49" s="79" t="str">
        <f t="shared" si="9"/>
        <v/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/>
      <c r="D50" s="90"/>
      <c r="E50" s="90"/>
      <c r="F50" s="78"/>
      <c r="G50" s="84" t="str">
        <f t="shared" si="9"/>
        <v/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/>
      <c r="D51" s="90"/>
      <c r="E51" s="90"/>
      <c r="F51" s="78"/>
      <c r="G51" s="79" t="str">
        <f t="shared" si="9"/>
        <v/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/>
      <c r="D52" s="90"/>
      <c r="E52" s="90"/>
      <c r="F52" s="78"/>
      <c r="G52" s="84" t="str">
        <f t="shared" si="9"/>
        <v/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/>
      <c r="D53" s="90"/>
      <c r="E53" s="90"/>
      <c r="F53" s="78"/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73" t="s">
        <v>59</v>
      </c>
      <c r="B54" s="173"/>
      <c r="C54" s="173"/>
      <c r="D54" s="173"/>
      <c r="E54" s="173"/>
      <c r="F54" s="2">
        <f>SUM(F42:F53)</f>
        <v>20</v>
      </c>
      <c r="G54" s="2">
        <f>SUM(G42:G53)</f>
        <v>0</v>
      </c>
      <c r="H54" s="87"/>
      <c r="I54" s="87"/>
      <c r="J54" s="87"/>
      <c r="K54" s="87"/>
      <c r="L54" s="87"/>
      <c r="M54" s="88">
        <f ca="1">IFERROR(SUM(M42:M53),"")</f>
        <v>6.7067592586681712E-2</v>
      </c>
      <c r="N54" s="2" t="s">
        <v>53</v>
      </c>
      <c r="O54" s="89"/>
    </row>
    <row r="55" spans="1:15" ht="18" customHeight="1">
      <c r="A55" s="174" t="s">
        <v>29</v>
      </c>
      <c r="B55" s="174"/>
      <c r="C55" s="174"/>
      <c r="D55" s="174"/>
      <c r="E55" s="174"/>
      <c r="F55" s="1">
        <f>F41+F54</f>
        <v>193</v>
      </c>
      <c r="G55" s="1">
        <f>G41+G54</f>
        <v>865</v>
      </c>
      <c r="H55" s="91"/>
      <c r="I55" s="91"/>
      <c r="J55" s="91"/>
      <c r="K55" s="91"/>
      <c r="L55" s="91"/>
      <c r="M55" s="92">
        <f ca="1">IFERROR(M41+M54,"")</f>
        <v>0.85387314814223736</v>
      </c>
      <c r="N55" s="1" t="s">
        <v>60</v>
      </c>
      <c r="O55" s="31">
        <f>IFERROR(O41+O54,"")</f>
        <v>1007610</v>
      </c>
    </row>
    <row r="56" spans="1:15" ht="15" customHeight="1">
      <c r="A56" s="74">
        <v>46268</v>
      </c>
      <c r="B56" s="75">
        <v>0.33333333333333298</v>
      </c>
      <c r="C56" s="76"/>
      <c r="E56" s="77"/>
      <c r="F56" s="78"/>
      <c r="G56" s="79" t="str">
        <f t="shared" ref="G56:G67" si="12">IF(F56="","",IF(E56="PC 17",F56*4.2,IF(E56="PC 19",F56*5,IF(E56="CB",F56*35,""))))</f>
        <v/>
      </c>
      <c r="H56" s="76"/>
      <c r="I56" s="76"/>
      <c r="J56" s="76"/>
      <c r="K56" s="80"/>
      <c r="L56" s="80"/>
      <c r="M56" s="81" t="str">
        <f t="shared" ref="M56:M67" ca="1" si="13">IFERROR(IF(K56="","",IF(L56="",MOD(NOW()-K56,1),IF(L56&gt;=K56,L56-K56,L56+1-K56))),"")</f>
        <v/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/>
      <c r="D57" s="77"/>
      <c r="E57" s="77"/>
      <c r="F57" s="78"/>
      <c r="G57" s="84" t="str">
        <f t="shared" si="12"/>
        <v/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/>
      <c r="D58" s="77"/>
      <c r="E58" s="77"/>
      <c r="F58" s="78"/>
      <c r="G58" s="79" t="str">
        <f t="shared" si="12"/>
        <v/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/>
      <c r="D59" s="77"/>
      <c r="E59" s="77"/>
      <c r="F59" s="78"/>
      <c r="G59" s="84" t="str">
        <f t="shared" si="12"/>
        <v/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/>
      <c r="D60" s="77"/>
      <c r="E60" s="77"/>
      <c r="F60" s="78"/>
      <c r="G60" s="79" t="str">
        <f t="shared" si="12"/>
        <v/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/>
      <c r="D61" s="77"/>
      <c r="E61" s="77"/>
      <c r="F61" s="78"/>
      <c r="G61" s="84" t="str">
        <f t="shared" si="12"/>
        <v/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/>
      <c r="D62" s="77"/>
      <c r="E62" s="77"/>
      <c r="F62" s="78"/>
      <c r="G62" s="79" t="str">
        <f t="shared" si="12"/>
        <v/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/>
      <c r="D63" s="77"/>
      <c r="E63" s="77"/>
      <c r="F63" s="78"/>
      <c r="G63" s="84" t="str">
        <f t="shared" si="12"/>
        <v/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/>
      <c r="D64" s="77"/>
      <c r="E64" s="77"/>
      <c r="F64" s="78"/>
      <c r="G64" s="79" t="str">
        <f t="shared" si="12"/>
        <v/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/>
      <c r="D65" s="77"/>
      <c r="E65" s="77"/>
      <c r="F65" s="78"/>
      <c r="G65" s="84" t="str">
        <f t="shared" si="12"/>
        <v/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/>
      <c r="D66" s="77"/>
      <c r="E66" s="77"/>
      <c r="F66" s="78"/>
      <c r="G66" s="79" t="str">
        <f t="shared" si="12"/>
        <v/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/>
      <c r="D67" s="77"/>
      <c r="E67" s="77"/>
      <c r="F67" s="78"/>
      <c r="G67" s="84" t="str">
        <f t="shared" si="12"/>
        <v/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73" t="s">
        <v>52</v>
      </c>
      <c r="B68" s="173"/>
      <c r="C68" s="173"/>
      <c r="D68" s="173"/>
      <c r="E68" s="173"/>
      <c r="F68" s="2">
        <f>SUM(F56:F67)</f>
        <v>0</v>
      </c>
      <c r="G68" s="2">
        <f>SUM(G56:G67)</f>
        <v>0</v>
      </c>
      <c r="H68" s="87"/>
      <c r="I68" s="87"/>
      <c r="J68" s="87"/>
      <c r="K68" s="87"/>
      <c r="L68" s="87"/>
      <c r="M68" s="88">
        <f ca="1">IFERROR(SUM(M56:M67),"")</f>
        <v>0</v>
      </c>
      <c r="N68" s="2" t="s">
        <v>53</v>
      </c>
      <c r="O68" s="89"/>
    </row>
    <row r="69" spans="1:15" ht="15" customHeight="1">
      <c r="A69" s="18">
        <v>46268</v>
      </c>
      <c r="B69" s="83">
        <v>0.83333333333333304</v>
      </c>
      <c r="C69" s="85"/>
      <c r="D69" s="90"/>
      <c r="E69" s="90"/>
      <c r="F69" s="78"/>
      <c r="G69" s="84" t="str">
        <f t="shared" ref="G69:G80" si="15">IF(F69="","",IF(E69="PC 17",F69*4.2,IF(E69="PC 19",F69*5,IF(E69="CB",F69*35,""))))</f>
        <v/>
      </c>
      <c r="H69" s="85"/>
      <c r="I69" s="85"/>
      <c r="J69" s="85"/>
      <c r="K69" s="80"/>
      <c r="L69" s="80"/>
      <c r="M69" s="86" t="str">
        <f t="shared" ref="M69:M80" ca="1" si="16">IFERROR(IF(K69="","",IF(L69="",MOD(NOW()-K69,1),IF(L69&gt;=K69,L69-K69,L69+1-K69))),"")</f>
        <v/>
      </c>
      <c r="N69" s="78"/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/>
      <c r="D70" s="90"/>
      <c r="E70" s="90"/>
      <c r="F70" s="78"/>
      <c r="G70" s="79" t="str">
        <f t="shared" si="15"/>
        <v/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/>
      <c r="D71" s="90"/>
      <c r="E71" s="90"/>
      <c r="F71" s="78"/>
      <c r="G71" s="84" t="str">
        <f t="shared" si="15"/>
        <v/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/>
      <c r="D72" s="90"/>
      <c r="E72" s="90"/>
      <c r="F72" s="78"/>
      <c r="G72" s="79" t="str">
        <f t="shared" si="15"/>
        <v/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/>
      <c r="D73" s="90"/>
      <c r="E73" s="90"/>
      <c r="F73" s="78"/>
      <c r="G73" s="84" t="str">
        <f t="shared" si="15"/>
        <v/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/>
      <c r="D74" s="90"/>
      <c r="E74" s="90"/>
      <c r="F74" s="78"/>
      <c r="G74" s="79" t="str">
        <f t="shared" si="15"/>
        <v/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/>
      <c r="D75" s="90"/>
      <c r="E75" s="90"/>
      <c r="F75" s="78"/>
      <c r="G75" s="84" t="str">
        <f t="shared" si="15"/>
        <v/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/>
      <c r="D76" s="90"/>
      <c r="E76" s="90"/>
      <c r="F76" s="78"/>
      <c r="G76" s="79" t="str">
        <f t="shared" si="15"/>
        <v/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/>
      <c r="D77" s="90"/>
      <c r="E77" s="90"/>
      <c r="F77" s="78"/>
      <c r="G77" s="84" t="str">
        <f t="shared" si="15"/>
        <v/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/>
      <c r="D78" s="90"/>
      <c r="E78" s="90"/>
      <c r="F78" s="78"/>
      <c r="G78" s="79" t="str">
        <f t="shared" si="15"/>
        <v/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/>
      <c r="D79" s="90"/>
      <c r="E79" s="90"/>
      <c r="F79" s="78"/>
      <c r="G79" s="84" t="str">
        <f t="shared" si="15"/>
        <v/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/>
      <c r="D80" s="90"/>
      <c r="E80" s="90"/>
      <c r="F80" s="78"/>
      <c r="G80" s="79" t="str">
        <f t="shared" si="15"/>
        <v/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73" t="s">
        <v>59</v>
      </c>
      <c r="B81" s="173"/>
      <c r="C81" s="173"/>
      <c r="D81" s="173"/>
      <c r="E81" s="173"/>
      <c r="F81" s="2">
        <f>SUM(F69:F80)</f>
        <v>0</v>
      </c>
      <c r="G81" s="2">
        <f>SUM(G69:G80)</f>
        <v>0</v>
      </c>
      <c r="H81" s="87"/>
      <c r="I81" s="87"/>
      <c r="J81" s="87"/>
      <c r="K81" s="87"/>
      <c r="L81" s="87"/>
      <c r="M81" s="88">
        <f ca="1">IFERROR(SUM(M69:M80),"")</f>
        <v>0</v>
      </c>
      <c r="N81" s="2" t="s">
        <v>53</v>
      </c>
      <c r="O81" s="89"/>
    </row>
    <row r="82" spans="1:15" ht="18" customHeight="1">
      <c r="A82" s="174" t="s">
        <v>29</v>
      </c>
      <c r="B82" s="174"/>
      <c r="C82" s="174"/>
      <c r="D82" s="174"/>
      <c r="E82" s="174"/>
      <c r="F82" s="1">
        <f>F68+F81</f>
        <v>0</v>
      </c>
      <c r="G82" s="1">
        <f>G68+G81</f>
        <v>0</v>
      </c>
      <c r="H82" s="91"/>
      <c r="I82" s="91"/>
      <c r="J82" s="91"/>
      <c r="K82" s="91"/>
      <c r="L82" s="91"/>
      <c r="M82" s="92">
        <f ca="1">IFERROR(M68+M81,"")</f>
        <v>0</v>
      </c>
      <c r="N82" s="1" t="s">
        <v>60</v>
      </c>
      <c r="O82" s="31">
        <f>IFERROR(O68+O81,"")</f>
        <v>0</v>
      </c>
    </row>
    <row r="83" spans="1:15" ht="15" customHeight="1">
      <c r="A83" s="74">
        <v>46269</v>
      </c>
      <c r="B83" s="75">
        <v>0.33333333333333298</v>
      </c>
      <c r="C83" s="76"/>
      <c r="D83" s="77"/>
      <c r="E83" s="77"/>
      <c r="F83" s="78"/>
      <c r="G83" s="79" t="str">
        <f t="shared" ref="G83:G94" si="18">IF(F83="","",IF(E83="PC 17",F83*4.2,IF(E83="PC 19",F83*5,IF(E83="CB",F83*35,""))))</f>
        <v/>
      </c>
      <c r="H83" s="85"/>
      <c r="I83" s="85"/>
      <c r="J83" s="85"/>
      <c r="K83" s="80"/>
      <c r="L83" s="80"/>
      <c r="M83" s="86" t="str">
        <f t="shared" ref="M83:M94" ca="1" si="19">IFERROR(IF(K83="","",IF(L83="",MOD(NOW()-K83,1),IF(L83&gt;=K83,L83-K83,L83+1-K83))),"")</f>
        <v/>
      </c>
      <c r="N83" s="78"/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/>
      <c r="D84" s="77"/>
      <c r="E84" s="77"/>
      <c r="F84" s="78"/>
      <c r="G84" s="84" t="str">
        <f t="shared" si="18"/>
        <v/>
      </c>
      <c r="H84" s="76"/>
      <c r="I84" s="76"/>
      <c r="J84" s="76"/>
      <c r="K84" s="80"/>
      <c r="L84" s="80"/>
      <c r="M84" s="81" t="str">
        <f t="shared" ca="1" si="19"/>
        <v/>
      </c>
      <c r="N84" s="78"/>
      <c r="O84" s="82"/>
    </row>
    <row r="85" spans="1:15" ht="15" customHeight="1">
      <c r="A85" s="74">
        <v>46269</v>
      </c>
      <c r="B85" s="75">
        <f t="shared" si="20"/>
        <v>0.41666666666666635</v>
      </c>
      <c r="C85" s="76"/>
      <c r="D85" s="77"/>
      <c r="E85" s="77"/>
      <c r="F85" s="78"/>
      <c r="G85" s="79" t="str">
        <f t="shared" si="18"/>
        <v/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/>
      <c r="D86" s="77"/>
      <c r="E86" s="77"/>
      <c r="F86" s="78"/>
      <c r="G86" s="84" t="str">
        <f t="shared" si="18"/>
        <v/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/>
      <c r="D87" s="77"/>
      <c r="E87" s="77"/>
      <c r="F87" s="78"/>
      <c r="G87" s="79" t="str">
        <f t="shared" si="18"/>
        <v/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/>
      <c r="D88" s="77"/>
      <c r="E88" s="77"/>
      <c r="F88" s="78"/>
      <c r="G88" s="84" t="str">
        <f t="shared" si="18"/>
        <v/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/>
      <c r="D89" s="77"/>
      <c r="E89" s="77"/>
      <c r="F89" s="78"/>
      <c r="G89" s="79" t="str">
        <f t="shared" si="18"/>
        <v/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/>
      <c r="D90" s="77"/>
      <c r="E90" s="77"/>
      <c r="F90" s="78"/>
      <c r="G90" s="84" t="str">
        <f t="shared" si="18"/>
        <v/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/>
      <c r="D91" s="77"/>
      <c r="E91" s="77"/>
      <c r="F91" s="78"/>
      <c r="G91" s="79" t="str">
        <f t="shared" si="18"/>
        <v/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/>
      <c r="D92" s="77"/>
      <c r="E92" s="77"/>
      <c r="F92" s="78"/>
      <c r="G92" s="84" t="str">
        <f t="shared" si="18"/>
        <v/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/>
      <c r="D93" s="77"/>
      <c r="E93" s="77"/>
      <c r="F93" s="78"/>
      <c r="G93" s="79" t="str">
        <f t="shared" si="18"/>
        <v/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/>
      <c r="D94" s="77"/>
      <c r="E94" s="77"/>
      <c r="F94" s="78"/>
      <c r="G94" s="84" t="str">
        <f t="shared" si="18"/>
        <v/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73" t="s">
        <v>52</v>
      </c>
      <c r="B95" s="173"/>
      <c r="C95" s="173"/>
      <c r="D95" s="173"/>
      <c r="E95" s="173"/>
      <c r="F95" s="2">
        <f>SUM(F83:F94)</f>
        <v>0</v>
      </c>
      <c r="G95" s="2">
        <f>SUM(G83:G94)</f>
        <v>0</v>
      </c>
      <c r="H95" s="87"/>
      <c r="I95" s="87"/>
      <c r="J95" s="87"/>
      <c r="K95" s="87"/>
      <c r="L95" s="87"/>
      <c r="M95" s="88">
        <f ca="1">IFERROR(SUM(M83:M94),"")</f>
        <v>0</v>
      </c>
      <c r="N95" s="2" t="s">
        <v>53</v>
      </c>
      <c r="O95" s="89"/>
    </row>
    <row r="96" spans="1:15" ht="15" customHeight="1">
      <c r="A96" s="18">
        <v>46269</v>
      </c>
      <c r="B96" s="83">
        <v>0.83333333333333304</v>
      </c>
      <c r="C96" s="85"/>
      <c r="D96" s="90"/>
      <c r="E96" s="90"/>
      <c r="F96" s="78"/>
      <c r="G96" s="84" t="str">
        <f t="shared" ref="G96:G107" si="21">IF(F96="","",IF(E96="PC 17",F96*4.2,IF(E96="PC 19",F96*5,IF(E96="CB",F96*35,""))))</f>
        <v/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/>
      <c r="D97" s="90"/>
      <c r="E97" s="90"/>
      <c r="F97" s="78"/>
      <c r="G97" s="79" t="str">
        <f t="shared" si="21"/>
        <v/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/>
      <c r="D98" s="90"/>
      <c r="E98" s="90"/>
      <c r="F98" s="78"/>
      <c r="G98" s="84" t="str">
        <f t="shared" si="21"/>
        <v/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46269</v>
      </c>
      <c r="B99" s="75">
        <f t="shared" si="23"/>
        <v>0.95833333333333293</v>
      </c>
      <c r="C99" s="85"/>
      <c r="D99" s="90"/>
      <c r="E99" s="90"/>
      <c r="F99" s="78"/>
      <c r="G99" s="79" t="str">
        <f t="shared" si="21"/>
        <v/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/>
      <c r="D100" s="90"/>
      <c r="E100" s="90"/>
      <c r="F100" s="78"/>
      <c r="G100" s="84" t="str">
        <f t="shared" si="21"/>
        <v/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/>
      <c r="D101" s="90"/>
      <c r="E101" s="90"/>
      <c r="F101" s="78"/>
      <c r="G101" s="79" t="str">
        <f t="shared" si="21"/>
        <v/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/>
      <c r="D102" s="90"/>
      <c r="E102" s="90"/>
      <c r="F102" s="78"/>
      <c r="G102" s="84" t="str">
        <f t="shared" si="21"/>
        <v/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/>
      <c r="D103" s="90"/>
      <c r="E103" s="90"/>
      <c r="F103" s="78"/>
      <c r="G103" s="79" t="str">
        <f t="shared" si="21"/>
        <v/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/>
      <c r="D104" s="90"/>
      <c r="E104" s="90"/>
      <c r="F104" s="78"/>
      <c r="G104" s="84" t="str">
        <f t="shared" si="21"/>
        <v/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/>
      <c r="D105" s="90"/>
      <c r="E105" s="90"/>
      <c r="F105" s="78"/>
      <c r="G105" s="79" t="str">
        <f t="shared" si="21"/>
        <v/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/>
      <c r="D106" s="90"/>
      <c r="E106" s="90"/>
      <c r="F106" s="78"/>
      <c r="G106" s="84" t="str">
        <f t="shared" si="21"/>
        <v/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/>
      <c r="D107" s="90"/>
      <c r="E107" s="90"/>
      <c r="F107" s="78"/>
      <c r="G107" s="79" t="str">
        <f t="shared" si="21"/>
        <v/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73" t="s">
        <v>59</v>
      </c>
      <c r="B108" s="173"/>
      <c r="C108" s="173"/>
      <c r="D108" s="173"/>
      <c r="E108" s="173"/>
      <c r="F108" s="2">
        <f>SUM(F96:F107)</f>
        <v>0</v>
      </c>
      <c r="G108" s="2">
        <f>SUM(G96:G107)</f>
        <v>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53</v>
      </c>
      <c r="O108" s="89"/>
    </row>
    <row r="109" spans="1:15" ht="18" customHeight="1">
      <c r="A109" s="174" t="s">
        <v>29</v>
      </c>
      <c r="B109" s="174"/>
      <c r="C109" s="174"/>
      <c r="D109" s="174"/>
      <c r="E109" s="174"/>
      <c r="F109" s="1">
        <f>F95+F108</f>
        <v>0</v>
      </c>
      <c r="G109" s="1">
        <f>G95+G108</f>
        <v>0</v>
      </c>
      <c r="H109" s="91"/>
      <c r="I109" s="91"/>
      <c r="J109" s="91"/>
      <c r="K109" s="91"/>
      <c r="L109" s="91"/>
      <c r="M109" s="92">
        <f ca="1">IFERROR(M95+M108,"")</f>
        <v>0</v>
      </c>
      <c r="N109" s="1" t="s">
        <v>60</v>
      </c>
      <c r="O109" s="31">
        <f>IFERROR(O95+O108,"")</f>
        <v>0</v>
      </c>
    </row>
    <row r="110" spans="1:15" ht="15" customHeight="1">
      <c r="A110" s="74">
        <v>46270</v>
      </c>
      <c r="B110" s="75">
        <v>0.33333333333333298</v>
      </c>
      <c r="C110" s="76"/>
      <c r="D110" s="77"/>
      <c r="E110" s="77"/>
      <c r="F110" s="78"/>
      <c r="G110" s="79" t="str">
        <f t="shared" ref="G110:G121" si="24">IF(F110="","",IF(E110="PC 17",F110*4.2,IF(E110="PC 19",F110*5,IF(E110="CB",F110*35,""))))</f>
        <v/>
      </c>
      <c r="H110" s="76"/>
      <c r="I110" s="76"/>
      <c r="J110" s="76"/>
      <c r="K110" s="80"/>
      <c r="L110" s="80"/>
      <c r="M110" s="81" t="str">
        <f t="shared" ref="M110:M121" ca="1" si="25">IFERROR(IF(K110="","",IF(L110="",MOD(NOW()-K110,1),IF(L110&gt;=K110,L110-K110,L110+1-K110))),"")</f>
        <v/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/>
      <c r="D111" s="77"/>
      <c r="E111" s="77"/>
      <c r="F111" s="78"/>
      <c r="G111" s="84" t="str">
        <f t="shared" si="24"/>
        <v/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/>
      <c r="D112" s="77"/>
      <c r="E112" s="77"/>
      <c r="F112" s="78"/>
      <c r="G112" s="79" t="str">
        <f t="shared" si="24"/>
        <v/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/>
      <c r="D113" s="77"/>
      <c r="E113" s="77"/>
      <c r="F113" s="78"/>
      <c r="G113" s="84" t="str">
        <f t="shared" si="24"/>
        <v/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/>
      <c r="D114" s="77"/>
      <c r="E114" s="77"/>
      <c r="F114" s="78"/>
      <c r="G114" s="79" t="str">
        <f t="shared" si="24"/>
        <v/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/>
      <c r="D115" s="77"/>
      <c r="E115" s="77"/>
      <c r="F115" s="78"/>
      <c r="G115" s="84" t="str">
        <f t="shared" si="24"/>
        <v/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/>
      <c r="D116" s="77"/>
      <c r="E116" s="77"/>
      <c r="F116" s="78"/>
      <c r="G116" s="79" t="str">
        <f t="shared" si="24"/>
        <v/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/>
      <c r="D117" s="77"/>
      <c r="E117" s="77"/>
      <c r="F117" s="78"/>
      <c r="G117" s="84" t="str">
        <f t="shared" si="24"/>
        <v/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/>
      <c r="D118" s="77"/>
      <c r="E118" s="77"/>
      <c r="F118" s="78"/>
      <c r="G118" s="79" t="str">
        <f t="shared" si="24"/>
        <v/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/>
      <c r="D119" s="77"/>
      <c r="E119" s="77"/>
      <c r="F119" s="78"/>
      <c r="G119" s="84" t="str">
        <f t="shared" si="24"/>
        <v/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/>
      <c r="D120" s="77"/>
      <c r="E120" s="77"/>
      <c r="F120" s="78"/>
      <c r="G120" s="79" t="str">
        <f t="shared" si="24"/>
        <v/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/>
      <c r="D121" s="77"/>
      <c r="E121" s="77"/>
      <c r="F121" s="78"/>
      <c r="G121" s="84" t="str">
        <f t="shared" si="24"/>
        <v/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73" t="s">
        <v>52</v>
      </c>
      <c r="B122" s="173"/>
      <c r="C122" s="173"/>
      <c r="D122" s="173"/>
      <c r="E122" s="173"/>
      <c r="F122" s="2">
        <f>SUM(F110:F121)</f>
        <v>0</v>
      </c>
      <c r="G122" s="2">
        <f>SUM(G110:G121)</f>
        <v>0</v>
      </c>
      <c r="H122" s="87"/>
      <c r="I122" s="87"/>
      <c r="J122" s="87"/>
      <c r="K122" s="87"/>
      <c r="L122" s="87"/>
      <c r="M122" s="88">
        <f ca="1">IFERROR(SUM(M110:M121),"")</f>
        <v>0</v>
      </c>
      <c r="N122" s="2" t="s">
        <v>53</v>
      </c>
      <c r="O122" s="89"/>
    </row>
    <row r="123" spans="1:15" ht="15" customHeight="1">
      <c r="A123" s="18">
        <v>46270</v>
      </c>
      <c r="B123" s="83">
        <v>0.83333333333333304</v>
      </c>
      <c r="C123" s="85"/>
      <c r="D123" s="90"/>
      <c r="E123" s="90"/>
      <c r="F123" s="78"/>
      <c r="G123" s="84" t="str">
        <f t="shared" ref="G123:G134" si="27">IF(F123="","",IF(E123="PC 17",F123*4.2,IF(E123="PC 19",F123*5,IF(E123="CB",F123*35,""))))</f>
        <v/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/>
      <c r="D124" s="90"/>
      <c r="E124" s="90"/>
      <c r="F124" s="78"/>
      <c r="G124" s="79" t="str">
        <f t="shared" si="27"/>
        <v/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/>
      <c r="D125" s="90"/>
      <c r="E125" s="90"/>
      <c r="F125" s="78"/>
      <c r="G125" s="84" t="str">
        <f t="shared" si="27"/>
        <v/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/>
      <c r="D126" s="90"/>
      <c r="E126" s="90"/>
      <c r="F126" s="78"/>
      <c r="G126" s="79" t="str">
        <f t="shared" si="27"/>
        <v/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/>
      <c r="D127" s="90"/>
      <c r="E127" s="90"/>
      <c r="F127" s="78"/>
      <c r="G127" s="84" t="str">
        <f t="shared" si="27"/>
        <v/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/>
      <c r="D128" s="90"/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/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/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/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/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/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/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73" t="s">
        <v>59</v>
      </c>
      <c r="B135" s="173"/>
      <c r="C135" s="173"/>
      <c r="D135" s="173"/>
      <c r="E135" s="173"/>
      <c r="F135" s="2">
        <f>SUM(F123:F134)</f>
        <v>0</v>
      </c>
      <c r="G135" s="2">
        <f>SUM(G123:G134)</f>
        <v>0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53</v>
      </c>
      <c r="O135" s="89"/>
    </row>
    <row r="136" spans="1:15" ht="18" customHeight="1">
      <c r="A136" s="174" t="s">
        <v>29</v>
      </c>
      <c r="B136" s="174"/>
      <c r="C136" s="174"/>
      <c r="D136" s="174"/>
      <c r="E136" s="174"/>
      <c r="F136" s="1">
        <f>F122+F135</f>
        <v>0</v>
      </c>
      <c r="G136" s="1">
        <f>G122+G135</f>
        <v>0</v>
      </c>
      <c r="H136" s="91"/>
      <c r="I136" s="91"/>
      <c r="J136" s="91"/>
      <c r="K136" s="91"/>
      <c r="L136" s="91"/>
      <c r="M136" s="92">
        <f ca="1">IFERROR(M122+M135,"")</f>
        <v>0</v>
      </c>
      <c r="N136" s="1" t="s">
        <v>60</v>
      </c>
      <c r="O136" s="31">
        <f>IFERROR(O122+O135,"")</f>
        <v>0</v>
      </c>
    </row>
    <row r="137" spans="1:15" ht="15" customHeight="1">
      <c r="A137" s="18">
        <v>46271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85"/>
      <c r="I137" s="85"/>
      <c r="J137" s="85"/>
      <c r="K137" s="80"/>
      <c r="L137" s="80"/>
      <c r="M137" s="86" t="str">
        <f t="shared" ref="M137:M148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ca="1" si="31"/>
        <v/>
      </c>
      <c r="N138" s="78"/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1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1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73" t="s">
        <v>52</v>
      </c>
      <c r="B149" s="173"/>
      <c r="C149" s="173"/>
      <c r="D149" s="173"/>
      <c r="E149" s="173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53</v>
      </c>
      <c r="O149" s="93"/>
    </row>
    <row r="150" spans="1:15" ht="15" customHeight="1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3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4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46271</v>
      </c>
      <c r="B151" s="83">
        <f t="shared" ref="B151:B161" si="35">B150+TIME(0,60,0)</f>
        <v>0.87499999999999967</v>
      </c>
      <c r="C151" s="76"/>
      <c r="D151" s="77"/>
      <c r="E151" s="77"/>
      <c r="F151" s="78"/>
      <c r="G151" s="84" t="str">
        <f t="shared" si="33"/>
        <v/>
      </c>
      <c r="H151" s="85"/>
      <c r="I151" s="85"/>
      <c r="J151" s="85"/>
      <c r="K151" s="80"/>
      <c r="L151" s="80"/>
      <c r="M151" s="86" t="str">
        <f t="shared" ca="1" si="34"/>
        <v/>
      </c>
      <c r="N151" s="78"/>
      <c r="O151" s="82"/>
    </row>
    <row r="152" spans="1:15" ht="15" customHeight="1">
      <c r="A152" s="74">
        <v>46271</v>
      </c>
      <c r="B152" s="75">
        <f t="shared" si="35"/>
        <v>0.9166666666666663</v>
      </c>
      <c r="C152" s="76"/>
      <c r="D152" s="77"/>
      <c r="E152" s="77"/>
      <c r="F152" s="78"/>
      <c r="G152" s="79" t="str">
        <f t="shared" si="33"/>
        <v/>
      </c>
      <c r="H152" s="76"/>
      <c r="I152" s="76"/>
      <c r="J152" s="76"/>
      <c r="K152" s="80"/>
      <c r="L152" s="80"/>
      <c r="M152" s="81" t="str">
        <f t="shared" ca="1" si="34"/>
        <v/>
      </c>
      <c r="N152" s="78"/>
      <c r="O152" s="82"/>
    </row>
    <row r="153" spans="1:15" ht="15" customHeight="1">
      <c r="A153" s="18">
        <v>46271</v>
      </c>
      <c r="B153" s="83">
        <f t="shared" si="35"/>
        <v>0.95833333333333293</v>
      </c>
      <c r="C153" s="76"/>
      <c r="D153" s="77"/>
      <c r="E153" s="77"/>
      <c r="F153" s="78"/>
      <c r="G153" s="84" t="str">
        <f t="shared" si="33"/>
        <v/>
      </c>
      <c r="H153" s="85"/>
      <c r="I153" s="85"/>
      <c r="J153" s="85"/>
      <c r="K153" s="80"/>
      <c r="L153" s="80"/>
      <c r="M153" s="86" t="str">
        <f t="shared" ca="1" si="34"/>
        <v/>
      </c>
      <c r="N153" s="78"/>
      <c r="O153" s="82"/>
    </row>
    <row r="154" spans="1:15" ht="15" customHeight="1">
      <c r="A154" s="74">
        <v>46271</v>
      </c>
      <c r="B154" s="75">
        <f t="shared" si="35"/>
        <v>0.99999999999999956</v>
      </c>
      <c r="C154" s="76"/>
      <c r="D154" s="77"/>
      <c r="E154" s="77"/>
      <c r="F154" s="78"/>
      <c r="G154" s="79" t="str">
        <f t="shared" si="33"/>
        <v/>
      </c>
      <c r="H154" s="76"/>
      <c r="I154" s="76"/>
      <c r="J154" s="76"/>
      <c r="K154" s="80"/>
      <c r="L154" s="80"/>
      <c r="M154" s="81" t="str">
        <f t="shared" ca="1" si="34"/>
        <v/>
      </c>
      <c r="N154" s="78"/>
      <c r="O154" s="82"/>
    </row>
    <row r="155" spans="1:15" ht="15" customHeight="1">
      <c r="A155" s="18">
        <v>46271</v>
      </c>
      <c r="B155" s="83">
        <f t="shared" si="35"/>
        <v>1.0416666666666663</v>
      </c>
      <c r="C155" s="76"/>
      <c r="D155" s="77"/>
      <c r="E155" s="77"/>
      <c r="F155" s="78"/>
      <c r="G155" s="84" t="str">
        <f t="shared" si="33"/>
        <v/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46271</v>
      </c>
      <c r="B156" s="75">
        <f t="shared" si="35"/>
        <v>1.083333333333333</v>
      </c>
      <c r="C156" s="76"/>
      <c r="D156" s="77"/>
      <c r="E156" s="77"/>
      <c r="F156" s="78"/>
      <c r="G156" s="79" t="str">
        <f t="shared" si="33"/>
        <v/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46271</v>
      </c>
      <c r="B157" s="83">
        <f t="shared" si="35"/>
        <v>1.1249999999999998</v>
      </c>
      <c r="C157" s="76"/>
      <c r="D157" s="77"/>
      <c r="E157" s="77"/>
      <c r="F157" s="78"/>
      <c r="G157" s="84" t="str">
        <f t="shared" si="33"/>
        <v/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46271</v>
      </c>
      <c r="B158" s="75">
        <f t="shared" si="35"/>
        <v>1.1666666666666665</v>
      </c>
      <c r="C158" s="76"/>
      <c r="D158" s="77"/>
      <c r="E158" s="77"/>
      <c r="F158" s="78"/>
      <c r="G158" s="79" t="str">
        <f t="shared" si="33"/>
        <v/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46271</v>
      </c>
      <c r="B159" s="83">
        <f t="shared" si="35"/>
        <v>1.2083333333333333</v>
      </c>
      <c r="C159" s="76"/>
      <c r="D159" s="77"/>
      <c r="E159" s="77"/>
      <c r="F159" s="78"/>
      <c r="G159" s="84" t="str">
        <f t="shared" si="33"/>
        <v/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46271</v>
      </c>
      <c r="B160" s="75">
        <f t="shared" si="35"/>
        <v>1.25</v>
      </c>
      <c r="C160" s="76"/>
      <c r="D160" s="77"/>
      <c r="E160" s="77"/>
      <c r="F160" s="78"/>
      <c r="G160" s="79" t="str">
        <f t="shared" si="33"/>
        <v/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46271</v>
      </c>
      <c r="B161" s="83">
        <f t="shared" si="35"/>
        <v>1.2916666666666667</v>
      </c>
      <c r="C161" s="76"/>
      <c r="D161" s="77"/>
      <c r="E161" s="77"/>
      <c r="F161" s="78"/>
      <c r="G161" s="84" t="str">
        <f t="shared" si="33"/>
        <v/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73" t="s">
        <v>59</v>
      </c>
      <c r="B162" s="173"/>
      <c r="C162" s="173"/>
      <c r="D162" s="173"/>
      <c r="E162" s="173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53</v>
      </c>
      <c r="O162" s="94"/>
    </row>
    <row r="163" spans="1:15" ht="18" customHeight="1">
      <c r="A163" s="174" t="s">
        <v>29</v>
      </c>
      <c r="B163" s="174"/>
      <c r="C163" s="174"/>
      <c r="D163" s="174"/>
      <c r="E163" s="174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60</v>
      </c>
      <c r="O163" s="31">
        <f>IFERROR(O149+O162,"")</f>
        <v>0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6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7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8">B164+TIME(0,60,0)</f>
        <v>0.37499999999999967</v>
      </c>
      <c r="C165" s="76"/>
      <c r="D165" s="77"/>
      <c r="E165" s="77"/>
      <c r="F165" s="78"/>
      <c r="G165" s="84" t="str">
        <f t="shared" si="36"/>
        <v/>
      </c>
      <c r="H165" s="85"/>
      <c r="I165" s="85"/>
      <c r="J165" s="85"/>
      <c r="K165" s="80"/>
      <c r="L165" s="80"/>
      <c r="M165" s="86" t="str">
        <f t="shared" ca="1" si="37"/>
        <v/>
      </c>
      <c r="N165" s="78"/>
      <c r="O165" s="82"/>
    </row>
    <row r="166" spans="1:15" ht="15" customHeight="1">
      <c r="A166" s="74">
        <v>46272</v>
      </c>
      <c r="B166" s="75">
        <f t="shared" si="38"/>
        <v>0.41666666666666635</v>
      </c>
      <c r="C166" s="76"/>
      <c r="D166" s="77"/>
      <c r="E166" s="77"/>
      <c r="F166" s="78"/>
      <c r="G166" s="79" t="str">
        <f t="shared" si="36"/>
        <v/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46272</v>
      </c>
      <c r="B167" s="83">
        <f t="shared" si="38"/>
        <v>0.45833333333333304</v>
      </c>
      <c r="C167" s="76"/>
      <c r="D167" s="77"/>
      <c r="E167" s="77"/>
      <c r="F167" s="78"/>
      <c r="G167" s="84" t="str">
        <f t="shared" si="36"/>
        <v/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46272</v>
      </c>
      <c r="B168" s="75">
        <f t="shared" si="38"/>
        <v>0.49999999999999972</v>
      </c>
      <c r="C168" s="76"/>
      <c r="D168" s="77"/>
      <c r="E168" s="77"/>
      <c r="F168" s="78"/>
      <c r="G168" s="79" t="str">
        <f t="shared" si="36"/>
        <v/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46272</v>
      </c>
      <c r="B169" s="83">
        <f t="shared" si="38"/>
        <v>0.54166666666666641</v>
      </c>
      <c r="C169" s="76"/>
      <c r="D169" s="77"/>
      <c r="E169" s="77"/>
      <c r="F169" s="78"/>
      <c r="G169" s="84" t="str">
        <f t="shared" si="36"/>
        <v/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46272</v>
      </c>
      <c r="B170" s="75">
        <f t="shared" si="38"/>
        <v>0.58333333333333304</v>
      </c>
      <c r="C170" s="76"/>
      <c r="D170" s="77"/>
      <c r="E170" s="77"/>
      <c r="F170" s="78"/>
      <c r="G170" s="79" t="str">
        <f t="shared" si="36"/>
        <v/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46272</v>
      </c>
      <c r="B171" s="83">
        <f t="shared" si="38"/>
        <v>0.62499999999999967</v>
      </c>
      <c r="C171" s="76"/>
      <c r="D171" s="77"/>
      <c r="E171" s="77"/>
      <c r="F171" s="78"/>
      <c r="G171" s="84" t="str">
        <f t="shared" si="36"/>
        <v/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46272</v>
      </c>
      <c r="B172" s="75">
        <f t="shared" si="38"/>
        <v>0.6666666666666663</v>
      </c>
      <c r="C172" s="76"/>
      <c r="D172" s="77"/>
      <c r="E172" s="77"/>
      <c r="F172" s="78"/>
      <c r="G172" s="79" t="str">
        <f t="shared" si="36"/>
        <v/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46272</v>
      </c>
      <c r="B173" s="83">
        <f t="shared" si="38"/>
        <v>0.70833333333333293</v>
      </c>
      <c r="C173" s="76"/>
      <c r="D173" s="77"/>
      <c r="E173" s="77"/>
      <c r="F173" s="78"/>
      <c r="G173" s="84" t="str">
        <f t="shared" si="36"/>
        <v/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46272</v>
      </c>
      <c r="B174" s="75">
        <f t="shared" si="38"/>
        <v>0.74999999999999956</v>
      </c>
      <c r="C174" s="76"/>
      <c r="D174" s="77"/>
      <c r="E174" s="77"/>
      <c r="F174" s="78"/>
      <c r="G174" s="79" t="str">
        <f t="shared" si="36"/>
        <v/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46272</v>
      </c>
      <c r="B175" s="83">
        <f t="shared" si="38"/>
        <v>0.79166666666666619</v>
      </c>
      <c r="C175" s="76"/>
      <c r="D175" s="77"/>
      <c r="E175" s="77"/>
      <c r="F175" s="78"/>
      <c r="G175" s="84" t="str">
        <f t="shared" si="36"/>
        <v/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73" t="s">
        <v>52</v>
      </c>
      <c r="B176" s="173"/>
      <c r="C176" s="173"/>
      <c r="D176" s="173"/>
      <c r="E176" s="173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53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39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0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1">B177+TIME(0,60,0)</f>
        <v>0.87499999999999967</v>
      </c>
      <c r="C178" s="85"/>
      <c r="D178" s="90"/>
      <c r="E178" s="90"/>
      <c r="F178" s="78"/>
      <c r="G178" s="79" t="str">
        <f t="shared" si="39"/>
        <v/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46272</v>
      </c>
      <c r="B179" s="83">
        <f t="shared" si="41"/>
        <v>0.9166666666666663</v>
      </c>
      <c r="C179" s="85"/>
      <c r="D179" s="90"/>
      <c r="E179" s="90"/>
      <c r="F179" s="78"/>
      <c r="G179" s="84" t="str">
        <f t="shared" si="39"/>
        <v/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46272</v>
      </c>
      <c r="B180" s="75">
        <f t="shared" si="41"/>
        <v>0.95833333333333293</v>
      </c>
      <c r="C180" s="85"/>
      <c r="D180" s="90"/>
      <c r="E180" s="90"/>
      <c r="F180" s="78"/>
      <c r="G180" s="79" t="str">
        <f t="shared" si="39"/>
        <v/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46272</v>
      </c>
      <c r="B181" s="83">
        <f t="shared" si="41"/>
        <v>0.99999999999999956</v>
      </c>
      <c r="C181" s="85"/>
      <c r="D181" s="90"/>
      <c r="E181" s="90"/>
      <c r="F181" s="78"/>
      <c r="G181" s="84" t="str">
        <f t="shared" si="39"/>
        <v/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46272</v>
      </c>
      <c r="B182" s="75">
        <f t="shared" si="41"/>
        <v>1.0416666666666663</v>
      </c>
      <c r="C182" s="85"/>
      <c r="D182" s="90"/>
      <c r="E182" s="90"/>
      <c r="F182" s="78"/>
      <c r="G182" s="79" t="str">
        <f t="shared" si="39"/>
        <v/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46272</v>
      </c>
      <c r="B183" s="83">
        <f t="shared" si="41"/>
        <v>1.083333333333333</v>
      </c>
      <c r="C183" s="85"/>
      <c r="D183" s="90"/>
      <c r="E183" s="90"/>
      <c r="F183" s="78"/>
      <c r="G183" s="84" t="str">
        <f t="shared" si="39"/>
        <v/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46272</v>
      </c>
      <c r="B184" s="75">
        <f t="shared" si="41"/>
        <v>1.1249999999999998</v>
      </c>
      <c r="C184" s="85"/>
      <c r="D184" s="90"/>
      <c r="E184" s="90"/>
      <c r="F184" s="78"/>
      <c r="G184" s="79" t="str">
        <f t="shared" si="39"/>
        <v/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46272</v>
      </c>
      <c r="B185" s="83">
        <f t="shared" si="41"/>
        <v>1.1666666666666665</v>
      </c>
      <c r="C185" s="85"/>
      <c r="D185" s="90"/>
      <c r="E185" s="90"/>
      <c r="F185" s="78"/>
      <c r="G185" s="84" t="str">
        <f t="shared" si="39"/>
        <v/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46272</v>
      </c>
      <c r="B186" s="75">
        <f t="shared" si="41"/>
        <v>1.2083333333333333</v>
      </c>
      <c r="C186" s="85"/>
      <c r="D186" s="90"/>
      <c r="E186" s="90"/>
      <c r="F186" s="78"/>
      <c r="G186" s="79" t="str">
        <f t="shared" si="39"/>
        <v/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46272</v>
      </c>
      <c r="B187" s="83">
        <f t="shared" si="41"/>
        <v>1.25</v>
      </c>
      <c r="C187" s="85"/>
      <c r="D187" s="90"/>
      <c r="E187" s="90"/>
      <c r="F187" s="78"/>
      <c r="G187" s="84" t="str">
        <f t="shared" si="39"/>
        <v/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46272</v>
      </c>
      <c r="B188" s="75">
        <f t="shared" si="41"/>
        <v>1.2916666666666667</v>
      </c>
      <c r="C188" s="85"/>
      <c r="D188" s="90"/>
      <c r="E188" s="90"/>
      <c r="F188" s="78"/>
      <c r="G188" s="79" t="str">
        <f t="shared" si="39"/>
        <v/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73" t="s">
        <v>59</v>
      </c>
      <c r="B189" s="173"/>
      <c r="C189" s="173"/>
      <c r="D189" s="173"/>
      <c r="E189" s="173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53</v>
      </c>
      <c r="O189" s="89"/>
    </row>
    <row r="190" spans="1:15" ht="18" customHeight="1">
      <c r="A190" s="174" t="s">
        <v>29</v>
      </c>
      <c r="B190" s="174"/>
      <c r="C190" s="174"/>
      <c r="D190" s="174"/>
      <c r="E190" s="174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60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2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3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4">B191+TIME(0,60,0)</f>
        <v>0.37499999999999967</v>
      </c>
      <c r="C192" s="85"/>
      <c r="D192" s="90"/>
      <c r="E192" s="90"/>
      <c r="F192" s="78"/>
      <c r="G192" s="79" t="str">
        <f t="shared" si="42"/>
        <v/>
      </c>
      <c r="H192" s="76"/>
      <c r="I192" s="76"/>
      <c r="J192" s="76"/>
      <c r="K192" s="80"/>
      <c r="L192" s="80"/>
      <c r="M192" s="81" t="str">
        <f t="shared" ca="1" si="43"/>
        <v/>
      </c>
      <c r="N192" s="78"/>
      <c r="O192" s="82"/>
    </row>
    <row r="193" spans="1:15" ht="15" customHeight="1">
      <c r="A193" s="18">
        <v>46273</v>
      </c>
      <c r="B193" s="83">
        <f t="shared" si="44"/>
        <v>0.41666666666666635</v>
      </c>
      <c r="C193" s="85"/>
      <c r="D193" s="90"/>
      <c r="E193" s="90"/>
      <c r="F193" s="78"/>
      <c r="G193" s="84" t="str">
        <f t="shared" si="42"/>
        <v/>
      </c>
      <c r="H193" s="85"/>
      <c r="I193" s="85"/>
      <c r="J193" s="85"/>
      <c r="K193" s="80"/>
      <c r="L193" s="80"/>
      <c r="M193" s="86" t="str">
        <f t="shared" ca="1" si="43"/>
        <v/>
      </c>
      <c r="N193" s="78"/>
      <c r="O193" s="82"/>
    </row>
    <row r="194" spans="1:15" ht="15" customHeight="1">
      <c r="A194" s="74">
        <v>46273</v>
      </c>
      <c r="B194" s="75">
        <f t="shared" si="44"/>
        <v>0.45833333333333304</v>
      </c>
      <c r="C194" s="85"/>
      <c r="D194" s="90"/>
      <c r="E194" s="90"/>
      <c r="F194" s="78"/>
      <c r="G194" s="79" t="str">
        <f t="shared" si="42"/>
        <v/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46273</v>
      </c>
      <c r="B195" s="83">
        <f t="shared" si="44"/>
        <v>0.49999999999999972</v>
      </c>
      <c r="C195" s="85"/>
      <c r="D195" s="90"/>
      <c r="E195" s="90"/>
      <c r="F195" s="78"/>
      <c r="G195" s="84" t="str">
        <f t="shared" si="42"/>
        <v/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46273</v>
      </c>
      <c r="B196" s="75">
        <f t="shared" si="44"/>
        <v>0.54166666666666641</v>
      </c>
      <c r="C196" s="85"/>
      <c r="D196" s="90"/>
      <c r="E196" s="90"/>
      <c r="F196" s="78"/>
      <c r="G196" s="79" t="str">
        <f t="shared" si="42"/>
        <v/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46273</v>
      </c>
      <c r="B197" s="83">
        <f t="shared" si="44"/>
        <v>0.58333333333333304</v>
      </c>
      <c r="C197" s="85"/>
      <c r="D197" s="90"/>
      <c r="E197" s="90"/>
      <c r="F197" s="78"/>
      <c r="G197" s="84" t="str">
        <f t="shared" si="42"/>
        <v/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46273</v>
      </c>
      <c r="B198" s="75">
        <f t="shared" si="44"/>
        <v>0.62499999999999967</v>
      </c>
      <c r="C198" s="85"/>
      <c r="D198" s="90"/>
      <c r="E198" s="90"/>
      <c r="F198" s="78"/>
      <c r="G198" s="79" t="str">
        <f t="shared" si="42"/>
        <v/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46273</v>
      </c>
      <c r="B199" s="83">
        <f t="shared" si="44"/>
        <v>0.6666666666666663</v>
      </c>
      <c r="C199" s="85"/>
      <c r="D199" s="90"/>
      <c r="E199" s="90"/>
      <c r="F199" s="78"/>
      <c r="G199" s="84" t="str">
        <f t="shared" si="42"/>
        <v/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46273</v>
      </c>
      <c r="B200" s="75">
        <f t="shared" si="44"/>
        <v>0.70833333333333293</v>
      </c>
      <c r="C200" s="85"/>
      <c r="D200" s="90"/>
      <c r="E200" s="90"/>
      <c r="F200" s="78"/>
      <c r="G200" s="79" t="str">
        <f t="shared" si="42"/>
        <v/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46273</v>
      </c>
      <c r="B201" s="83">
        <f t="shared" si="44"/>
        <v>0.74999999999999956</v>
      </c>
      <c r="C201" s="85"/>
      <c r="D201" s="90"/>
      <c r="E201" s="90"/>
      <c r="F201" s="78"/>
      <c r="G201" s="84" t="str">
        <f t="shared" si="42"/>
        <v/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46273</v>
      </c>
      <c r="B202" s="75">
        <f t="shared" si="44"/>
        <v>0.79166666666666619</v>
      </c>
      <c r="C202" s="85"/>
      <c r="D202" s="90"/>
      <c r="E202" s="90"/>
      <c r="F202" s="78"/>
      <c r="G202" s="79" t="str">
        <f t="shared" si="42"/>
        <v/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73" t="s">
        <v>52</v>
      </c>
      <c r="B203" s="173"/>
      <c r="C203" s="173"/>
      <c r="D203" s="173"/>
      <c r="E203" s="173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53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5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7">B204+TIME(0,60,0)</f>
        <v>0.87499999999999967</v>
      </c>
      <c r="C205" s="76"/>
      <c r="D205" s="77"/>
      <c r="E205" s="77"/>
      <c r="F205" s="78"/>
      <c r="G205" s="84" t="str">
        <f t="shared" si="45"/>
        <v/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46273</v>
      </c>
      <c r="B206" s="75">
        <f t="shared" si="47"/>
        <v>0.9166666666666663</v>
      </c>
      <c r="C206" s="76"/>
      <c r="D206" s="77"/>
      <c r="E206" s="77"/>
      <c r="F206" s="78"/>
      <c r="G206" s="79" t="str">
        <f t="shared" si="45"/>
        <v/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46273</v>
      </c>
      <c r="B207" s="83">
        <f t="shared" si="47"/>
        <v>0.95833333333333293</v>
      </c>
      <c r="C207" s="76"/>
      <c r="D207" s="77"/>
      <c r="E207" s="77"/>
      <c r="F207" s="78"/>
      <c r="G207" s="84" t="str">
        <f t="shared" si="45"/>
        <v/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46273</v>
      </c>
      <c r="B208" s="75">
        <f t="shared" si="47"/>
        <v>0.99999999999999956</v>
      </c>
      <c r="C208" s="76"/>
      <c r="D208" s="77"/>
      <c r="E208" s="77"/>
      <c r="F208" s="78"/>
      <c r="G208" s="79" t="str">
        <f t="shared" si="45"/>
        <v/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46273</v>
      </c>
      <c r="B209" s="83">
        <f t="shared" si="47"/>
        <v>1.0416666666666663</v>
      </c>
      <c r="C209" s="76"/>
      <c r="D209" s="77"/>
      <c r="E209" s="77"/>
      <c r="F209" s="78"/>
      <c r="G209" s="84" t="str">
        <f t="shared" si="45"/>
        <v/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46273</v>
      </c>
      <c r="B210" s="75">
        <f t="shared" si="47"/>
        <v>1.083333333333333</v>
      </c>
      <c r="C210" s="76"/>
      <c r="D210" s="77"/>
      <c r="E210" s="77"/>
      <c r="F210" s="78"/>
      <c r="G210" s="79" t="str">
        <f t="shared" si="45"/>
        <v/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46273</v>
      </c>
      <c r="B211" s="83">
        <f t="shared" si="47"/>
        <v>1.1249999999999998</v>
      </c>
      <c r="C211" s="76"/>
      <c r="D211" s="77"/>
      <c r="E211" s="77"/>
      <c r="F211" s="78"/>
      <c r="G211" s="84" t="str">
        <f t="shared" si="45"/>
        <v/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46273</v>
      </c>
      <c r="B212" s="75">
        <f t="shared" si="47"/>
        <v>1.1666666666666665</v>
      </c>
      <c r="C212" s="76"/>
      <c r="D212" s="77"/>
      <c r="E212" s="77"/>
      <c r="F212" s="78"/>
      <c r="G212" s="79" t="str">
        <f t="shared" si="45"/>
        <v/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46273</v>
      </c>
      <c r="B213" s="83">
        <f t="shared" si="47"/>
        <v>1.2083333333333333</v>
      </c>
      <c r="C213" s="76"/>
      <c r="D213" s="77"/>
      <c r="E213" s="77"/>
      <c r="F213" s="78"/>
      <c r="G213" s="84" t="str">
        <f t="shared" si="45"/>
        <v/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46273</v>
      </c>
      <c r="B214" s="75">
        <f t="shared" si="47"/>
        <v>1.25</v>
      </c>
      <c r="C214" s="76"/>
      <c r="D214" s="77"/>
      <c r="E214" s="77"/>
      <c r="F214" s="78"/>
      <c r="G214" s="79" t="str">
        <f t="shared" si="45"/>
        <v/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46273</v>
      </c>
      <c r="B215" s="83">
        <f t="shared" si="47"/>
        <v>1.2916666666666667</v>
      </c>
      <c r="C215" s="76"/>
      <c r="D215" s="77"/>
      <c r="E215" s="77"/>
      <c r="F215" s="78"/>
      <c r="G215" s="84" t="str">
        <f t="shared" si="45"/>
        <v/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73" t="s">
        <v>59</v>
      </c>
      <c r="B216" s="173"/>
      <c r="C216" s="173"/>
      <c r="D216" s="173"/>
      <c r="E216" s="173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53</v>
      </c>
      <c r="O216" s="89"/>
    </row>
    <row r="217" spans="1:15" ht="18" customHeight="1">
      <c r="A217" s="174" t="s">
        <v>29</v>
      </c>
      <c r="B217" s="174"/>
      <c r="C217" s="174"/>
      <c r="D217" s="174"/>
      <c r="E217" s="174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60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8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49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0">B218+TIME(0,60,0)</f>
        <v>0.37499999999999967</v>
      </c>
      <c r="C219" s="76"/>
      <c r="D219" s="77"/>
      <c r="E219" s="77"/>
      <c r="F219" s="78"/>
      <c r="G219" s="84" t="str">
        <f t="shared" si="48"/>
        <v/>
      </c>
      <c r="H219" s="85"/>
      <c r="I219" s="85"/>
      <c r="J219" s="85"/>
      <c r="K219" s="80"/>
      <c r="L219" s="80"/>
      <c r="M219" s="86" t="str">
        <f t="shared" ca="1" si="49"/>
        <v/>
      </c>
      <c r="N219" s="95"/>
      <c r="O219" s="96"/>
    </row>
    <row r="220" spans="1:15" ht="15" customHeight="1">
      <c r="A220" s="74">
        <v>46274</v>
      </c>
      <c r="B220" s="75">
        <f t="shared" si="50"/>
        <v>0.41666666666666635</v>
      </c>
      <c r="C220" s="76"/>
      <c r="D220" s="77"/>
      <c r="E220" s="77"/>
      <c r="F220" s="78"/>
      <c r="G220" s="79" t="str">
        <f t="shared" si="48"/>
        <v/>
      </c>
      <c r="H220" s="76"/>
      <c r="I220" s="76"/>
      <c r="J220" s="76"/>
      <c r="K220" s="80"/>
      <c r="L220" s="80"/>
      <c r="M220" s="81" t="str">
        <f t="shared" ca="1" si="49"/>
        <v/>
      </c>
      <c r="N220" s="95"/>
      <c r="O220" s="96"/>
    </row>
    <row r="221" spans="1:15" ht="15" customHeight="1">
      <c r="A221" s="18">
        <v>46274</v>
      </c>
      <c r="B221" s="83">
        <f t="shared" si="50"/>
        <v>0.45833333333333304</v>
      </c>
      <c r="C221" s="76"/>
      <c r="D221" s="77"/>
      <c r="E221" s="77"/>
      <c r="F221" s="78"/>
      <c r="G221" s="84" t="str">
        <f t="shared" si="48"/>
        <v/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46274</v>
      </c>
      <c r="B222" s="75">
        <f t="shared" si="50"/>
        <v>0.49999999999999972</v>
      </c>
      <c r="C222" s="76"/>
      <c r="D222" s="77"/>
      <c r="E222" s="77"/>
      <c r="F222" s="78"/>
      <c r="G222" s="79" t="str">
        <f t="shared" si="48"/>
        <v/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46274</v>
      </c>
      <c r="B223" s="83">
        <f t="shared" si="50"/>
        <v>0.54166666666666641</v>
      </c>
      <c r="C223" s="76"/>
      <c r="D223" s="77"/>
      <c r="E223" s="77"/>
      <c r="F223" s="78"/>
      <c r="G223" s="84" t="str">
        <f t="shared" si="48"/>
        <v/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46274</v>
      </c>
      <c r="B224" s="75">
        <f t="shared" si="50"/>
        <v>0.58333333333333304</v>
      </c>
      <c r="C224" s="76"/>
      <c r="D224" s="77"/>
      <c r="E224" s="77"/>
      <c r="F224" s="78"/>
      <c r="G224" s="79" t="str">
        <f t="shared" si="48"/>
        <v/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46274</v>
      </c>
      <c r="B225" s="83">
        <f t="shared" si="50"/>
        <v>0.62499999999999967</v>
      </c>
      <c r="C225" s="76"/>
      <c r="D225" s="77"/>
      <c r="E225" s="77"/>
      <c r="F225" s="78"/>
      <c r="G225" s="84" t="str">
        <f t="shared" si="48"/>
        <v/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46274</v>
      </c>
      <c r="B226" s="75">
        <f t="shared" si="50"/>
        <v>0.6666666666666663</v>
      </c>
      <c r="C226" s="76"/>
      <c r="D226" s="77"/>
      <c r="E226" s="77"/>
      <c r="F226" s="78"/>
      <c r="G226" s="79" t="str">
        <f t="shared" si="48"/>
        <v/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46274</v>
      </c>
      <c r="B227" s="83">
        <f t="shared" si="50"/>
        <v>0.70833333333333293</v>
      </c>
      <c r="C227" s="76"/>
      <c r="D227" s="77"/>
      <c r="E227" s="77"/>
      <c r="F227" s="78"/>
      <c r="G227" s="84" t="str">
        <f t="shared" si="48"/>
        <v/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46274</v>
      </c>
      <c r="B228" s="75">
        <f t="shared" si="50"/>
        <v>0.74999999999999956</v>
      </c>
      <c r="C228" s="76"/>
      <c r="D228" s="77"/>
      <c r="E228" s="77"/>
      <c r="F228" s="78"/>
      <c r="G228" s="79" t="str">
        <f t="shared" si="48"/>
        <v/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46274</v>
      </c>
      <c r="B229" s="83">
        <f t="shared" si="50"/>
        <v>0.79166666666666619</v>
      </c>
      <c r="C229" s="76"/>
      <c r="D229" s="77"/>
      <c r="E229" s="77"/>
      <c r="F229" s="78"/>
      <c r="G229" s="84" t="str">
        <f t="shared" si="48"/>
        <v/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73" t="s">
        <v>52</v>
      </c>
      <c r="B230" s="173"/>
      <c r="C230" s="173"/>
      <c r="D230" s="173"/>
      <c r="E230" s="173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53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1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2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3">B231+TIME(0,60,0)</f>
        <v>0.87499999999999967</v>
      </c>
      <c r="C232" s="85"/>
      <c r="D232" s="90"/>
      <c r="E232" s="90"/>
      <c r="F232" s="78"/>
      <c r="G232" s="79" t="str">
        <f t="shared" si="51"/>
        <v/>
      </c>
      <c r="H232" s="76"/>
      <c r="I232" s="76"/>
      <c r="J232" s="76"/>
      <c r="K232" s="80"/>
      <c r="L232" s="80"/>
      <c r="M232" s="81" t="str">
        <f t="shared" ca="1" si="52"/>
        <v/>
      </c>
      <c r="N232" s="95"/>
      <c r="O232" s="96"/>
    </row>
    <row r="233" spans="1:21" ht="15" customHeight="1">
      <c r="A233" s="18">
        <v>46274</v>
      </c>
      <c r="B233" s="83">
        <f t="shared" si="53"/>
        <v>0.9166666666666663</v>
      </c>
      <c r="C233" s="85"/>
      <c r="D233" s="90"/>
      <c r="E233" s="90"/>
      <c r="F233" s="78"/>
      <c r="G233" s="84" t="str">
        <f t="shared" si="51"/>
        <v/>
      </c>
      <c r="H233" s="85"/>
      <c r="I233" s="85"/>
      <c r="J233" s="85"/>
      <c r="K233" s="80"/>
      <c r="L233" s="80"/>
      <c r="M233" s="86" t="str">
        <f t="shared" ca="1" si="52"/>
        <v/>
      </c>
      <c r="N233" s="95"/>
      <c r="O233" s="96"/>
    </row>
    <row r="234" spans="1:21" ht="15" customHeight="1">
      <c r="A234" s="74">
        <v>46274</v>
      </c>
      <c r="B234" s="75">
        <f t="shared" si="53"/>
        <v>0.95833333333333293</v>
      </c>
      <c r="C234" s="85"/>
      <c r="D234" s="90"/>
      <c r="E234" s="90"/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3"/>
        <v>0.99999999999999956</v>
      </c>
      <c r="C235" s="85"/>
      <c r="D235" s="90"/>
      <c r="E235" s="90"/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46274</v>
      </c>
      <c r="B236" s="75">
        <f t="shared" si="53"/>
        <v>1.0416666666666663</v>
      </c>
      <c r="C236" s="85"/>
      <c r="D236" s="90"/>
      <c r="E236" s="90"/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46274</v>
      </c>
      <c r="B237" s="83">
        <f t="shared" si="53"/>
        <v>1.083333333333333</v>
      </c>
      <c r="C237" s="85"/>
      <c r="D237" s="90"/>
      <c r="E237" s="90"/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46274</v>
      </c>
      <c r="B238" s="75">
        <f t="shared" si="53"/>
        <v>1.1249999999999998</v>
      </c>
      <c r="C238" s="85"/>
      <c r="D238" s="90"/>
      <c r="E238" s="90"/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46274</v>
      </c>
      <c r="B239" s="83">
        <f t="shared" si="53"/>
        <v>1.1666666666666665</v>
      </c>
      <c r="C239" s="85"/>
      <c r="D239" s="90"/>
      <c r="E239" s="90"/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46274</v>
      </c>
      <c r="B240" s="75">
        <f t="shared" si="53"/>
        <v>1.2083333333333333</v>
      </c>
      <c r="C240" s="85"/>
      <c r="D240" s="90"/>
      <c r="E240" s="90"/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46274</v>
      </c>
      <c r="B241" s="83">
        <f t="shared" si="53"/>
        <v>1.25</v>
      </c>
      <c r="C241" s="85"/>
      <c r="D241" s="90"/>
      <c r="E241" s="90"/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46274</v>
      </c>
      <c r="B242" s="75">
        <f t="shared" si="53"/>
        <v>1.2916666666666667</v>
      </c>
      <c r="C242" s="85"/>
      <c r="D242" s="90"/>
      <c r="E242" s="90"/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73" t="s">
        <v>59</v>
      </c>
      <c r="B243" s="173"/>
      <c r="C243" s="173"/>
      <c r="D243" s="173"/>
      <c r="E243" s="173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53</v>
      </c>
      <c r="O243" s="89"/>
    </row>
    <row r="244" spans="1:15" ht="18" customHeight="1">
      <c r="A244" s="174" t="s">
        <v>29</v>
      </c>
      <c r="B244" s="174"/>
      <c r="C244" s="174"/>
      <c r="D244" s="174"/>
      <c r="E244" s="174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60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4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5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6">B245+TIME(0,60,0)</f>
        <v>0.37499999999999967</v>
      </c>
      <c r="C246" s="76"/>
      <c r="D246" s="77"/>
      <c r="E246" s="77"/>
      <c r="F246" s="78"/>
      <c r="G246" s="84" t="str">
        <f t="shared" si="54"/>
        <v/>
      </c>
      <c r="H246" s="85"/>
      <c r="I246" s="76"/>
      <c r="J246" s="85"/>
      <c r="K246" s="80"/>
      <c r="L246" s="80"/>
      <c r="M246" s="81" t="str">
        <f t="shared" ca="1" si="55"/>
        <v/>
      </c>
      <c r="N246" s="95"/>
      <c r="O246" s="96"/>
    </row>
    <row r="247" spans="1:15" ht="15" customHeight="1">
      <c r="A247" s="74">
        <v>46275</v>
      </c>
      <c r="B247" s="75">
        <f t="shared" si="56"/>
        <v>0.41666666666666635</v>
      </c>
      <c r="C247" s="76"/>
      <c r="D247" s="77"/>
      <c r="E247" s="77"/>
      <c r="F247" s="78"/>
      <c r="G247" s="79" t="str">
        <f t="shared" si="54"/>
        <v/>
      </c>
      <c r="H247" s="85"/>
      <c r="I247" s="85"/>
      <c r="J247" s="85"/>
      <c r="K247" s="80"/>
      <c r="L247" s="80"/>
      <c r="M247" s="86" t="str">
        <f t="shared" ca="1" si="55"/>
        <v/>
      </c>
      <c r="N247" s="95"/>
      <c r="O247" s="96"/>
    </row>
    <row r="248" spans="1:15" ht="15" customHeight="1">
      <c r="A248" s="18">
        <v>46275</v>
      </c>
      <c r="B248" s="83">
        <f t="shared" si="56"/>
        <v>0.45833333333333304</v>
      </c>
      <c r="C248" s="76"/>
      <c r="D248" s="77"/>
      <c r="E248" s="77"/>
      <c r="F248" s="78"/>
      <c r="G248" s="84" t="str">
        <f t="shared" si="54"/>
        <v/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46275</v>
      </c>
      <c r="B249" s="75">
        <f t="shared" si="56"/>
        <v>0.49999999999999972</v>
      </c>
      <c r="C249" s="76"/>
      <c r="D249" s="77"/>
      <c r="E249" s="77"/>
      <c r="F249" s="78"/>
      <c r="G249" s="79" t="str">
        <f t="shared" si="54"/>
        <v/>
      </c>
      <c r="H249" s="85"/>
      <c r="I249" s="85"/>
      <c r="J249" s="85"/>
      <c r="K249" s="80"/>
      <c r="L249" s="80"/>
      <c r="M249" s="86" t="str">
        <f t="shared" ca="1" si="55"/>
        <v/>
      </c>
      <c r="N249" s="95"/>
      <c r="O249" s="96"/>
    </row>
    <row r="250" spans="1:15" ht="15" customHeight="1">
      <c r="A250" s="18">
        <v>46275</v>
      </c>
      <c r="B250" s="83">
        <f t="shared" si="56"/>
        <v>0.54166666666666641</v>
      </c>
      <c r="C250" s="76"/>
      <c r="D250" s="77"/>
      <c r="E250" s="77"/>
      <c r="F250" s="78"/>
      <c r="G250" s="84" t="str">
        <f t="shared" si="54"/>
        <v/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46275</v>
      </c>
      <c r="B251" s="75">
        <f t="shared" si="56"/>
        <v>0.58333333333333304</v>
      </c>
      <c r="C251" s="76"/>
      <c r="D251" s="77"/>
      <c r="E251" s="77"/>
      <c r="F251" s="78"/>
      <c r="G251" s="84" t="str">
        <f t="shared" si="54"/>
        <v/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46275</v>
      </c>
      <c r="B252" s="83">
        <f t="shared" si="56"/>
        <v>0.62499999999999967</v>
      </c>
      <c r="C252" s="76"/>
      <c r="D252" s="77"/>
      <c r="E252" s="77"/>
      <c r="F252" s="78"/>
      <c r="G252" s="84" t="str">
        <f t="shared" si="54"/>
        <v/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46275</v>
      </c>
      <c r="B253" s="75">
        <f t="shared" si="56"/>
        <v>0.6666666666666663</v>
      </c>
      <c r="C253" s="76"/>
      <c r="D253" s="77"/>
      <c r="E253" s="77"/>
      <c r="F253" s="78"/>
      <c r="G253" s="84" t="str">
        <f t="shared" si="54"/>
        <v/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46275</v>
      </c>
      <c r="B254" s="83">
        <f t="shared" si="56"/>
        <v>0.70833333333333293</v>
      </c>
      <c r="C254" s="76"/>
      <c r="D254" s="77"/>
      <c r="E254" s="77"/>
      <c r="F254" s="78"/>
      <c r="G254" s="84" t="str">
        <f t="shared" si="54"/>
        <v/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46275</v>
      </c>
      <c r="B255" s="75">
        <f t="shared" si="56"/>
        <v>0.74999999999999956</v>
      </c>
      <c r="C255" s="76"/>
      <c r="D255" s="77"/>
      <c r="E255" s="77"/>
      <c r="F255" s="78"/>
      <c r="G255" s="84" t="str">
        <f t="shared" si="54"/>
        <v/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46275</v>
      </c>
      <c r="B256" s="83">
        <f t="shared" si="56"/>
        <v>0.79166666666666619</v>
      </c>
      <c r="C256" s="76"/>
      <c r="D256" s="77"/>
      <c r="E256" s="77"/>
      <c r="F256" s="78"/>
      <c r="G256" s="84" t="str">
        <f t="shared" si="54"/>
        <v/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73" t="s">
        <v>52</v>
      </c>
      <c r="B257" s="173"/>
      <c r="C257" s="173"/>
      <c r="D257" s="173"/>
      <c r="E257" s="173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53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7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58">B258+TIME(0,60,0)</f>
        <v>0.87499999999999967</v>
      </c>
      <c r="C259" s="85"/>
      <c r="D259" s="90"/>
      <c r="E259" s="90"/>
      <c r="F259" s="78"/>
      <c r="G259" s="84" t="str">
        <f>IF(F259="","",IF(E259="PC 17",F259*4.2,IF(E259="PC 19",F259*5,IF(E259="CB",F259*35,""))))</f>
        <v/>
      </c>
      <c r="H259" s="76"/>
      <c r="I259" s="76"/>
      <c r="J259" s="76"/>
      <c r="K259" s="80"/>
      <c r="L259" s="80"/>
      <c r="M259" s="86" t="str">
        <f t="shared" ca="1" si="57"/>
        <v/>
      </c>
      <c r="N259" s="95"/>
      <c r="O259" s="96"/>
    </row>
    <row r="260" spans="1:15" ht="15" customHeight="1">
      <c r="A260" s="18">
        <v>46275</v>
      </c>
      <c r="B260" s="83">
        <f t="shared" si="58"/>
        <v>0.9166666666666663</v>
      </c>
      <c r="C260" s="85"/>
      <c r="D260" s="90"/>
      <c r="E260" s="90"/>
      <c r="F260" s="78"/>
      <c r="G260" s="79" t="str">
        <f>IF(F260="","",IF(E260="PC 17",F260*4.2,IF(E260="PC 19",F260*5,IF(E260="CB",F260*35,""))))</f>
        <v/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46275</v>
      </c>
      <c r="B261" s="75">
        <f t="shared" si="58"/>
        <v>0.95833333333333293</v>
      </c>
      <c r="C261" s="85"/>
      <c r="D261" s="90"/>
      <c r="E261" s="90"/>
      <c r="F261" s="78"/>
      <c r="G261" s="84" t="str">
        <f>IF(F261="","",IF(E261="PC 17",F261*4.2,IF(E261="PC 19",F261*5,IF(E261="CB",F261*35,""))))</f>
        <v/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46275</v>
      </c>
      <c r="B262" s="83">
        <f t="shared" si="58"/>
        <v>0.99999999999999956</v>
      </c>
      <c r="C262" s="85"/>
      <c r="D262" s="90"/>
      <c r="E262" s="90"/>
      <c r="F262" s="78"/>
      <c r="G262" s="79" t="str">
        <f>IF(F262="","",IF(E262="PC 17",F262*4.2,IF(E262="PC 19",F262*5,IF(E262="CB",F262*35,""))))</f>
        <v/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46275</v>
      </c>
      <c r="B263" s="75">
        <f t="shared" si="58"/>
        <v>1.0416666666666663</v>
      </c>
      <c r="C263" s="85"/>
      <c r="D263" s="90"/>
      <c r="E263" s="90"/>
      <c r="F263" s="78"/>
      <c r="G263" s="84" t="str">
        <f>IF(F263="","",IF(E263="PC 17",F263*4.2,IF(E263="PC 19",F263*5,IF(E263="CB",F263*35,""))))</f>
        <v/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46275</v>
      </c>
      <c r="B264" s="83">
        <f t="shared" si="58"/>
        <v>1.083333333333333</v>
      </c>
      <c r="C264" s="85"/>
      <c r="D264" s="90"/>
      <c r="E264" s="90"/>
      <c r="F264" s="78"/>
      <c r="G264" s="84" t="str">
        <f>IF(F264="","",IF(E264="PC 17",F264*4.2,IF(E264="PC 19",F264*5,IF(E264="CB",F264*35,""))))</f>
        <v/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46275</v>
      </c>
      <c r="B265" s="75">
        <f t="shared" si="58"/>
        <v>1.1249999999999998</v>
      </c>
      <c r="C265" s="85"/>
      <c r="D265" s="90"/>
      <c r="E265" s="90"/>
      <c r="F265" s="78"/>
      <c r="G265" s="84" t="str">
        <f>IF(F265="","",IF(E265="PC 17",F265*4.2,IF(E265="PC 19",F265*5,IF(E265="CB",F265*35,""))))</f>
        <v/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46275</v>
      </c>
      <c r="B266" s="83">
        <f t="shared" si="58"/>
        <v>1.1666666666666665</v>
      </c>
      <c r="C266" s="85"/>
      <c r="D266" s="90"/>
      <c r="E266" s="90"/>
      <c r="F266" s="78"/>
      <c r="G266" s="84" t="str">
        <f>IF(F266="","",IF(E266="PC 17",F266*4.2,IF(E266="PC 19",F266*5,IF(E266="CB",F266*35,""))))</f>
        <v/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46275</v>
      </c>
      <c r="B267" s="75">
        <f t="shared" si="58"/>
        <v>1.2083333333333333</v>
      </c>
      <c r="C267" s="85"/>
      <c r="D267" s="90"/>
      <c r="E267" s="90"/>
      <c r="F267" s="78"/>
      <c r="G267" s="84" t="str">
        <f>IF(F267="","",IF(E267="PC 17",F267*4.2,IF(E267="PC 19",F267*5,IF(E267="CB",F267*35,""))))</f>
        <v/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46275</v>
      </c>
      <c r="B268" s="83">
        <f t="shared" si="58"/>
        <v>1.25</v>
      </c>
      <c r="C268" s="85"/>
      <c r="D268" s="90"/>
      <c r="E268" s="90"/>
      <c r="F268" s="78"/>
      <c r="G268" s="84" t="str">
        <f>IF(F268="","",IF(E268="PC 17",F268*4.2,IF(E268="PC 19",F268*5,IF(E268="CB",F268*35,""))))</f>
        <v/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46275</v>
      </c>
      <c r="B269" s="75">
        <f t="shared" si="58"/>
        <v>1.2916666666666667</v>
      </c>
      <c r="C269" s="85"/>
      <c r="D269" s="90"/>
      <c r="E269" s="90"/>
      <c r="F269" s="78"/>
      <c r="G269" s="84" t="str">
        <f>IF(F269="","",IF(E269="PC 17",F269*4.2,IF(E269="PC 19",F269*5,IF(E269="CB",F269*35,""))))</f>
        <v/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73" t="s">
        <v>59</v>
      </c>
      <c r="B270" s="173"/>
      <c r="C270" s="173"/>
      <c r="D270" s="173"/>
      <c r="E270" s="173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53</v>
      </c>
      <c r="O270" s="89"/>
    </row>
    <row r="271" spans="1:15" ht="18" customHeight="1">
      <c r="A271" s="174" t="s">
        <v>29</v>
      </c>
      <c r="B271" s="174"/>
      <c r="C271" s="174"/>
      <c r="D271" s="174"/>
      <c r="E271" s="174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60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59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0">B272+TIME(0,60,0)</f>
        <v>0.37499999999999967</v>
      </c>
      <c r="C273" s="76"/>
      <c r="D273" s="77"/>
      <c r="E273" s="77"/>
      <c r="F273" s="78"/>
      <c r="G273" s="84" t="str">
        <f>IF(F273="","",IF(E273="PC 17",F273*4.2,IF(E273="PC 19",F273*5,IF(E273="CB",F273*35,""))))</f>
        <v/>
      </c>
      <c r="H273" s="85"/>
      <c r="I273" s="85"/>
      <c r="J273" s="85"/>
      <c r="K273" s="80"/>
      <c r="L273" s="80"/>
      <c r="M273" s="86" t="str">
        <f t="shared" ca="1" si="59"/>
        <v/>
      </c>
      <c r="N273" s="95"/>
      <c r="O273" s="96"/>
    </row>
    <row r="274" spans="1:15" ht="15" customHeight="1">
      <c r="A274" s="74">
        <v>46276</v>
      </c>
      <c r="B274" s="75">
        <f t="shared" si="60"/>
        <v>0.41666666666666635</v>
      </c>
      <c r="C274" s="76"/>
      <c r="D274" s="77"/>
      <c r="E274" s="77"/>
      <c r="F274" s="78"/>
      <c r="G274" s="79" t="str">
        <f>IF(F274="","",IF(E274="PC 17",F274*4.2,IF(E274="PC 19",F274*5,IF(E274="CB",F274*35,""))))</f>
        <v/>
      </c>
      <c r="H274" s="76"/>
      <c r="I274" s="76"/>
      <c r="J274" s="76"/>
      <c r="K274" s="80"/>
      <c r="L274" s="80"/>
      <c r="M274" s="81" t="str">
        <f t="shared" ca="1" si="59"/>
        <v/>
      </c>
      <c r="N274" s="95"/>
      <c r="O274" s="96"/>
    </row>
    <row r="275" spans="1:15" ht="15" customHeight="1">
      <c r="A275" s="18">
        <v>46276</v>
      </c>
      <c r="B275" s="83">
        <f t="shared" si="60"/>
        <v>0.45833333333333304</v>
      </c>
      <c r="C275" s="76"/>
      <c r="D275" s="77"/>
      <c r="E275" s="77"/>
      <c r="F275" s="78"/>
      <c r="G275" s="84" t="str">
        <f>IF(F275="","",IF(E275="PC 17",F275*4.2,IF(E275="PC 19",F275*5,IF(E275="CB",F275*35,""))))</f>
        <v/>
      </c>
      <c r="H275" s="85"/>
      <c r="I275" s="85"/>
      <c r="J275" s="85"/>
      <c r="K275" s="80"/>
      <c r="L275" s="80"/>
      <c r="M275" s="86" t="str">
        <f t="shared" ca="1" si="59"/>
        <v/>
      </c>
      <c r="N275" s="95"/>
      <c r="O275" s="96"/>
    </row>
    <row r="276" spans="1:15" ht="15" customHeight="1">
      <c r="A276" s="74">
        <v>46276</v>
      </c>
      <c r="B276" s="75">
        <f t="shared" si="60"/>
        <v>0.49999999999999972</v>
      </c>
      <c r="C276" s="76"/>
      <c r="D276" s="77"/>
      <c r="E276" s="77"/>
      <c r="F276" s="78"/>
      <c r="G276" s="79" t="str">
        <f>IF(F276="","",IF(E276="PC 17",F276*4.2,IF(E276="PC 19",F276*5,IF(E276="CB",F276*35,""))))</f>
        <v/>
      </c>
      <c r="H276" s="76"/>
      <c r="I276" s="76"/>
      <c r="J276" s="76"/>
      <c r="K276" s="80"/>
      <c r="L276" s="80"/>
      <c r="M276" s="81" t="str">
        <f t="shared" ca="1" si="59"/>
        <v/>
      </c>
      <c r="N276" s="95"/>
      <c r="O276" s="96"/>
    </row>
    <row r="277" spans="1:15" ht="15" customHeight="1">
      <c r="A277" s="18">
        <v>46276</v>
      </c>
      <c r="B277" s="83">
        <f t="shared" si="60"/>
        <v>0.54166666666666641</v>
      </c>
      <c r="C277" s="76"/>
      <c r="D277" s="77"/>
      <c r="E277" s="77"/>
      <c r="F277" s="78"/>
      <c r="G277" s="84" t="str">
        <f>IF(F277="","",IF(E277="PC 17",F277*4.2,IF(E277="PC 19",F277*5,IF(E277="CB",F277*35,""))))</f>
        <v/>
      </c>
      <c r="H277" s="85"/>
      <c r="I277" s="85"/>
      <c r="J277" s="85"/>
      <c r="K277" s="80"/>
      <c r="L277" s="80"/>
      <c r="M277" s="86" t="str">
        <f t="shared" ca="1" si="59"/>
        <v/>
      </c>
      <c r="N277" s="95"/>
      <c r="O277" s="96"/>
    </row>
    <row r="278" spans="1:15" ht="15" customHeight="1">
      <c r="A278" s="74">
        <v>46276</v>
      </c>
      <c r="B278" s="75">
        <f t="shared" si="60"/>
        <v>0.58333333333333304</v>
      </c>
      <c r="C278" s="76"/>
      <c r="D278" s="77"/>
      <c r="E278" s="77"/>
      <c r="F278" s="78"/>
      <c r="G278" s="79" t="str">
        <f>IF(F278="","",IF(E278="PC 17",F278*4.2,IF(E278="PC 19",F278*5,IF(E278="CB",F278*35,""))))</f>
        <v/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46276</v>
      </c>
      <c r="B279" s="83">
        <f t="shared" si="60"/>
        <v>0.62499999999999967</v>
      </c>
      <c r="C279" s="76"/>
      <c r="D279" s="77"/>
      <c r="E279" s="77"/>
      <c r="F279" s="78"/>
      <c r="G279" s="84" t="str">
        <f>IF(F279="","",IF(E279="PC 17",F279*4.2,IF(E279="PC 19",F279*5,IF(E279="CB",F279*35,""))))</f>
        <v/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46276</v>
      </c>
      <c r="B280" s="75">
        <f t="shared" si="60"/>
        <v>0.6666666666666663</v>
      </c>
      <c r="C280" s="76"/>
      <c r="D280" s="77"/>
      <c r="E280" s="77"/>
      <c r="F280" s="78"/>
      <c r="G280" s="79" t="str">
        <f>IF(F280="","",IF(E280="PC 17",F280*4.2,IF(E280="PC 19",F280*5,IF(E280="CB",F280*35,""))))</f>
        <v/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46276</v>
      </c>
      <c r="B281" s="83">
        <f t="shared" si="60"/>
        <v>0.70833333333333293</v>
      </c>
      <c r="C281" s="76"/>
      <c r="D281" s="77"/>
      <c r="E281" s="77"/>
      <c r="F281" s="78"/>
      <c r="G281" s="84" t="str">
        <f>IF(F281="","",IF(E281="PC 17",F281*4.2,IF(E281="PC 19",F281*5,IF(E281="CB",F281*35,""))))</f>
        <v/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46276</v>
      </c>
      <c r="B282" s="75">
        <f t="shared" si="60"/>
        <v>0.74999999999999956</v>
      </c>
      <c r="C282" s="76"/>
      <c r="D282" s="77"/>
      <c r="E282" s="77"/>
      <c r="F282" s="78"/>
      <c r="G282" s="79" t="str">
        <f>IF(F282="","",IF(E282="PC 17",F282*4.2,IF(E282="PC 19",F282*5,IF(E282="CB",F282*35,""))))</f>
        <v/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46276</v>
      </c>
      <c r="B283" s="83">
        <f t="shared" si="60"/>
        <v>0.79166666666666619</v>
      </c>
      <c r="C283" s="76"/>
      <c r="D283" s="77"/>
      <c r="E283" s="77"/>
      <c r="F283" s="78"/>
      <c r="G283" s="84" t="str">
        <f>IF(F283="","",IF(E283="PC 17",F283*4.2,IF(E283="PC 19",F283*5,IF(E283="CB",F283*35,""))))</f>
        <v/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73" t="s">
        <v>52</v>
      </c>
      <c r="B284" s="173"/>
      <c r="C284" s="173"/>
      <c r="D284" s="173"/>
      <c r="E284" s="173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53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2">B285+TIME(0,60,0)</f>
        <v>0.87499999999999967</v>
      </c>
      <c r="C286" s="85"/>
      <c r="D286" s="90"/>
      <c r="E286" s="90"/>
      <c r="F286" s="78"/>
      <c r="G286" s="79" t="str">
        <f>IF(F286="","",IF(E286="PC 17",F286*4.2,IF(E286="PC 19",F286*5,IF(E286="CB",F286*35,""))))</f>
        <v/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46276</v>
      </c>
      <c r="B287" s="83">
        <f t="shared" si="62"/>
        <v>0.9166666666666663</v>
      </c>
      <c r="C287" s="85"/>
      <c r="D287" s="90"/>
      <c r="E287" s="90"/>
      <c r="F287" s="78"/>
      <c r="G287" s="84" t="str">
        <f>IF(F287="","",IF(E287="PC 17",F287*4.2,IF(E287="PC 19",F287*5,IF(E287="CB",F287*35,""))))</f>
        <v/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46276</v>
      </c>
      <c r="B288" s="75">
        <f t="shared" si="62"/>
        <v>0.95833333333333293</v>
      </c>
      <c r="C288" s="85"/>
      <c r="D288" s="90"/>
      <c r="E288" s="90"/>
      <c r="F288" s="78"/>
      <c r="G288" s="79" t="str">
        <f>IF(F288="","",IF(E288="PC 17",F288*4.2,IF(E288="PC 19",F288*5,IF(E288="CB",F288*35,""))))</f>
        <v/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46276</v>
      </c>
      <c r="B289" s="83">
        <f t="shared" si="62"/>
        <v>0.99999999999999956</v>
      </c>
      <c r="C289" s="85"/>
      <c r="D289" s="90"/>
      <c r="E289" s="90"/>
      <c r="F289" s="78"/>
      <c r="G289" s="84" t="str">
        <f>IF(F289="","",IF(E289="PC 17",F289*4.2,IF(E289="PC 19",F289*5,IF(E289="CB",F289*35,""))))</f>
        <v/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46276</v>
      </c>
      <c r="B290" s="75">
        <f t="shared" si="62"/>
        <v>1.0416666666666663</v>
      </c>
      <c r="C290" s="85"/>
      <c r="D290" s="90"/>
      <c r="E290" s="90"/>
      <c r="F290" s="78"/>
      <c r="G290" s="79" t="str">
        <f>IF(F290="","",IF(E290="PC 17",F290*4.2,IF(E290="PC 19",F290*5,IF(E290="CB",F290*35,""))))</f>
        <v/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46276</v>
      </c>
      <c r="B291" s="83">
        <f t="shared" si="62"/>
        <v>1.083333333333333</v>
      </c>
      <c r="C291" s="85"/>
      <c r="D291" s="90"/>
      <c r="E291" s="90"/>
      <c r="F291" s="78"/>
      <c r="G291" s="84" t="str">
        <f>IF(F291="","",IF(E291="PC 17",F291*4.2,IF(E291="PC 19",F291*5,IF(E291="CB",F291*35,""))))</f>
        <v/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46276</v>
      </c>
      <c r="B292" s="75">
        <f t="shared" si="62"/>
        <v>1.1249999999999998</v>
      </c>
      <c r="C292" s="85"/>
      <c r="D292" s="90"/>
      <c r="E292" s="90"/>
      <c r="F292" s="78"/>
      <c r="G292" s="79" t="str">
        <f>IF(F292="","",IF(E292="PC 17",F292*4.2,IF(E292="PC 19",F292*5,IF(E292="CB",F292*35,""))))</f>
        <v/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46276</v>
      </c>
      <c r="B293" s="83">
        <f t="shared" si="62"/>
        <v>1.1666666666666665</v>
      </c>
      <c r="C293" s="85"/>
      <c r="D293" s="90"/>
      <c r="E293" s="90"/>
      <c r="F293" s="78"/>
      <c r="G293" s="84" t="str">
        <f>IF(F293="","",IF(E293="PC 17",F293*4.2,IF(E293="PC 19",F293*5,IF(E293="CB",F293*35,""))))</f>
        <v/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46276</v>
      </c>
      <c r="B294" s="75">
        <f t="shared" si="62"/>
        <v>1.2083333333333333</v>
      </c>
      <c r="C294" s="85"/>
      <c r="D294" s="90"/>
      <c r="E294" s="90"/>
      <c r="F294" s="78"/>
      <c r="G294" s="79" t="str">
        <f>IF(F294="","",IF(E294="PC 17",F294*4.2,IF(E294="PC 19",F294*5,IF(E294="CB",F294*35,""))))</f>
        <v/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46276</v>
      </c>
      <c r="B295" s="83">
        <f t="shared" si="62"/>
        <v>1.25</v>
      </c>
      <c r="C295" s="85"/>
      <c r="D295" s="90"/>
      <c r="E295" s="90"/>
      <c r="F295" s="78"/>
      <c r="G295" s="84" t="str">
        <f>IF(F295="","",IF(E295="PC 17",F295*4.2,IF(E295="PC 19",F295*5,IF(E295="CB",F295*35,""))))</f>
        <v/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46276</v>
      </c>
      <c r="B296" s="75">
        <f t="shared" si="62"/>
        <v>1.2916666666666667</v>
      </c>
      <c r="C296" s="85"/>
      <c r="D296" s="90"/>
      <c r="E296" s="90"/>
      <c r="F296" s="78"/>
      <c r="G296" s="79" t="str">
        <f>IF(F296="","",IF(E296="PC 17",F296*4.2,IF(E296="PC 19",F296*5,IF(E296="CB",F296*35,""))))</f>
        <v/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73" t="s">
        <v>59</v>
      </c>
      <c r="B297" s="173"/>
      <c r="C297" s="173"/>
      <c r="D297" s="173"/>
      <c r="E297" s="173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53</v>
      </c>
      <c r="O297" s="89"/>
    </row>
    <row r="298" spans="1:15" ht="18" customHeight="1">
      <c r="A298" s="174" t="s">
        <v>29</v>
      </c>
      <c r="B298" s="174"/>
      <c r="C298" s="174"/>
      <c r="D298" s="174"/>
      <c r="E298" s="174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60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3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4">B299+TIME(0,60,0)</f>
        <v>0.37499999999999967</v>
      </c>
      <c r="C300" s="85"/>
      <c r="D300" s="90"/>
      <c r="E300" s="90"/>
      <c r="F300" s="78"/>
      <c r="G300" s="79" t="str">
        <f>IF(F300="","",IF(E300="PC 17",F300*4.2,IF(E300="PC 19",F300*5,IF(E300="CB",F300*35,""))))</f>
        <v/>
      </c>
      <c r="H300" s="76"/>
      <c r="I300" s="76"/>
      <c r="J300" s="76"/>
      <c r="K300" s="80"/>
      <c r="L300" s="80"/>
      <c r="M300" s="81" t="str">
        <f t="shared" ca="1" si="63"/>
        <v/>
      </c>
      <c r="N300" s="95"/>
      <c r="O300" s="96"/>
    </row>
    <row r="301" spans="1:15" ht="15" customHeight="1">
      <c r="A301" s="18">
        <v>46277</v>
      </c>
      <c r="B301" s="83">
        <f t="shared" si="64"/>
        <v>0.41666666666666635</v>
      </c>
      <c r="C301" s="85"/>
      <c r="D301" s="90"/>
      <c r="E301" s="90"/>
      <c r="F301" s="78"/>
      <c r="G301" s="84" t="str">
        <f>IF(F301="","",IF(E301="PC 17",F301*4.2,IF(E301="PC 19",F301*5,IF(E301="CB",F301*35,""))))</f>
        <v/>
      </c>
      <c r="H301" s="85"/>
      <c r="I301" s="85"/>
      <c r="J301" s="85"/>
      <c r="K301" s="80"/>
      <c r="L301" s="80"/>
      <c r="M301" s="86" t="str">
        <f t="shared" ca="1" si="63"/>
        <v/>
      </c>
      <c r="N301" s="95"/>
      <c r="O301" s="96"/>
    </row>
    <row r="302" spans="1:15" ht="15" customHeight="1">
      <c r="A302" s="74">
        <v>46277</v>
      </c>
      <c r="B302" s="75">
        <f t="shared" si="64"/>
        <v>0.45833333333333304</v>
      </c>
      <c r="C302" s="85"/>
      <c r="D302" s="90"/>
      <c r="E302" s="90"/>
      <c r="F302" s="78"/>
      <c r="G302" s="79" t="str">
        <f>IF(F302="","",IF(E302="PC 17",F302*4.2,IF(E302="PC 19",F302*5,IF(E302="CB",F302*35,""))))</f>
        <v/>
      </c>
      <c r="H302" s="76"/>
      <c r="I302" s="76"/>
      <c r="J302" s="76"/>
      <c r="K302" s="80"/>
      <c r="L302" s="80"/>
      <c r="M302" s="81" t="str">
        <f t="shared" ca="1" si="63"/>
        <v/>
      </c>
      <c r="N302" s="95"/>
      <c r="O302" s="96"/>
    </row>
    <row r="303" spans="1:15" ht="15" customHeight="1">
      <c r="A303" s="18">
        <v>46277</v>
      </c>
      <c r="B303" s="83">
        <f t="shared" si="64"/>
        <v>0.49999999999999972</v>
      </c>
      <c r="C303" s="85"/>
      <c r="D303" s="90"/>
      <c r="E303" s="90"/>
      <c r="F303" s="78"/>
      <c r="G303" s="84" t="str">
        <f>IF(F303="","",IF(E303="PC 17",F303*4.2,IF(E303="PC 19",F303*5,IF(E303="CB",F303*35,""))))</f>
        <v/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46277</v>
      </c>
      <c r="B304" s="75">
        <f t="shared" si="64"/>
        <v>0.54166666666666641</v>
      </c>
      <c r="C304" s="85"/>
      <c r="D304" s="90"/>
      <c r="E304" s="90"/>
      <c r="F304" s="78"/>
      <c r="G304" s="79" t="str">
        <f>IF(F304="","",IF(E304="PC 17",F304*4.2,IF(E304="PC 19",F304*5,IF(E304="CB",F304*35,""))))</f>
        <v/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46277</v>
      </c>
      <c r="B305" s="83">
        <f t="shared" si="64"/>
        <v>0.58333333333333304</v>
      </c>
      <c r="C305" s="85"/>
      <c r="D305" s="90"/>
      <c r="E305" s="90"/>
      <c r="F305" s="78"/>
      <c r="G305" s="84" t="str">
        <f>IF(F305="","",IF(E305="PC 17",F305*4.2,IF(E305="PC 19",F305*5,IF(E305="CB",F305*35,""))))</f>
        <v/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46277</v>
      </c>
      <c r="B306" s="75">
        <f t="shared" si="64"/>
        <v>0.62499999999999967</v>
      </c>
      <c r="C306" s="85"/>
      <c r="D306" s="90"/>
      <c r="E306" s="90"/>
      <c r="F306" s="78"/>
      <c r="G306" s="79" t="str">
        <f>IF(F306="","",IF(E306="PC 17",F306*4.2,IF(E306="PC 19",F306*5,IF(E306="CB",F306*35,""))))</f>
        <v/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46277</v>
      </c>
      <c r="B307" s="83">
        <f t="shared" si="64"/>
        <v>0.6666666666666663</v>
      </c>
      <c r="C307" s="85"/>
      <c r="D307" s="90"/>
      <c r="E307" s="90"/>
      <c r="F307" s="78"/>
      <c r="G307" s="84" t="str">
        <f>IF(F307="","",IF(E307="PC 17",F307*4.2,IF(E307="PC 19",F307*5,IF(E307="CB",F307*35,""))))</f>
        <v/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46277</v>
      </c>
      <c r="B308" s="75">
        <f t="shared" si="64"/>
        <v>0.70833333333333293</v>
      </c>
      <c r="C308" s="85"/>
      <c r="D308" s="90"/>
      <c r="E308" s="90"/>
      <c r="F308" s="78"/>
      <c r="G308" s="79" t="str">
        <f>IF(F308="","",IF(E308="PC 17",F308*4.2,IF(E308="PC 19",F308*5,IF(E308="CB",F308*35,""))))</f>
        <v/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46277</v>
      </c>
      <c r="B309" s="83">
        <f t="shared" si="64"/>
        <v>0.74999999999999956</v>
      </c>
      <c r="C309" s="85"/>
      <c r="D309" s="90"/>
      <c r="E309" s="90"/>
      <c r="F309" s="78"/>
      <c r="G309" s="84" t="str">
        <f>IF(F309="","",IF(E309="PC 17",F309*4.2,IF(E309="PC 19",F309*5,IF(E309="CB",F309*35,""))))</f>
        <v/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46277</v>
      </c>
      <c r="B310" s="75">
        <f t="shared" si="64"/>
        <v>0.79166666666666619</v>
      </c>
      <c r="C310" s="85"/>
      <c r="D310" s="90"/>
      <c r="E310" s="90"/>
      <c r="F310" s="78"/>
      <c r="G310" s="79" t="str">
        <f>IF(F310="","",IF(E310="PC 17",F310*4.2,IF(E310="PC 19",F310*5,IF(E310="CB",F310*35,""))))</f>
        <v/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73" t="s">
        <v>52</v>
      </c>
      <c r="B311" s="173"/>
      <c r="C311" s="173"/>
      <c r="D311" s="173"/>
      <c r="E311" s="173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53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65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66">B312+TIME(0,60,0)</f>
        <v>0.87499999999999967</v>
      </c>
      <c r="C313" s="76"/>
      <c r="D313" s="77"/>
      <c r="E313" s="90"/>
      <c r="F313" s="78"/>
      <c r="G313" s="79" t="str">
        <f>IF(F313="","",IF(E313="PC 17",F313*4.2,IF(E313="PC 19",F313*5,IF(E313="CB",F313*35,""))))</f>
        <v/>
      </c>
      <c r="H313" s="85"/>
      <c r="I313" s="85"/>
      <c r="J313" s="85"/>
      <c r="K313" s="80"/>
      <c r="L313" s="80"/>
      <c r="M313" s="86" t="str">
        <f t="shared" ca="1" si="65"/>
        <v/>
      </c>
      <c r="N313" s="95"/>
      <c r="O313" s="96"/>
    </row>
    <row r="314" spans="1:15" ht="15" customHeight="1">
      <c r="A314" s="74">
        <v>46277</v>
      </c>
      <c r="B314" s="75">
        <f t="shared" si="66"/>
        <v>0.9166666666666663</v>
      </c>
      <c r="C314" s="76"/>
      <c r="D314" s="77"/>
      <c r="E314" s="90"/>
      <c r="F314" s="78"/>
      <c r="G314" s="79" t="str">
        <f>IF(F314="","",IF(E314="PC 17",F314*4.2,IF(E314="PC 19",F314*5,IF(E314="CB",F314*35,""))))</f>
        <v/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46277</v>
      </c>
      <c r="B315" s="83">
        <f t="shared" si="66"/>
        <v>0.95833333333333293</v>
      </c>
      <c r="C315" s="76"/>
      <c r="D315" s="77"/>
      <c r="E315" s="90"/>
      <c r="F315" s="78"/>
      <c r="G315" s="79" t="str">
        <f>IF(F315="","",IF(E315="PC 17",F315*4.2,IF(E315="PC 19",F315*5,IF(E315="CB",F315*35,""))))</f>
        <v/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46277</v>
      </c>
      <c r="B316" s="75">
        <f t="shared" si="66"/>
        <v>0.99999999999999956</v>
      </c>
      <c r="C316" s="76"/>
      <c r="D316" s="77"/>
      <c r="E316" s="90"/>
      <c r="F316" s="78"/>
      <c r="G316" s="79" t="str">
        <f>IF(F316="","",IF(E316="PC 17",F316*4.2,IF(E316="PC 19",F316*5,IF(E316="CB",F316*35,""))))</f>
        <v/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46277</v>
      </c>
      <c r="B317" s="83">
        <f t="shared" si="66"/>
        <v>1.0416666666666663</v>
      </c>
      <c r="C317" s="76"/>
      <c r="D317" s="77"/>
      <c r="E317" s="90"/>
      <c r="F317" s="78"/>
      <c r="G317" s="79" t="str">
        <f>IF(F317="","",IF(E317="PC 17",F317*4.2,IF(E317="PC 19",F317*5,IF(E317="CB",F317*35,""))))</f>
        <v/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46277</v>
      </c>
      <c r="B318" s="75">
        <f t="shared" si="66"/>
        <v>1.083333333333333</v>
      </c>
      <c r="C318" s="76"/>
      <c r="D318" s="77"/>
      <c r="E318" s="90"/>
      <c r="F318" s="78"/>
      <c r="G318" s="79" t="str">
        <f>IF(F318="","",IF(E318="PC 17",F318*4.2,IF(E318="PC 19",F318*5,IF(E318="CB",F318*35,""))))</f>
        <v/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46277</v>
      </c>
      <c r="B319" s="83">
        <f t="shared" si="66"/>
        <v>1.1249999999999998</v>
      </c>
      <c r="C319" s="76"/>
      <c r="D319" s="77"/>
      <c r="E319" s="90"/>
      <c r="F319" s="78"/>
      <c r="G319" s="79" t="str">
        <f>IF(F319="","",IF(E319="PC 17",F319*4.2,IF(E319="PC 19",F319*5,IF(E319="CB",F319*35,""))))</f>
        <v/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46277</v>
      </c>
      <c r="B320" s="75">
        <f t="shared" si="66"/>
        <v>1.1666666666666665</v>
      </c>
      <c r="C320" s="76"/>
      <c r="D320" s="77"/>
      <c r="E320" s="90"/>
      <c r="F320" s="78"/>
      <c r="G320" s="79" t="str">
        <f>IF(F320="","",IF(E320="PC 17",F320*4.2,IF(E320="PC 19",F320*5,IF(E320="CB",F320*35,""))))</f>
        <v/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46277</v>
      </c>
      <c r="B321" s="83">
        <f t="shared" si="66"/>
        <v>1.2083333333333333</v>
      </c>
      <c r="C321" s="76"/>
      <c r="D321" s="77"/>
      <c r="E321" s="90"/>
      <c r="F321" s="78"/>
      <c r="G321" s="79" t="str">
        <f>IF(F321="","",IF(E321="PC 17",F321*4.2,IF(E321="PC 19",F321*5,IF(E321="CB",F321*35,""))))</f>
        <v/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46277</v>
      </c>
      <c r="B322" s="75">
        <f t="shared" si="66"/>
        <v>1.25</v>
      </c>
      <c r="C322" s="76"/>
      <c r="D322" s="77"/>
      <c r="E322" s="90"/>
      <c r="F322" s="78"/>
      <c r="G322" s="79" t="str">
        <f>IF(F322="","",IF(E322="PC 17",F322*4.2,IF(E322="PC 19",F322*5,IF(E322="CB",F322*35,""))))</f>
        <v/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46277</v>
      </c>
      <c r="B323" s="83">
        <f t="shared" si="66"/>
        <v>1.2916666666666667</v>
      </c>
      <c r="C323" s="76"/>
      <c r="D323" s="77"/>
      <c r="E323" s="90"/>
      <c r="F323" s="78"/>
      <c r="G323" s="79" t="str">
        <f>IF(F323="","",IF(E323="PC 17",F323*4.2,IF(E323="PC 19",F323*5,IF(E323="CB",F323*35,""))))</f>
        <v/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73" t="s">
        <v>59</v>
      </c>
      <c r="B324" s="173"/>
      <c r="C324" s="173"/>
      <c r="D324" s="173"/>
      <c r="E324" s="173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53</v>
      </c>
      <c r="O324" s="89"/>
    </row>
    <row r="325" spans="1:15" ht="18" customHeight="1">
      <c r="A325" s="174" t="s">
        <v>29</v>
      </c>
      <c r="B325" s="174"/>
      <c r="C325" s="174"/>
      <c r="D325" s="174"/>
      <c r="E325" s="174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60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67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68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69">B326+TIME(0,60,0)</f>
        <v>0.37499999999999967</v>
      </c>
      <c r="C327" s="76"/>
      <c r="D327" s="77"/>
      <c r="E327" s="77"/>
      <c r="F327" s="78"/>
      <c r="G327" s="84" t="str">
        <f t="shared" si="67"/>
        <v/>
      </c>
      <c r="H327" s="85"/>
      <c r="I327" s="85"/>
      <c r="J327" s="85"/>
      <c r="K327" s="80"/>
      <c r="L327" s="80"/>
      <c r="M327" s="86" t="str">
        <f t="shared" ca="1" si="68"/>
        <v/>
      </c>
      <c r="N327" s="95"/>
      <c r="O327" s="96"/>
    </row>
    <row r="328" spans="1:15" ht="15" customHeight="1">
      <c r="A328" s="74">
        <v>46278</v>
      </c>
      <c r="B328" s="75">
        <f t="shared" si="69"/>
        <v>0.41666666666666635</v>
      </c>
      <c r="C328" s="76"/>
      <c r="D328" s="77"/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/>
      <c r="O328" s="96"/>
    </row>
    <row r="329" spans="1:15" ht="15" customHeight="1">
      <c r="A329" s="18">
        <v>46278</v>
      </c>
      <c r="B329" s="83">
        <f t="shared" si="69"/>
        <v>0.45833333333333304</v>
      </c>
      <c r="C329" s="76"/>
      <c r="D329" s="77"/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46278</v>
      </c>
      <c r="B330" s="75">
        <f t="shared" si="69"/>
        <v>0.49999999999999972</v>
      </c>
      <c r="C330" s="76"/>
      <c r="D330" s="77"/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46278</v>
      </c>
      <c r="B331" s="83">
        <f t="shared" si="69"/>
        <v>0.54166666666666641</v>
      </c>
      <c r="C331" s="76"/>
      <c r="D331" s="77"/>
      <c r="E331" s="77"/>
      <c r="F331" s="78"/>
      <c r="G331" s="84" t="str">
        <f t="shared" si="67"/>
        <v/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46278</v>
      </c>
      <c r="B332" s="75">
        <f t="shared" si="69"/>
        <v>0.58333333333333304</v>
      </c>
      <c r="C332" s="76"/>
      <c r="D332" s="77"/>
      <c r="E332" s="77"/>
      <c r="F332" s="78"/>
      <c r="G332" s="79" t="str">
        <f t="shared" si="67"/>
        <v/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46278</v>
      </c>
      <c r="B333" s="83">
        <f t="shared" si="69"/>
        <v>0.62499999999999967</v>
      </c>
      <c r="C333" s="76"/>
      <c r="D333" s="77"/>
      <c r="E333" s="77"/>
      <c r="F333" s="78"/>
      <c r="G333" s="84" t="str">
        <f t="shared" si="67"/>
        <v/>
      </c>
      <c r="H333" s="85"/>
      <c r="I333" s="85"/>
      <c r="J333" s="85"/>
      <c r="K333" s="80"/>
      <c r="L333" s="80"/>
      <c r="M333" s="86" t="str">
        <f t="shared" ca="1" si="68"/>
        <v/>
      </c>
      <c r="N333" s="95"/>
      <c r="O333" s="96"/>
    </row>
    <row r="334" spans="1:15" ht="15" customHeight="1">
      <c r="A334" s="74">
        <v>46278</v>
      </c>
      <c r="B334" s="75">
        <f t="shared" si="69"/>
        <v>0.6666666666666663</v>
      </c>
      <c r="C334" s="76"/>
      <c r="D334" s="77"/>
      <c r="E334" s="77"/>
      <c r="F334" s="78"/>
      <c r="G334" s="79" t="str">
        <f t="shared" si="67"/>
        <v/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46278</v>
      </c>
      <c r="B335" s="83">
        <f t="shared" si="69"/>
        <v>0.70833333333333293</v>
      </c>
      <c r="C335" s="76"/>
      <c r="D335" s="77"/>
      <c r="E335" s="77"/>
      <c r="F335" s="78"/>
      <c r="G335" s="84" t="str">
        <f t="shared" si="67"/>
        <v/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46278</v>
      </c>
      <c r="B336" s="75">
        <f t="shared" si="69"/>
        <v>0.74999999999999956</v>
      </c>
      <c r="C336" s="76"/>
      <c r="D336" s="77"/>
      <c r="E336" s="77"/>
      <c r="F336" s="78"/>
      <c r="G336" s="79" t="str">
        <f t="shared" si="67"/>
        <v/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46278</v>
      </c>
      <c r="B337" s="83">
        <f t="shared" si="69"/>
        <v>0.79166666666666619</v>
      </c>
      <c r="C337" s="76"/>
      <c r="D337" s="77"/>
      <c r="E337" s="77"/>
      <c r="F337" s="78"/>
      <c r="G337" s="84" t="str">
        <f t="shared" si="67"/>
        <v/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73" t="s">
        <v>52</v>
      </c>
      <c r="B338" s="173"/>
      <c r="C338" s="173"/>
      <c r="D338" s="173"/>
      <c r="E338" s="173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53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0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1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46278</v>
      </c>
      <c r="B341" s="83">
        <f t="shared" si="71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46278</v>
      </c>
      <c r="B342" s="75">
        <f t="shared" si="71"/>
        <v>0.95833333333333293</v>
      </c>
      <c r="C342" s="85"/>
      <c r="D342" s="90"/>
      <c r="E342" s="90"/>
      <c r="F342" s="78"/>
      <c r="G342" s="79" t="str">
        <f t="shared" ref="G342:G350" si="72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46278</v>
      </c>
      <c r="B343" s="83">
        <f t="shared" si="71"/>
        <v>0.99999999999999956</v>
      </c>
      <c r="C343" s="85"/>
      <c r="D343" s="90"/>
      <c r="E343" s="90"/>
      <c r="F343" s="78"/>
      <c r="G343" s="84" t="str">
        <f t="shared" si="72"/>
        <v/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46278</v>
      </c>
      <c r="B344" s="75">
        <f t="shared" si="71"/>
        <v>1.0416666666666663</v>
      </c>
      <c r="C344" s="85"/>
      <c r="D344" s="90"/>
      <c r="E344" s="90"/>
      <c r="F344" s="78"/>
      <c r="G344" s="79" t="str">
        <f t="shared" si="72"/>
        <v/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46278</v>
      </c>
      <c r="B345" s="83">
        <f t="shared" si="71"/>
        <v>1.083333333333333</v>
      </c>
      <c r="C345" s="85"/>
      <c r="D345" s="90"/>
      <c r="E345" s="90"/>
      <c r="F345" s="78"/>
      <c r="G345" s="84" t="str">
        <f t="shared" si="72"/>
        <v/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46278</v>
      </c>
      <c r="B346" s="75">
        <f t="shared" si="71"/>
        <v>1.1249999999999998</v>
      </c>
      <c r="C346" s="85"/>
      <c r="D346" s="90"/>
      <c r="E346" s="90"/>
      <c r="F346" s="78"/>
      <c r="G346" s="79" t="str">
        <f t="shared" si="72"/>
        <v/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46278</v>
      </c>
      <c r="B347" s="83">
        <f t="shared" si="71"/>
        <v>1.1666666666666665</v>
      </c>
      <c r="C347" s="85"/>
      <c r="D347" s="90"/>
      <c r="E347" s="90"/>
      <c r="F347" s="78"/>
      <c r="G347" s="84" t="str">
        <f t="shared" si="72"/>
        <v/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46278</v>
      </c>
      <c r="B348" s="75">
        <f t="shared" si="71"/>
        <v>1.2083333333333333</v>
      </c>
      <c r="C348" s="85"/>
      <c r="D348" s="90"/>
      <c r="E348" s="90"/>
      <c r="F348" s="78"/>
      <c r="G348" s="79" t="str">
        <f t="shared" si="72"/>
        <v/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46278</v>
      </c>
      <c r="B349" s="83">
        <f t="shared" si="71"/>
        <v>1.25</v>
      </c>
      <c r="C349" s="85"/>
      <c r="D349" s="90"/>
      <c r="E349" s="90"/>
      <c r="F349" s="78"/>
      <c r="G349" s="84" t="str">
        <f t="shared" si="72"/>
        <v/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46278</v>
      </c>
      <c r="B350" s="75">
        <f t="shared" si="71"/>
        <v>1.2916666666666667</v>
      </c>
      <c r="C350" s="85"/>
      <c r="D350" s="90"/>
      <c r="E350" s="90"/>
      <c r="F350" s="78"/>
      <c r="G350" s="79" t="str">
        <f t="shared" si="72"/>
        <v/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73" t="s">
        <v>59</v>
      </c>
      <c r="B351" s="173"/>
      <c r="C351" s="173"/>
      <c r="D351" s="173"/>
      <c r="E351" s="173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53</v>
      </c>
      <c r="O351" s="89"/>
    </row>
    <row r="352" spans="1:15" ht="18" customHeight="1">
      <c r="A352" s="174" t="s">
        <v>29</v>
      </c>
      <c r="B352" s="174"/>
      <c r="C352" s="174"/>
      <c r="D352" s="174"/>
      <c r="E352" s="174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60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3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74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75">B353+TIME(0,60,0)</f>
        <v>0.37499999999999967</v>
      </c>
      <c r="C354" s="85"/>
      <c r="D354" s="90"/>
      <c r="E354" s="90"/>
      <c r="F354" s="78"/>
      <c r="G354" s="79" t="str">
        <f t="shared" si="73"/>
        <v/>
      </c>
      <c r="H354" s="76"/>
      <c r="I354" s="76"/>
      <c r="J354" s="76"/>
      <c r="K354" s="80"/>
      <c r="L354" s="80"/>
      <c r="M354" s="81" t="str">
        <f t="shared" ca="1" si="74"/>
        <v/>
      </c>
      <c r="N354" s="95"/>
      <c r="O354" s="96"/>
    </row>
    <row r="355" spans="1:15" ht="15" customHeight="1">
      <c r="A355" s="18">
        <v>46279</v>
      </c>
      <c r="B355" s="83">
        <f t="shared" si="75"/>
        <v>0.41666666666666635</v>
      </c>
      <c r="C355" s="85"/>
      <c r="D355" s="90"/>
      <c r="E355" s="90"/>
      <c r="F355" s="78"/>
      <c r="G355" s="84" t="str">
        <f t="shared" si="73"/>
        <v/>
      </c>
      <c r="H355" s="85"/>
      <c r="I355" s="85"/>
      <c r="J355" s="85"/>
      <c r="K355" s="80"/>
      <c r="L355" s="80"/>
      <c r="M355" s="86" t="str">
        <f t="shared" ca="1" si="74"/>
        <v/>
      </c>
      <c r="N355" s="95"/>
      <c r="O355" s="96"/>
    </row>
    <row r="356" spans="1:15" ht="15" customHeight="1">
      <c r="A356" s="74">
        <v>46279</v>
      </c>
      <c r="B356" s="75">
        <f t="shared" si="75"/>
        <v>0.45833333333333304</v>
      </c>
      <c r="C356" s="85"/>
      <c r="D356" s="90"/>
      <c r="E356" s="90"/>
      <c r="F356" s="78"/>
      <c r="G356" s="79" t="str">
        <f t="shared" si="73"/>
        <v/>
      </c>
      <c r="H356" s="76"/>
      <c r="I356" s="76"/>
      <c r="J356" s="76"/>
      <c r="K356" s="80"/>
      <c r="L356" s="80"/>
      <c r="M356" s="81" t="str">
        <f t="shared" ca="1" si="74"/>
        <v/>
      </c>
      <c r="N356" s="95"/>
      <c r="O356" s="96"/>
    </row>
    <row r="357" spans="1:15" ht="15" customHeight="1">
      <c r="A357" s="18">
        <v>46279</v>
      </c>
      <c r="B357" s="83">
        <f t="shared" si="75"/>
        <v>0.49999999999999972</v>
      </c>
      <c r="C357" s="85"/>
      <c r="D357" s="90"/>
      <c r="E357" s="90"/>
      <c r="F357" s="78"/>
      <c r="G357" s="84" t="str">
        <f t="shared" si="73"/>
        <v/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46279</v>
      </c>
      <c r="B358" s="75">
        <f t="shared" si="75"/>
        <v>0.54166666666666641</v>
      </c>
      <c r="C358" s="85"/>
      <c r="D358" s="90"/>
      <c r="E358" s="90"/>
      <c r="F358" s="78"/>
      <c r="G358" s="79" t="str">
        <f t="shared" si="73"/>
        <v/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46279</v>
      </c>
      <c r="B359" s="83">
        <f t="shared" si="75"/>
        <v>0.58333333333333304</v>
      </c>
      <c r="C359" s="85"/>
      <c r="D359" s="90"/>
      <c r="E359" s="90"/>
      <c r="F359" s="78"/>
      <c r="G359" s="84" t="str">
        <f t="shared" si="73"/>
        <v/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46279</v>
      </c>
      <c r="B360" s="75">
        <f t="shared" si="75"/>
        <v>0.62499999999999967</v>
      </c>
      <c r="C360" s="85"/>
      <c r="D360" s="90"/>
      <c r="E360" s="90"/>
      <c r="F360" s="78"/>
      <c r="G360" s="79" t="str">
        <f t="shared" si="73"/>
        <v/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46279</v>
      </c>
      <c r="B361" s="83">
        <f t="shared" si="75"/>
        <v>0.6666666666666663</v>
      </c>
      <c r="C361" s="85"/>
      <c r="D361" s="90"/>
      <c r="E361" s="90"/>
      <c r="F361" s="78"/>
      <c r="G361" s="84" t="str">
        <f t="shared" si="73"/>
        <v/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46279</v>
      </c>
      <c r="B362" s="75">
        <f t="shared" si="75"/>
        <v>0.70833333333333293</v>
      </c>
      <c r="C362" s="85"/>
      <c r="D362" s="90"/>
      <c r="E362" s="90"/>
      <c r="F362" s="78"/>
      <c r="G362" s="79" t="str">
        <f t="shared" si="73"/>
        <v/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46279</v>
      </c>
      <c r="B363" s="83">
        <f t="shared" si="75"/>
        <v>0.74999999999999956</v>
      </c>
      <c r="C363" s="85"/>
      <c r="D363" s="90"/>
      <c r="E363" s="90"/>
      <c r="F363" s="78"/>
      <c r="G363" s="84" t="str">
        <f t="shared" si="73"/>
        <v/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46279</v>
      </c>
      <c r="B364" s="75">
        <f t="shared" si="75"/>
        <v>0.79166666666666619</v>
      </c>
      <c r="C364" s="85"/>
      <c r="D364" s="90"/>
      <c r="E364" s="90"/>
      <c r="F364" s="78"/>
      <c r="G364" s="79" t="str">
        <f t="shared" si="73"/>
        <v/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73" t="s">
        <v>52</v>
      </c>
      <c r="B365" s="173"/>
      <c r="C365" s="173"/>
      <c r="D365" s="173"/>
      <c r="E365" s="173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53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76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77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78">B366+TIME(0,60,0)</f>
        <v>0.87499999999999967</v>
      </c>
      <c r="C367" s="76"/>
      <c r="D367" s="77"/>
      <c r="E367" s="77"/>
      <c r="F367" s="78"/>
      <c r="G367" s="84" t="str">
        <f t="shared" si="76"/>
        <v/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46279</v>
      </c>
      <c r="B368" s="75">
        <f t="shared" si="78"/>
        <v>0.9166666666666663</v>
      </c>
      <c r="C368" s="76"/>
      <c r="D368" s="77"/>
      <c r="E368" s="77"/>
      <c r="F368" s="78"/>
      <c r="G368" s="79" t="str">
        <f t="shared" si="76"/>
        <v/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46279</v>
      </c>
      <c r="B369" s="83">
        <f t="shared" si="78"/>
        <v>0.95833333333333293</v>
      </c>
      <c r="C369" s="76"/>
      <c r="D369" s="77"/>
      <c r="E369" s="77"/>
      <c r="F369" s="78"/>
      <c r="G369" s="84" t="str">
        <f t="shared" si="76"/>
        <v/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46279</v>
      </c>
      <c r="B370" s="75">
        <f t="shared" si="78"/>
        <v>0.99999999999999956</v>
      </c>
      <c r="C370" s="76"/>
      <c r="D370" s="77"/>
      <c r="E370" s="77"/>
      <c r="F370" s="78"/>
      <c r="G370" s="79" t="str">
        <f t="shared" si="76"/>
        <v/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46279</v>
      </c>
      <c r="B371" s="83">
        <f t="shared" si="78"/>
        <v>1.0416666666666663</v>
      </c>
      <c r="C371" s="76"/>
      <c r="D371" s="77"/>
      <c r="E371" s="77"/>
      <c r="F371" s="78"/>
      <c r="G371" s="84" t="str">
        <f t="shared" si="76"/>
        <v/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46279</v>
      </c>
      <c r="B372" s="75">
        <f t="shared" si="78"/>
        <v>1.083333333333333</v>
      </c>
      <c r="C372" s="76"/>
      <c r="D372" s="77"/>
      <c r="E372" s="77"/>
      <c r="F372" s="78"/>
      <c r="G372" s="79" t="str">
        <f t="shared" si="76"/>
        <v/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46279</v>
      </c>
      <c r="B373" s="83">
        <f t="shared" si="78"/>
        <v>1.1249999999999998</v>
      </c>
      <c r="C373" s="76"/>
      <c r="D373" s="77"/>
      <c r="E373" s="77"/>
      <c r="F373" s="78"/>
      <c r="G373" s="84" t="str">
        <f t="shared" si="76"/>
        <v/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46279</v>
      </c>
      <c r="B374" s="75">
        <f t="shared" si="78"/>
        <v>1.1666666666666665</v>
      </c>
      <c r="C374" s="76"/>
      <c r="D374" s="77"/>
      <c r="E374" s="77"/>
      <c r="F374" s="78"/>
      <c r="G374" s="79" t="str">
        <f t="shared" si="76"/>
        <v/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46279</v>
      </c>
      <c r="B375" s="83">
        <f t="shared" si="78"/>
        <v>1.2083333333333333</v>
      </c>
      <c r="C375" s="76"/>
      <c r="D375" s="77"/>
      <c r="E375" s="77"/>
      <c r="F375" s="78"/>
      <c r="G375" s="84" t="str">
        <f t="shared" si="76"/>
        <v/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46279</v>
      </c>
      <c r="B376" s="75">
        <f t="shared" si="78"/>
        <v>1.25</v>
      </c>
      <c r="C376" s="76"/>
      <c r="D376" s="77"/>
      <c r="E376" s="77"/>
      <c r="F376" s="78"/>
      <c r="G376" s="79" t="str">
        <f t="shared" si="76"/>
        <v/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46279</v>
      </c>
      <c r="B377" s="83">
        <f t="shared" si="78"/>
        <v>1.2916666666666667</v>
      </c>
      <c r="C377" s="76"/>
      <c r="D377" s="77"/>
      <c r="E377" s="77"/>
      <c r="F377" s="78"/>
      <c r="G377" s="84" t="str">
        <f t="shared" si="76"/>
        <v/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73" t="s">
        <v>59</v>
      </c>
      <c r="B378" s="173"/>
      <c r="C378" s="173"/>
      <c r="D378" s="173"/>
      <c r="E378" s="173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53</v>
      </c>
      <c r="O378" s="89"/>
    </row>
    <row r="379" spans="1:15" ht="18" customHeight="1">
      <c r="A379" s="174" t="s">
        <v>29</v>
      </c>
      <c r="B379" s="174"/>
      <c r="C379" s="174"/>
      <c r="D379" s="174"/>
      <c r="E379" s="174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60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0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46280</v>
      </c>
      <c r="B382" s="75">
        <f t="shared" si="80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46280</v>
      </c>
      <c r="B383" s="83">
        <f t="shared" si="80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46280</v>
      </c>
      <c r="B384" s="75">
        <f t="shared" si="80"/>
        <v>0.49999999999999972</v>
      </c>
      <c r="C384" s="76"/>
      <c r="D384" s="77"/>
      <c r="E384" s="77"/>
      <c r="F384" s="78"/>
      <c r="G384" s="79" t="str">
        <f t="shared" ref="G384:G391" si="81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46280</v>
      </c>
      <c r="B385" s="83">
        <f t="shared" si="80"/>
        <v>0.54166666666666641</v>
      </c>
      <c r="C385" s="76"/>
      <c r="D385" s="77"/>
      <c r="E385" s="77"/>
      <c r="F385" s="78"/>
      <c r="G385" s="84" t="str">
        <f t="shared" si="81"/>
        <v/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46280</v>
      </c>
      <c r="B386" s="75">
        <f t="shared" si="80"/>
        <v>0.58333333333333304</v>
      </c>
      <c r="C386" s="76"/>
      <c r="D386" s="77"/>
      <c r="E386" s="77"/>
      <c r="F386" s="78"/>
      <c r="G386" s="79" t="str">
        <f t="shared" si="81"/>
        <v/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46280</v>
      </c>
      <c r="B387" s="83">
        <f t="shared" si="80"/>
        <v>0.62499999999999967</v>
      </c>
      <c r="C387" s="76"/>
      <c r="D387" s="77"/>
      <c r="E387" s="77"/>
      <c r="F387" s="78"/>
      <c r="G387" s="84" t="str">
        <f t="shared" si="81"/>
        <v/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46280</v>
      </c>
      <c r="B388" s="75">
        <f t="shared" si="80"/>
        <v>0.6666666666666663</v>
      </c>
      <c r="C388" s="76"/>
      <c r="D388" s="77"/>
      <c r="E388" s="77"/>
      <c r="F388" s="78"/>
      <c r="G388" s="79" t="str">
        <f t="shared" si="81"/>
        <v/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46280</v>
      </c>
      <c r="B389" s="83">
        <f t="shared" si="80"/>
        <v>0.70833333333333293</v>
      </c>
      <c r="C389" s="76"/>
      <c r="D389" s="77"/>
      <c r="E389" s="77"/>
      <c r="F389" s="78"/>
      <c r="G389" s="84" t="str">
        <f t="shared" si="81"/>
        <v/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46280</v>
      </c>
      <c r="B390" s="75">
        <f t="shared" si="80"/>
        <v>0.74999999999999956</v>
      </c>
      <c r="C390" s="76"/>
      <c r="D390" s="77"/>
      <c r="E390" s="77"/>
      <c r="F390" s="78"/>
      <c r="G390" s="79" t="str">
        <f t="shared" si="81"/>
        <v/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46280</v>
      </c>
      <c r="B391" s="83">
        <f t="shared" si="80"/>
        <v>0.79166666666666619</v>
      </c>
      <c r="C391" s="76"/>
      <c r="D391" s="77"/>
      <c r="E391" s="77"/>
      <c r="F391" s="78"/>
      <c r="G391" s="84" t="str">
        <f t="shared" si="81"/>
        <v/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73" t="s">
        <v>52</v>
      </c>
      <c r="B392" s="173"/>
      <c r="C392" s="173"/>
      <c r="D392" s="173"/>
      <c r="E392" s="173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53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2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3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84">B393+TIME(0,60,0)</f>
        <v>0.87499999999999967</v>
      </c>
      <c r="C394" s="85"/>
      <c r="D394" s="90"/>
      <c r="E394" s="90"/>
      <c r="F394" s="78"/>
      <c r="G394" s="79" t="str">
        <f t="shared" si="82"/>
        <v/>
      </c>
      <c r="H394" s="76"/>
      <c r="I394" s="76"/>
      <c r="J394" s="76"/>
      <c r="K394" s="80"/>
      <c r="L394" s="80"/>
      <c r="M394" s="81" t="str">
        <f t="shared" ca="1" si="83"/>
        <v/>
      </c>
      <c r="N394" s="95"/>
      <c r="O394" s="96"/>
    </row>
    <row r="395" spans="1:15" ht="15" customHeight="1">
      <c r="A395" s="18">
        <v>46280</v>
      </c>
      <c r="B395" s="83">
        <f t="shared" si="84"/>
        <v>0.9166666666666663</v>
      </c>
      <c r="C395" s="85"/>
      <c r="D395" s="90"/>
      <c r="E395" s="90"/>
      <c r="F395" s="78"/>
      <c r="G395" s="84" t="str">
        <f t="shared" si="82"/>
        <v/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46280</v>
      </c>
      <c r="B396" s="75">
        <f t="shared" si="84"/>
        <v>0.95833333333333293</v>
      </c>
      <c r="C396" s="85"/>
      <c r="D396" s="90"/>
      <c r="E396" s="90"/>
      <c r="F396" s="78"/>
      <c r="G396" s="79" t="str">
        <f t="shared" si="82"/>
        <v/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46280</v>
      </c>
      <c r="B397" s="83">
        <f t="shared" si="84"/>
        <v>0.99999999999999956</v>
      </c>
      <c r="C397" s="85"/>
      <c r="D397" s="90"/>
      <c r="E397" s="90"/>
      <c r="F397" s="78"/>
      <c r="G397" s="84" t="str">
        <f t="shared" si="82"/>
        <v/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46280</v>
      </c>
      <c r="B398" s="75">
        <f t="shared" si="84"/>
        <v>1.0416666666666663</v>
      </c>
      <c r="C398" s="85"/>
      <c r="D398" s="90"/>
      <c r="E398" s="90"/>
      <c r="F398" s="78"/>
      <c r="G398" s="79" t="str">
        <f t="shared" si="82"/>
        <v/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46280</v>
      </c>
      <c r="B399" s="83">
        <f t="shared" si="84"/>
        <v>1.083333333333333</v>
      </c>
      <c r="C399" s="85"/>
      <c r="D399" s="90"/>
      <c r="E399" s="90"/>
      <c r="F399" s="78"/>
      <c r="G399" s="84" t="str">
        <f t="shared" si="82"/>
        <v/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46280</v>
      </c>
      <c r="B400" s="75">
        <f t="shared" si="84"/>
        <v>1.1249999999999998</v>
      </c>
      <c r="C400" s="85"/>
      <c r="D400" s="90"/>
      <c r="E400" s="90"/>
      <c r="F400" s="78"/>
      <c r="G400" s="79" t="str">
        <f t="shared" si="82"/>
        <v/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46280</v>
      </c>
      <c r="B401" s="83">
        <f t="shared" si="84"/>
        <v>1.1666666666666665</v>
      </c>
      <c r="C401" s="85"/>
      <c r="D401" s="90"/>
      <c r="E401" s="90"/>
      <c r="F401" s="78"/>
      <c r="G401" s="84" t="str">
        <f t="shared" si="82"/>
        <v/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46280</v>
      </c>
      <c r="B402" s="75">
        <f t="shared" si="84"/>
        <v>1.2083333333333333</v>
      </c>
      <c r="C402" s="85"/>
      <c r="D402" s="90"/>
      <c r="E402" s="90"/>
      <c r="F402" s="78"/>
      <c r="G402" s="79" t="str">
        <f t="shared" si="82"/>
        <v/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46280</v>
      </c>
      <c r="B403" s="83">
        <f t="shared" si="84"/>
        <v>1.25</v>
      </c>
      <c r="C403" s="85"/>
      <c r="D403" s="90"/>
      <c r="E403" s="90"/>
      <c r="F403" s="78"/>
      <c r="G403" s="84" t="str">
        <f t="shared" si="82"/>
        <v/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46280</v>
      </c>
      <c r="B404" s="75">
        <f t="shared" si="84"/>
        <v>1.2916666666666667</v>
      </c>
      <c r="C404" s="85"/>
      <c r="D404" s="90"/>
      <c r="E404" s="90"/>
      <c r="F404" s="78"/>
      <c r="G404" s="79" t="str">
        <f t="shared" si="82"/>
        <v/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73" t="s">
        <v>59</v>
      </c>
      <c r="B405" s="173"/>
      <c r="C405" s="173"/>
      <c r="D405" s="173"/>
      <c r="E405" s="173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53</v>
      </c>
      <c r="O405" s="89"/>
    </row>
    <row r="406" spans="1:15" ht="18" customHeight="1">
      <c r="A406" s="174" t="s">
        <v>29</v>
      </c>
      <c r="B406" s="174"/>
      <c r="C406" s="174"/>
      <c r="D406" s="174"/>
      <c r="E406" s="174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60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85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86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87">B407+TIME(0,60,0)</f>
        <v>0.37499999999999967</v>
      </c>
      <c r="C408" s="85"/>
      <c r="D408" s="90"/>
      <c r="E408" s="90"/>
      <c r="F408" s="78"/>
      <c r="G408" s="79" t="str">
        <f t="shared" si="85"/>
        <v/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46281</v>
      </c>
      <c r="B409" s="83">
        <f t="shared" si="87"/>
        <v>0.41666666666666635</v>
      </c>
      <c r="C409" s="85"/>
      <c r="D409" s="90"/>
      <c r="E409" s="90"/>
      <c r="F409" s="78"/>
      <c r="G409" s="84" t="str">
        <f t="shared" si="85"/>
        <v/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46281</v>
      </c>
      <c r="B410" s="75">
        <f t="shared" si="87"/>
        <v>0.45833333333333304</v>
      </c>
      <c r="C410" s="85"/>
      <c r="D410" s="90"/>
      <c r="E410" s="90"/>
      <c r="F410" s="78"/>
      <c r="G410" s="79" t="str">
        <f t="shared" si="85"/>
        <v/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46281</v>
      </c>
      <c r="B411" s="83">
        <f t="shared" si="87"/>
        <v>0.49999999999999972</v>
      </c>
      <c r="C411" s="85"/>
      <c r="D411" s="90"/>
      <c r="E411" s="90"/>
      <c r="F411" s="78"/>
      <c r="G411" s="84" t="str">
        <f t="shared" si="85"/>
        <v/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46281</v>
      </c>
      <c r="B412" s="75">
        <f t="shared" si="87"/>
        <v>0.54166666666666641</v>
      </c>
      <c r="C412" s="85"/>
      <c r="D412" s="90"/>
      <c r="E412" s="90"/>
      <c r="F412" s="78"/>
      <c r="G412" s="79" t="str">
        <f t="shared" si="85"/>
        <v/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46281</v>
      </c>
      <c r="B413" s="83">
        <f t="shared" si="87"/>
        <v>0.58333333333333304</v>
      </c>
      <c r="C413" s="85"/>
      <c r="D413" s="90"/>
      <c r="E413" s="90"/>
      <c r="F413" s="78"/>
      <c r="G413" s="84" t="str">
        <f t="shared" si="85"/>
        <v/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46281</v>
      </c>
      <c r="B414" s="75">
        <f t="shared" si="87"/>
        <v>0.62499999999999967</v>
      </c>
      <c r="C414" s="85"/>
      <c r="D414" s="90"/>
      <c r="E414" s="90"/>
      <c r="F414" s="78"/>
      <c r="G414" s="79" t="str">
        <f t="shared" si="85"/>
        <v/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46281</v>
      </c>
      <c r="B415" s="83">
        <f t="shared" si="87"/>
        <v>0.6666666666666663</v>
      </c>
      <c r="C415" s="85"/>
      <c r="D415" s="90"/>
      <c r="E415" s="90"/>
      <c r="F415" s="78"/>
      <c r="G415" s="84" t="str">
        <f t="shared" si="85"/>
        <v/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46281</v>
      </c>
      <c r="B416" s="75">
        <f t="shared" si="87"/>
        <v>0.70833333333333293</v>
      </c>
      <c r="C416" s="85"/>
      <c r="D416" s="90"/>
      <c r="E416" s="90"/>
      <c r="F416" s="78"/>
      <c r="G416" s="79" t="str">
        <f t="shared" si="85"/>
        <v/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46281</v>
      </c>
      <c r="B417" s="83">
        <f t="shared" si="87"/>
        <v>0.74999999999999956</v>
      </c>
      <c r="C417" s="85"/>
      <c r="D417" s="90"/>
      <c r="E417" s="90"/>
      <c r="F417" s="78"/>
      <c r="G417" s="84" t="str">
        <f t="shared" si="85"/>
        <v/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46281</v>
      </c>
      <c r="B418" s="75">
        <f t="shared" si="87"/>
        <v>0.79166666666666619</v>
      </c>
      <c r="C418" s="85"/>
      <c r="D418" s="90"/>
      <c r="E418" s="90"/>
      <c r="F418" s="78"/>
      <c r="G418" s="79" t="str">
        <f t="shared" si="85"/>
        <v/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73" t="s">
        <v>52</v>
      </c>
      <c r="B419" s="173"/>
      <c r="C419" s="173"/>
      <c r="D419" s="173"/>
      <c r="E419" s="173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53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88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89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0">B420+TIME(0,60,0)</f>
        <v>0.87499999999999967</v>
      </c>
      <c r="C421" s="76"/>
      <c r="D421" s="77"/>
      <c r="E421" s="77"/>
      <c r="F421" s="78"/>
      <c r="G421" s="84" t="str">
        <f t="shared" si="88"/>
        <v/>
      </c>
      <c r="H421" s="85"/>
      <c r="I421" s="85"/>
      <c r="J421" s="85"/>
      <c r="K421" s="80"/>
      <c r="L421" s="80"/>
      <c r="M421" s="86" t="str">
        <f t="shared" ca="1" si="89"/>
        <v/>
      </c>
      <c r="N421" s="95"/>
      <c r="O421" s="96"/>
    </row>
    <row r="422" spans="1:15" ht="15" customHeight="1">
      <c r="A422" s="74">
        <v>46281</v>
      </c>
      <c r="B422" s="75">
        <f t="shared" si="90"/>
        <v>0.9166666666666663</v>
      </c>
      <c r="C422" s="76"/>
      <c r="D422" s="77"/>
      <c r="E422" s="77"/>
      <c r="F422" s="78"/>
      <c r="G422" s="79" t="str">
        <f t="shared" si="88"/>
        <v/>
      </c>
      <c r="H422" s="85"/>
      <c r="I422" s="85"/>
      <c r="J422" s="85"/>
      <c r="K422" s="80"/>
      <c r="L422" s="80"/>
      <c r="M422" s="81" t="str">
        <f t="shared" ca="1" si="89"/>
        <v/>
      </c>
      <c r="N422" s="95"/>
      <c r="O422" s="96"/>
    </row>
    <row r="423" spans="1:15" ht="15" customHeight="1">
      <c r="A423" s="18">
        <v>46281</v>
      </c>
      <c r="B423" s="83">
        <f t="shared" si="90"/>
        <v>0.95833333333333293</v>
      </c>
      <c r="C423" s="76"/>
      <c r="D423" s="77"/>
      <c r="E423" s="77"/>
      <c r="F423" s="78"/>
      <c r="G423" s="84" t="str">
        <f t="shared" si="88"/>
        <v/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46281</v>
      </c>
      <c r="B424" s="75">
        <f t="shared" si="90"/>
        <v>0.99999999999999956</v>
      </c>
      <c r="C424" s="76"/>
      <c r="D424" s="77"/>
      <c r="E424" s="77"/>
      <c r="F424" s="78"/>
      <c r="G424" s="79" t="str">
        <f t="shared" si="88"/>
        <v/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46281</v>
      </c>
      <c r="B425" s="83">
        <f t="shared" si="90"/>
        <v>1.0416666666666663</v>
      </c>
      <c r="C425" s="76"/>
      <c r="D425" s="77"/>
      <c r="E425" s="77"/>
      <c r="F425" s="78"/>
      <c r="G425" s="84" t="str">
        <f t="shared" si="88"/>
        <v/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46281</v>
      </c>
      <c r="B426" s="75">
        <f t="shared" si="90"/>
        <v>1.083333333333333</v>
      </c>
      <c r="C426" s="76"/>
      <c r="D426" s="77"/>
      <c r="E426" s="77"/>
      <c r="F426" s="78"/>
      <c r="G426" s="79" t="str">
        <f t="shared" si="88"/>
        <v/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46281</v>
      </c>
      <c r="B427" s="83">
        <f t="shared" si="90"/>
        <v>1.1249999999999998</v>
      </c>
      <c r="C427" s="76"/>
      <c r="D427" s="77"/>
      <c r="E427" s="77"/>
      <c r="F427" s="78"/>
      <c r="G427" s="84" t="str">
        <f t="shared" si="88"/>
        <v/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46281</v>
      </c>
      <c r="B428" s="75">
        <f t="shared" si="90"/>
        <v>1.1666666666666665</v>
      </c>
      <c r="C428" s="76"/>
      <c r="D428" s="77"/>
      <c r="E428" s="77"/>
      <c r="F428" s="78"/>
      <c r="G428" s="79" t="str">
        <f t="shared" si="88"/>
        <v/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46281</v>
      </c>
      <c r="B429" s="83">
        <f t="shared" si="90"/>
        <v>1.2083333333333333</v>
      </c>
      <c r="C429" s="76"/>
      <c r="D429" s="77"/>
      <c r="E429" s="77"/>
      <c r="F429" s="78"/>
      <c r="G429" s="84" t="str">
        <f t="shared" si="88"/>
        <v/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46281</v>
      </c>
      <c r="B430" s="75">
        <f t="shared" si="90"/>
        <v>1.25</v>
      </c>
      <c r="C430" s="76"/>
      <c r="D430" s="77"/>
      <c r="E430" s="77"/>
      <c r="F430" s="78"/>
      <c r="G430" s="79" t="str">
        <f t="shared" si="88"/>
        <v/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46281</v>
      </c>
      <c r="B431" s="83">
        <f t="shared" si="90"/>
        <v>1.2916666666666667</v>
      </c>
      <c r="C431" s="76"/>
      <c r="D431" s="77"/>
      <c r="E431" s="77"/>
      <c r="F431" s="78"/>
      <c r="G431" s="84" t="str">
        <f t="shared" si="88"/>
        <v/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73" t="s">
        <v>59</v>
      </c>
      <c r="B432" s="173"/>
      <c r="C432" s="173"/>
      <c r="D432" s="173"/>
      <c r="E432" s="173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53</v>
      </c>
      <c r="O432" s="89"/>
    </row>
    <row r="433" spans="1:15" ht="18" customHeight="1">
      <c r="A433" s="174" t="s">
        <v>29</v>
      </c>
      <c r="B433" s="174"/>
      <c r="C433" s="174"/>
      <c r="D433" s="174"/>
      <c r="E433" s="174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60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1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2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3">B434+TIME(0,60,0)</f>
        <v>0.37499999999999967</v>
      </c>
      <c r="C435" s="76"/>
      <c r="D435" s="77"/>
      <c r="E435" s="77"/>
      <c r="F435" s="78"/>
      <c r="G435" s="79" t="str">
        <f t="shared" si="91"/>
        <v/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46282</v>
      </c>
      <c r="B436" s="75">
        <f t="shared" si="93"/>
        <v>0.41666666666666635</v>
      </c>
      <c r="C436" s="76"/>
      <c r="D436" s="77"/>
      <c r="E436" s="77"/>
      <c r="F436" s="78"/>
      <c r="G436" s="79" t="str">
        <f t="shared" si="91"/>
        <v/>
      </c>
      <c r="H436" s="76"/>
      <c r="I436" s="85"/>
      <c r="J436" s="76"/>
      <c r="K436" s="80"/>
      <c r="L436" s="80"/>
      <c r="M436" s="81" t="str">
        <f t="shared" ca="1" si="92"/>
        <v/>
      </c>
      <c r="N436" s="95"/>
      <c r="O436" s="96"/>
    </row>
    <row r="437" spans="1:15" ht="15" customHeight="1">
      <c r="A437" s="18">
        <v>46282</v>
      </c>
      <c r="B437" s="83">
        <f t="shared" si="93"/>
        <v>0.45833333333333304</v>
      </c>
      <c r="C437" s="76"/>
      <c r="D437" s="77"/>
      <c r="E437" s="77"/>
      <c r="F437" s="78"/>
      <c r="G437" s="84" t="str">
        <f t="shared" si="91"/>
        <v/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46282</v>
      </c>
      <c r="B438" s="75">
        <f t="shared" si="93"/>
        <v>0.49999999999999972</v>
      </c>
      <c r="C438" s="76"/>
      <c r="D438" s="77"/>
      <c r="E438" s="77"/>
      <c r="F438" s="78"/>
      <c r="G438" s="79" t="str">
        <f t="shared" si="91"/>
        <v/>
      </c>
      <c r="H438" s="76"/>
      <c r="I438" s="76"/>
      <c r="J438" s="76"/>
      <c r="K438" s="80"/>
      <c r="L438" s="80"/>
      <c r="M438" s="81" t="str">
        <f t="shared" ca="1" si="92"/>
        <v/>
      </c>
      <c r="N438" s="95"/>
      <c r="O438" s="96"/>
    </row>
    <row r="439" spans="1:15" ht="15" customHeight="1">
      <c r="A439" s="18">
        <v>46282</v>
      </c>
      <c r="B439" s="83">
        <f t="shared" si="93"/>
        <v>0.54166666666666641</v>
      </c>
      <c r="C439" s="76"/>
      <c r="D439" s="77"/>
      <c r="E439" s="77"/>
      <c r="F439" s="78"/>
      <c r="G439" s="84" t="str">
        <f t="shared" si="91"/>
        <v/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46282</v>
      </c>
      <c r="B440" s="75">
        <f t="shared" si="93"/>
        <v>0.58333333333333304</v>
      </c>
      <c r="C440" s="76"/>
      <c r="D440" s="77"/>
      <c r="E440" s="77"/>
      <c r="F440" s="78"/>
      <c r="G440" s="79" t="str">
        <f t="shared" si="91"/>
        <v/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46282</v>
      </c>
      <c r="B441" s="83">
        <f t="shared" si="93"/>
        <v>0.62499999999999967</v>
      </c>
      <c r="C441" s="76"/>
      <c r="D441" s="77"/>
      <c r="E441" s="77"/>
      <c r="F441" s="78"/>
      <c r="G441" s="84" t="str">
        <f t="shared" si="91"/>
        <v/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46282</v>
      </c>
      <c r="B442" s="75">
        <f t="shared" si="93"/>
        <v>0.6666666666666663</v>
      </c>
      <c r="C442" s="76"/>
      <c r="D442" s="77"/>
      <c r="E442" s="77"/>
      <c r="F442" s="78"/>
      <c r="G442" s="79" t="str">
        <f t="shared" si="91"/>
        <v/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46282</v>
      </c>
      <c r="B443" s="83">
        <f t="shared" si="93"/>
        <v>0.70833333333333293</v>
      </c>
      <c r="C443" s="76"/>
      <c r="D443" s="77"/>
      <c r="E443" s="77"/>
      <c r="F443" s="78"/>
      <c r="G443" s="84" t="str">
        <f t="shared" si="91"/>
        <v/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46282</v>
      </c>
      <c r="B444" s="75">
        <f t="shared" si="93"/>
        <v>0.74999999999999956</v>
      </c>
      <c r="C444" s="76"/>
      <c r="D444" s="77"/>
      <c r="E444" s="77"/>
      <c r="F444" s="78"/>
      <c r="G444" s="79" t="str">
        <f t="shared" si="91"/>
        <v/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46282</v>
      </c>
      <c r="B445" s="83">
        <f t="shared" si="93"/>
        <v>0.79166666666666619</v>
      </c>
      <c r="C445" s="76"/>
      <c r="D445" s="77"/>
      <c r="E445" s="77"/>
      <c r="F445" s="78"/>
      <c r="G445" s="84" t="str">
        <f t="shared" si="91"/>
        <v/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73" t="s">
        <v>52</v>
      </c>
      <c r="B446" s="173"/>
      <c r="C446" s="173"/>
      <c r="D446" s="173"/>
      <c r="E446" s="173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53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94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95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96">B447+TIME(0,60,0)</f>
        <v>0.87499999999999967</v>
      </c>
      <c r="C448" s="85"/>
      <c r="D448" s="90"/>
      <c r="E448" s="90"/>
      <c r="F448" s="78"/>
      <c r="G448" s="79" t="str">
        <f t="shared" si="94"/>
        <v/>
      </c>
      <c r="H448" s="76"/>
      <c r="I448" s="76"/>
      <c r="J448" s="76"/>
      <c r="K448" s="80"/>
      <c r="L448" s="80"/>
      <c r="M448" s="81" t="str">
        <f t="shared" ca="1" si="95"/>
        <v/>
      </c>
      <c r="N448" s="95"/>
      <c r="O448" s="96"/>
    </row>
    <row r="449" spans="1:15" ht="15" customHeight="1">
      <c r="A449" s="18">
        <v>46282</v>
      </c>
      <c r="B449" s="83">
        <f t="shared" si="96"/>
        <v>0.9166666666666663</v>
      </c>
      <c r="C449" s="85"/>
      <c r="D449" s="90"/>
      <c r="E449" s="90"/>
      <c r="F449" s="78"/>
      <c r="G449" s="84" t="str">
        <f t="shared" si="94"/>
        <v/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46282</v>
      </c>
      <c r="B450" s="75">
        <f t="shared" si="96"/>
        <v>0.95833333333333293</v>
      </c>
      <c r="C450" s="85"/>
      <c r="D450" s="90"/>
      <c r="E450" s="90"/>
      <c r="F450" s="78"/>
      <c r="G450" s="79" t="str">
        <f t="shared" si="94"/>
        <v/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46282</v>
      </c>
      <c r="B451" s="83">
        <f t="shared" si="96"/>
        <v>0.99999999999999956</v>
      </c>
      <c r="C451" s="85"/>
      <c r="D451" s="90"/>
      <c r="E451" s="90"/>
      <c r="F451" s="78"/>
      <c r="G451" s="84" t="str">
        <f t="shared" si="94"/>
        <v/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46282</v>
      </c>
      <c r="B452" s="75">
        <f t="shared" si="96"/>
        <v>1.0416666666666663</v>
      </c>
      <c r="C452" s="85"/>
      <c r="D452" s="90"/>
      <c r="E452" s="90"/>
      <c r="F452" s="78"/>
      <c r="G452" s="79" t="str">
        <f t="shared" si="94"/>
        <v/>
      </c>
      <c r="H452" s="76"/>
      <c r="I452" s="76"/>
      <c r="J452" s="76"/>
      <c r="K452" s="80"/>
      <c r="L452" s="80"/>
      <c r="M452" s="81" t="str">
        <f t="shared" ca="1" si="95"/>
        <v/>
      </c>
      <c r="N452" s="95"/>
      <c r="O452" s="96"/>
    </row>
    <row r="453" spans="1:15" ht="15" customHeight="1">
      <c r="A453" s="18">
        <v>46282</v>
      </c>
      <c r="B453" s="83">
        <f t="shared" si="96"/>
        <v>1.083333333333333</v>
      </c>
      <c r="C453" s="85"/>
      <c r="D453" s="90"/>
      <c r="E453" s="90"/>
      <c r="F453" s="78"/>
      <c r="G453" s="79" t="str">
        <f t="shared" si="94"/>
        <v/>
      </c>
      <c r="H453" s="85"/>
      <c r="I453" s="85"/>
      <c r="J453" s="85"/>
      <c r="K453" s="80"/>
      <c r="L453" s="80"/>
      <c r="M453" s="86" t="str">
        <f t="shared" ca="1" si="95"/>
        <v/>
      </c>
      <c r="N453" s="95"/>
      <c r="O453" s="96"/>
    </row>
    <row r="454" spans="1:15" ht="15" customHeight="1">
      <c r="A454" s="74">
        <v>46282</v>
      </c>
      <c r="B454" s="75">
        <f t="shared" si="96"/>
        <v>1.1249999999999998</v>
      </c>
      <c r="C454" s="85"/>
      <c r="D454" s="90"/>
      <c r="E454" s="90"/>
      <c r="F454" s="78"/>
      <c r="G454" s="79" t="str">
        <f t="shared" si="94"/>
        <v/>
      </c>
      <c r="H454" s="76"/>
      <c r="I454" s="76"/>
      <c r="J454" s="76"/>
      <c r="K454" s="80"/>
      <c r="L454" s="80"/>
      <c r="M454" s="81" t="str">
        <f t="shared" ca="1" si="95"/>
        <v/>
      </c>
      <c r="N454" s="95"/>
      <c r="O454" s="96"/>
    </row>
    <row r="455" spans="1:15" ht="15" customHeight="1">
      <c r="A455" s="18">
        <v>46282</v>
      </c>
      <c r="B455" s="83">
        <f t="shared" si="96"/>
        <v>1.1666666666666665</v>
      </c>
      <c r="C455" s="85"/>
      <c r="D455" s="90"/>
      <c r="E455" s="90"/>
      <c r="F455" s="78"/>
      <c r="G455" s="79" t="str">
        <f t="shared" si="94"/>
        <v/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46282</v>
      </c>
      <c r="B456" s="75">
        <f t="shared" si="96"/>
        <v>1.2083333333333333</v>
      </c>
      <c r="C456" s="85"/>
      <c r="D456" s="90"/>
      <c r="E456" s="90"/>
      <c r="F456" s="78"/>
      <c r="G456" s="79" t="str">
        <f t="shared" si="94"/>
        <v/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46282</v>
      </c>
      <c r="B457" s="83">
        <f t="shared" si="96"/>
        <v>1.25</v>
      </c>
      <c r="C457" s="85"/>
      <c r="D457" s="90"/>
      <c r="E457" s="90"/>
      <c r="F457" s="78"/>
      <c r="G457" s="79" t="str">
        <f t="shared" si="94"/>
        <v/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46282</v>
      </c>
      <c r="B458" s="75">
        <f t="shared" si="96"/>
        <v>1.2916666666666667</v>
      </c>
      <c r="C458" s="85"/>
      <c r="D458" s="90"/>
      <c r="E458" s="90"/>
      <c r="F458" s="78"/>
      <c r="G458" s="79" t="str">
        <f t="shared" si="94"/>
        <v/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73" t="s">
        <v>59</v>
      </c>
      <c r="B459" s="173"/>
      <c r="C459" s="173"/>
      <c r="D459" s="173"/>
      <c r="E459" s="173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53</v>
      </c>
      <c r="O459" s="89"/>
    </row>
    <row r="460" spans="1:15" ht="18" customHeight="1">
      <c r="A460" s="174" t="s">
        <v>29</v>
      </c>
      <c r="B460" s="174"/>
      <c r="C460" s="174"/>
      <c r="D460" s="174"/>
      <c r="E460" s="174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60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97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98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99">B461+TIME(0,60,0)</f>
        <v>0.37499999999999967</v>
      </c>
      <c r="C462" s="85"/>
      <c r="D462" s="90"/>
      <c r="E462" s="90"/>
      <c r="F462" s="78"/>
      <c r="G462" s="79" t="str">
        <f t="shared" si="97"/>
        <v/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46283</v>
      </c>
      <c r="B463" s="83">
        <f t="shared" si="99"/>
        <v>0.41666666666666635</v>
      </c>
      <c r="C463" s="85"/>
      <c r="D463" s="90"/>
      <c r="E463" s="90"/>
      <c r="F463" s="78"/>
      <c r="G463" s="84" t="str">
        <f t="shared" si="97"/>
        <v/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46283</v>
      </c>
      <c r="B464" s="75">
        <f t="shared" si="99"/>
        <v>0.45833333333333304</v>
      </c>
      <c r="C464" s="85"/>
      <c r="D464" s="90"/>
      <c r="E464" s="90"/>
      <c r="F464" s="78"/>
      <c r="G464" s="79" t="str">
        <f t="shared" si="97"/>
        <v/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46283</v>
      </c>
      <c r="B465" s="83">
        <f t="shared" si="99"/>
        <v>0.49999999999999972</v>
      </c>
      <c r="C465" s="85"/>
      <c r="D465" s="90"/>
      <c r="E465" s="90"/>
      <c r="F465" s="78"/>
      <c r="G465" s="84" t="str">
        <f t="shared" si="97"/>
        <v/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46283</v>
      </c>
      <c r="B466" s="75">
        <f t="shared" si="99"/>
        <v>0.54166666666666641</v>
      </c>
      <c r="C466" s="85"/>
      <c r="D466" s="90"/>
      <c r="E466" s="90"/>
      <c r="F466" s="78"/>
      <c r="G466" s="79" t="str">
        <f t="shared" si="97"/>
        <v/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46283</v>
      </c>
      <c r="B467" s="83">
        <f t="shared" si="99"/>
        <v>0.58333333333333304</v>
      </c>
      <c r="C467" s="85"/>
      <c r="D467" s="90"/>
      <c r="E467" s="90"/>
      <c r="F467" s="78"/>
      <c r="G467" s="84" t="str">
        <f t="shared" si="97"/>
        <v/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46283</v>
      </c>
      <c r="B468" s="75">
        <f t="shared" si="99"/>
        <v>0.62499999999999967</v>
      </c>
      <c r="C468" s="85"/>
      <c r="D468" s="90"/>
      <c r="E468" s="90"/>
      <c r="F468" s="78"/>
      <c r="G468" s="79" t="str">
        <f t="shared" si="97"/>
        <v/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46283</v>
      </c>
      <c r="B469" s="83">
        <f t="shared" si="99"/>
        <v>0.6666666666666663</v>
      </c>
      <c r="C469" s="85"/>
      <c r="D469" s="90"/>
      <c r="E469" s="90"/>
      <c r="F469" s="78"/>
      <c r="G469" s="84" t="str">
        <f t="shared" si="97"/>
        <v/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46283</v>
      </c>
      <c r="B470" s="75">
        <f t="shared" si="99"/>
        <v>0.70833333333333293</v>
      </c>
      <c r="C470" s="85"/>
      <c r="D470" s="90"/>
      <c r="E470" s="90"/>
      <c r="F470" s="78"/>
      <c r="G470" s="79" t="str">
        <f t="shared" si="97"/>
        <v/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46283</v>
      </c>
      <c r="B471" s="83">
        <f t="shared" si="99"/>
        <v>0.74999999999999956</v>
      </c>
      <c r="C471" s="85"/>
      <c r="D471" s="90"/>
      <c r="E471" s="90"/>
      <c r="F471" s="78"/>
      <c r="G471" s="84" t="str">
        <f t="shared" si="97"/>
        <v/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46283</v>
      </c>
      <c r="B472" s="75">
        <f t="shared" si="99"/>
        <v>0.79166666666666619</v>
      </c>
      <c r="C472" s="85"/>
      <c r="D472" s="90"/>
      <c r="E472" s="90"/>
      <c r="F472" s="78"/>
      <c r="G472" s="79" t="str">
        <f t="shared" si="97"/>
        <v/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73" t="s">
        <v>52</v>
      </c>
      <c r="B473" s="173"/>
      <c r="C473" s="173"/>
      <c r="D473" s="173"/>
      <c r="E473" s="173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53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0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1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2">B474+TIME(0,60,0)</f>
        <v>0.87499999999999967</v>
      </c>
      <c r="C475" s="76"/>
      <c r="D475" s="77"/>
      <c r="E475" s="77"/>
      <c r="F475" s="78"/>
      <c r="G475" s="84" t="str">
        <f t="shared" si="100"/>
        <v/>
      </c>
      <c r="H475" s="85"/>
      <c r="I475" s="85"/>
      <c r="J475" s="85"/>
      <c r="K475" s="80"/>
      <c r="L475" s="80"/>
      <c r="M475" s="86" t="str">
        <f t="shared" ca="1" si="101"/>
        <v/>
      </c>
      <c r="N475" s="95"/>
      <c r="O475" s="96"/>
    </row>
    <row r="476" spans="1:15" ht="15" customHeight="1">
      <c r="A476" s="74">
        <v>46283</v>
      </c>
      <c r="B476" s="75">
        <f t="shared" si="102"/>
        <v>0.9166666666666663</v>
      </c>
      <c r="C476" s="76"/>
      <c r="D476" s="77"/>
      <c r="E476" s="77"/>
      <c r="F476" s="78"/>
      <c r="G476" s="79" t="str">
        <f t="shared" si="100"/>
        <v/>
      </c>
      <c r="H476" s="76"/>
      <c r="I476" s="76"/>
      <c r="J476" s="76"/>
      <c r="K476" s="80"/>
      <c r="L476" s="80"/>
      <c r="M476" s="81" t="str">
        <f t="shared" ca="1" si="101"/>
        <v/>
      </c>
      <c r="N476" s="95"/>
      <c r="O476" s="96"/>
    </row>
    <row r="477" spans="1:15" ht="15" customHeight="1">
      <c r="A477" s="18">
        <v>46283</v>
      </c>
      <c r="B477" s="83">
        <f t="shared" si="102"/>
        <v>0.95833333333333293</v>
      </c>
      <c r="C477" s="76"/>
      <c r="D477" s="77"/>
      <c r="E477" s="77"/>
      <c r="F477" s="78"/>
      <c r="G477" s="84" t="str">
        <f t="shared" si="100"/>
        <v/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46283</v>
      </c>
      <c r="B478" s="75">
        <f t="shared" si="102"/>
        <v>0.99999999999999956</v>
      </c>
      <c r="C478" s="76"/>
      <c r="D478" s="77"/>
      <c r="E478" s="77"/>
      <c r="F478" s="78"/>
      <c r="G478" s="79" t="str">
        <f t="shared" si="100"/>
        <v/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46283</v>
      </c>
      <c r="B479" s="83">
        <f t="shared" si="102"/>
        <v>1.0416666666666663</v>
      </c>
      <c r="C479" s="76"/>
      <c r="D479" s="77"/>
      <c r="E479" s="77"/>
      <c r="F479" s="78"/>
      <c r="G479" s="84" t="str">
        <f t="shared" si="100"/>
        <v/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46283</v>
      </c>
      <c r="B480" s="75">
        <f t="shared" si="102"/>
        <v>1.083333333333333</v>
      </c>
      <c r="C480" s="76"/>
      <c r="D480" s="77"/>
      <c r="E480" s="77"/>
      <c r="F480" s="78"/>
      <c r="G480" s="79" t="str">
        <f t="shared" si="100"/>
        <v/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46283</v>
      </c>
      <c r="B481" s="83">
        <f t="shared" si="102"/>
        <v>1.1249999999999998</v>
      </c>
      <c r="C481" s="76"/>
      <c r="D481" s="77"/>
      <c r="E481" s="77"/>
      <c r="F481" s="78"/>
      <c r="G481" s="84" t="str">
        <f t="shared" si="100"/>
        <v/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46283</v>
      </c>
      <c r="B482" s="75">
        <f t="shared" si="102"/>
        <v>1.1666666666666665</v>
      </c>
      <c r="C482" s="76"/>
      <c r="D482" s="77"/>
      <c r="E482" s="77"/>
      <c r="F482" s="78"/>
      <c r="G482" s="79" t="str">
        <f t="shared" si="100"/>
        <v/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46283</v>
      </c>
      <c r="B483" s="83">
        <f t="shared" si="102"/>
        <v>1.2083333333333333</v>
      </c>
      <c r="C483" s="76"/>
      <c r="D483" s="77"/>
      <c r="E483" s="77"/>
      <c r="F483" s="78"/>
      <c r="G483" s="84" t="str">
        <f t="shared" si="100"/>
        <v/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46283</v>
      </c>
      <c r="B484" s="75">
        <f t="shared" si="102"/>
        <v>1.25</v>
      </c>
      <c r="C484" s="76"/>
      <c r="D484" s="77"/>
      <c r="E484" s="77"/>
      <c r="F484" s="78"/>
      <c r="G484" s="79" t="str">
        <f t="shared" si="100"/>
        <v/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46283</v>
      </c>
      <c r="B485" s="83">
        <f t="shared" si="102"/>
        <v>1.2916666666666667</v>
      </c>
      <c r="C485" s="76"/>
      <c r="D485" s="77"/>
      <c r="E485" s="77"/>
      <c r="F485" s="78"/>
      <c r="G485" s="84" t="str">
        <f t="shared" si="100"/>
        <v/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73" t="s">
        <v>59</v>
      </c>
      <c r="B486" s="173"/>
      <c r="C486" s="173"/>
      <c r="D486" s="173"/>
      <c r="E486" s="173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53</v>
      </c>
      <c r="O486" s="89"/>
    </row>
    <row r="487" spans="1:15" ht="18" customHeight="1">
      <c r="A487" s="174" t="s">
        <v>29</v>
      </c>
      <c r="B487" s="174"/>
      <c r="C487" s="174"/>
      <c r="D487" s="174"/>
      <c r="E487" s="174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60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3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04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05">B488+TIME(0,60,0)</f>
        <v>0.37499999999999967</v>
      </c>
      <c r="C489" s="76"/>
      <c r="D489" s="77"/>
      <c r="E489" s="77"/>
      <c r="F489" s="78"/>
      <c r="G489" s="84" t="str">
        <f t="shared" si="103"/>
        <v/>
      </c>
      <c r="H489" s="100"/>
      <c r="I489" s="100"/>
      <c r="J489" s="85"/>
      <c r="K489" s="80"/>
      <c r="L489" s="80"/>
      <c r="M489" s="86" t="str">
        <f t="shared" ca="1" si="104"/>
        <v/>
      </c>
      <c r="N489" s="95"/>
      <c r="O489" s="96"/>
    </row>
    <row r="490" spans="1:15" ht="15" customHeight="1">
      <c r="A490" s="74">
        <v>46284</v>
      </c>
      <c r="B490" s="75">
        <f t="shared" si="105"/>
        <v>0.41666666666666635</v>
      </c>
      <c r="C490" s="76"/>
      <c r="D490" s="77"/>
      <c r="E490" s="77"/>
      <c r="F490" s="78"/>
      <c r="G490" s="79" t="str">
        <f t="shared" si="103"/>
        <v/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46284</v>
      </c>
      <c r="B491" s="83">
        <f t="shared" si="105"/>
        <v>0.45833333333333304</v>
      </c>
      <c r="C491" s="76"/>
      <c r="D491" s="77"/>
      <c r="E491" s="77"/>
      <c r="F491" s="78"/>
      <c r="G491" s="84" t="str">
        <f t="shared" si="103"/>
        <v/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46284</v>
      </c>
      <c r="B492" s="75">
        <f t="shared" si="105"/>
        <v>0.49999999999999972</v>
      </c>
      <c r="C492" s="76"/>
      <c r="D492" s="77"/>
      <c r="E492" s="77"/>
      <c r="F492" s="78"/>
      <c r="G492" s="79" t="str">
        <f t="shared" si="103"/>
        <v/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46284</v>
      </c>
      <c r="B493" s="83">
        <f t="shared" si="105"/>
        <v>0.54166666666666641</v>
      </c>
      <c r="C493" s="76"/>
      <c r="D493" s="77"/>
      <c r="E493" s="77"/>
      <c r="F493" s="78"/>
      <c r="G493" s="84" t="str">
        <f t="shared" si="103"/>
        <v/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46284</v>
      </c>
      <c r="B494" s="75">
        <f t="shared" si="105"/>
        <v>0.58333333333333304</v>
      </c>
      <c r="C494" s="76"/>
      <c r="D494" s="77"/>
      <c r="E494" s="77"/>
      <c r="F494" s="78"/>
      <c r="G494" s="79" t="str">
        <f t="shared" si="103"/>
        <v/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46284</v>
      </c>
      <c r="B495" s="83">
        <f t="shared" si="105"/>
        <v>0.62499999999999967</v>
      </c>
      <c r="C495" s="76"/>
      <c r="D495" s="77"/>
      <c r="E495" s="77"/>
      <c r="F495" s="78"/>
      <c r="G495" s="84" t="str">
        <f t="shared" si="103"/>
        <v/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46284</v>
      </c>
      <c r="B496" s="75">
        <f t="shared" si="105"/>
        <v>0.6666666666666663</v>
      </c>
      <c r="C496" s="76"/>
      <c r="D496" s="77"/>
      <c r="E496" s="77"/>
      <c r="F496" s="78"/>
      <c r="G496" s="79" t="str">
        <f t="shared" si="103"/>
        <v/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46284</v>
      </c>
      <c r="B497" s="83">
        <f t="shared" si="105"/>
        <v>0.70833333333333293</v>
      </c>
      <c r="C497" s="76"/>
      <c r="D497" s="77"/>
      <c r="E497" s="77"/>
      <c r="F497" s="78"/>
      <c r="G497" s="84" t="str">
        <f t="shared" si="103"/>
        <v/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46284</v>
      </c>
      <c r="B498" s="75">
        <f t="shared" si="105"/>
        <v>0.74999999999999956</v>
      </c>
      <c r="C498" s="76"/>
      <c r="D498" s="77"/>
      <c r="E498" s="77"/>
      <c r="F498" s="78"/>
      <c r="G498" s="79" t="str">
        <f t="shared" si="103"/>
        <v/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46284</v>
      </c>
      <c r="B499" s="83">
        <f t="shared" si="105"/>
        <v>0.79166666666666619</v>
      </c>
      <c r="C499" s="76"/>
      <c r="D499" s="77"/>
      <c r="E499" s="77"/>
      <c r="F499" s="78"/>
      <c r="G499" s="84" t="str">
        <f t="shared" si="103"/>
        <v/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73" t="s">
        <v>52</v>
      </c>
      <c r="B500" s="173"/>
      <c r="C500" s="173"/>
      <c r="D500" s="173"/>
      <c r="E500" s="173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53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06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07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08">B501+TIME(0,60,0)</f>
        <v>0.87499999999999967</v>
      </c>
      <c r="C502" s="85"/>
      <c r="D502" s="90"/>
      <c r="E502" s="90"/>
      <c r="F502" s="78"/>
      <c r="G502" s="79" t="str">
        <f t="shared" si="106"/>
        <v/>
      </c>
      <c r="H502" s="76"/>
      <c r="I502" s="76"/>
      <c r="J502" s="76"/>
      <c r="K502" s="80"/>
      <c r="L502" s="80"/>
      <c r="M502" s="81" t="str">
        <f t="shared" ca="1" si="107"/>
        <v/>
      </c>
      <c r="N502" s="95"/>
      <c r="O502" s="96"/>
    </row>
    <row r="503" spans="1:15" ht="15" customHeight="1">
      <c r="A503" s="18">
        <v>46284</v>
      </c>
      <c r="B503" s="83">
        <f t="shared" si="108"/>
        <v>0.9166666666666663</v>
      </c>
      <c r="C503" s="85"/>
      <c r="D503" s="90"/>
      <c r="E503" s="90"/>
      <c r="F503" s="78"/>
      <c r="G503" s="84" t="str">
        <f t="shared" si="106"/>
        <v/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46284</v>
      </c>
      <c r="B504" s="75">
        <f t="shared" si="108"/>
        <v>0.95833333333333293</v>
      </c>
      <c r="C504" s="85"/>
      <c r="D504" s="90"/>
      <c r="E504" s="90"/>
      <c r="F504" s="78"/>
      <c r="G504" s="79" t="str">
        <f t="shared" si="106"/>
        <v/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46284</v>
      </c>
      <c r="B505" s="83">
        <f t="shared" si="108"/>
        <v>0.99999999999999956</v>
      </c>
      <c r="C505" s="85"/>
      <c r="D505" s="90"/>
      <c r="E505" s="90"/>
      <c r="F505" s="78"/>
      <c r="G505" s="84" t="str">
        <f t="shared" si="106"/>
        <v/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46284</v>
      </c>
      <c r="B506" s="75">
        <f t="shared" si="108"/>
        <v>1.0416666666666663</v>
      </c>
      <c r="C506" s="85"/>
      <c r="D506" s="90"/>
      <c r="E506" s="90"/>
      <c r="F506" s="78"/>
      <c r="G506" s="79" t="str">
        <f t="shared" si="106"/>
        <v/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46284</v>
      </c>
      <c r="B507" s="83">
        <f t="shared" si="108"/>
        <v>1.083333333333333</v>
      </c>
      <c r="C507" s="85"/>
      <c r="D507" s="90"/>
      <c r="E507" s="90"/>
      <c r="F507" s="78"/>
      <c r="G507" s="84" t="str">
        <f t="shared" si="106"/>
        <v/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46284</v>
      </c>
      <c r="B508" s="75">
        <f t="shared" si="108"/>
        <v>1.1249999999999998</v>
      </c>
      <c r="C508" s="85"/>
      <c r="D508" s="90"/>
      <c r="E508" s="90"/>
      <c r="F508" s="78"/>
      <c r="G508" s="79" t="str">
        <f t="shared" si="106"/>
        <v/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46284</v>
      </c>
      <c r="B509" s="83">
        <f t="shared" si="108"/>
        <v>1.1666666666666665</v>
      </c>
      <c r="C509" s="85"/>
      <c r="D509" s="90"/>
      <c r="E509" s="90"/>
      <c r="F509" s="78"/>
      <c r="G509" s="84" t="str">
        <f t="shared" si="106"/>
        <v/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46284</v>
      </c>
      <c r="B510" s="75">
        <f t="shared" si="108"/>
        <v>1.2083333333333333</v>
      </c>
      <c r="C510" s="85"/>
      <c r="D510" s="90"/>
      <c r="E510" s="90"/>
      <c r="F510" s="78"/>
      <c r="G510" s="79" t="str">
        <f t="shared" si="106"/>
        <v/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46284</v>
      </c>
      <c r="B511" s="83">
        <f t="shared" si="108"/>
        <v>1.25</v>
      </c>
      <c r="C511" s="85"/>
      <c r="D511" s="90"/>
      <c r="E511" s="90"/>
      <c r="F511" s="78"/>
      <c r="G511" s="84" t="str">
        <f t="shared" si="106"/>
        <v/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46284</v>
      </c>
      <c r="B512" s="75">
        <f t="shared" si="108"/>
        <v>1.2916666666666667</v>
      </c>
      <c r="C512" s="85"/>
      <c r="D512" s="90"/>
      <c r="E512" s="90"/>
      <c r="F512" s="78"/>
      <c r="G512" s="79" t="str">
        <f t="shared" si="106"/>
        <v/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73" t="s">
        <v>59</v>
      </c>
      <c r="B513" s="173"/>
      <c r="C513" s="173"/>
      <c r="D513" s="173"/>
      <c r="E513" s="173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53</v>
      </c>
      <c r="O513" s="89"/>
    </row>
    <row r="514" spans="1:15" ht="18" customHeight="1">
      <c r="A514" s="174" t="s">
        <v>29</v>
      </c>
      <c r="B514" s="174"/>
      <c r="C514" s="174"/>
      <c r="D514" s="174"/>
      <c r="E514" s="174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60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09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0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1">B515+TIME(0,60,0)</f>
        <v>0.37499999999999967</v>
      </c>
      <c r="C516" s="85"/>
      <c r="D516" s="90"/>
      <c r="E516" s="90"/>
      <c r="F516" s="78"/>
      <c r="G516" s="79" t="str">
        <f t="shared" si="109"/>
        <v/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46285</v>
      </c>
      <c r="B517" s="83">
        <f t="shared" si="111"/>
        <v>0.41666666666666635</v>
      </c>
      <c r="C517" s="85"/>
      <c r="D517" s="90"/>
      <c r="E517" s="90"/>
      <c r="F517" s="78"/>
      <c r="G517" s="84" t="str">
        <f t="shared" si="109"/>
        <v/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46285</v>
      </c>
      <c r="B518" s="75">
        <f t="shared" si="111"/>
        <v>0.45833333333333304</v>
      </c>
      <c r="C518" s="85"/>
      <c r="D518" s="90"/>
      <c r="E518" s="90"/>
      <c r="F518" s="78"/>
      <c r="G518" s="79" t="str">
        <f t="shared" si="109"/>
        <v/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46285</v>
      </c>
      <c r="B519" s="83">
        <f t="shared" si="111"/>
        <v>0.49999999999999972</v>
      </c>
      <c r="C519" s="85"/>
      <c r="D519" s="90"/>
      <c r="E519" s="90"/>
      <c r="F519" s="78"/>
      <c r="G519" s="84" t="str">
        <f t="shared" si="109"/>
        <v/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46285</v>
      </c>
      <c r="B520" s="75">
        <f t="shared" si="111"/>
        <v>0.54166666666666641</v>
      </c>
      <c r="C520" s="85"/>
      <c r="D520" s="90"/>
      <c r="E520" s="90"/>
      <c r="F520" s="78"/>
      <c r="G520" s="79" t="str">
        <f t="shared" si="109"/>
        <v/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46285</v>
      </c>
      <c r="B521" s="83">
        <f t="shared" si="111"/>
        <v>0.58333333333333304</v>
      </c>
      <c r="C521" s="85"/>
      <c r="D521" s="90"/>
      <c r="E521" s="90"/>
      <c r="F521" s="78"/>
      <c r="G521" s="84" t="str">
        <f t="shared" si="109"/>
        <v/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46285</v>
      </c>
      <c r="B522" s="75">
        <f t="shared" si="111"/>
        <v>0.62499999999999967</v>
      </c>
      <c r="C522" s="85"/>
      <c r="D522" s="90"/>
      <c r="E522" s="90"/>
      <c r="F522" s="78"/>
      <c r="G522" s="79" t="str">
        <f t="shared" si="109"/>
        <v/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46285</v>
      </c>
      <c r="B523" s="83">
        <f t="shared" si="111"/>
        <v>0.6666666666666663</v>
      </c>
      <c r="C523" s="85"/>
      <c r="D523" s="90"/>
      <c r="E523" s="90"/>
      <c r="F523" s="78"/>
      <c r="G523" s="84" t="str">
        <f t="shared" si="109"/>
        <v/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46285</v>
      </c>
      <c r="B524" s="75">
        <f t="shared" si="111"/>
        <v>0.70833333333333293</v>
      </c>
      <c r="C524" s="85"/>
      <c r="D524" s="90"/>
      <c r="E524" s="90"/>
      <c r="F524" s="78"/>
      <c r="G524" s="79" t="str">
        <f t="shared" si="109"/>
        <v/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46285</v>
      </c>
      <c r="B525" s="83">
        <f t="shared" si="111"/>
        <v>0.74999999999999956</v>
      </c>
      <c r="C525" s="85"/>
      <c r="D525" s="90"/>
      <c r="E525" s="90"/>
      <c r="F525" s="78"/>
      <c r="G525" s="84" t="str">
        <f t="shared" si="109"/>
        <v/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46285</v>
      </c>
      <c r="B526" s="75">
        <f t="shared" si="111"/>
        <v>0.79166666666666619</v>
      </c>
      <c r="C526" s="85"/>
      <c r="D526" s="90"/>
      <c r="E526" s="90"/>
      <c r="F526" s="78"/>
      <c r="G526" s="79" t="str">
        <f t="shared" si="109"/>
        <v/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73" t="s">
        <v>52</v>
      </c>
      <c r="B527" s="173"/>
      <c r="C527" s="173"/>
      <c r="D527" s="173"/>
      <c r="E527" s="173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53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2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3">B528+TIME(0,60,0)</f>
        <v>0.87499999999999967</v>
      </c>
      <c r="C529" s="76"/>
      <c r="D529" s="77"/>
      <c r="E529" s="77"/>
      <c r="F529" s="78"/>
      <c r="G529" s="84" t="str">
        <f t="shared" si="112"/>
        <v/>
      </c>
      <c r="H529" s="85"/>
      <c r="I529" s="85"/>
      <c r="J529" s="85"/>
      <c r="K529" s="80"/>
      <c r="L529" s="80"/>
      <c r="M529" s="86" t="str">
        <f t="shared" ref="M529:M539" ca="1" si="114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3"/>
        <v>0.9166666666666663</v>
      </c>
      <c r="C530" s="76"/>
      <c r="D530" s="77"/>
      <c r="E530" s="77"/>
      <c r="F530" s="78"/>
      <c r="G530" s="79" t="str">
        <f t="shared" si="112"/>
        <v/>
      </c>
      <c r="H530" s="76"/>
      <c r="I530" s="76"/>
      <c r="J530" s="76"/>
      <c r="K530" s="80"/>
      <c r="L530" s="80"/>
      <c r="M530" s="81" t="str">
        <f t="shared" ca="1" si="114"/>
        <v/>
      </c>
      <c r="N530" s="95"/>
      <c r="O530" s="96"/>
    </row>
    <row r="531" spans="1:15" ht="15" customHeight="1">
      <c r="A531" s="18">
        <v>46285</v>
      </c>
      <c r="B531" s="83">
        <f t="shared" si="113"/>
        <v>0.95833333333333293</v>
      </c>
      <c r="C531" s="76"/>
      <c r="D531" s="77"/>
      <c r="E531" s="77"/>
      <c r="F531" s="78"/>
      <c r="G531" s="84" t="str">
        <f t="shared" si="112"/>
        <v/>
      </c>
      <c r="H531" s="85"/>
      <c r="I531" s="85"/>
      <c r="J531" s="85"/>
      <c r="K531" s="80"/>
      <c r="L531" s="80"/>
      <c r="M531" s="86" t="str">
        <f t="shared" ca="1" si="114"/>
        <v/>
      </c>
      <c r="N531" s="95"/>
      <c r="O531" s="96"/>
    </row>
    <row r="532" spans="1:15" ht="15" customHeight="1">
      <c r="A532" s="74">
        <v>46285</v>
      </c>
      <c r="B532" s="75">
        <f t="shared" si="113"/>
        <v>0.99999999999999956</v>
      </c>
      <c r="C532" s="76"/>
      <c r="D532" s="77"/>
      <c r="E532" s="77"/>
      <c r="F532" s="78"/>
      <c r="G532" s="79" t="str">
        <f t="shared" si="112"/>
        <v/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46285</v>
      </c>
      <c r="B533" s="83">
        <f t="shared" si="113"/>
        <v>1.0416666666666663</v>
      </c>
      <c r="C533" s="76"/>
      <c r="D533" s="77"/>
      <c r="E533" s="77"/>
      <c r="F533" s="78"/>
      <c r="G533" s="84" t="str">
        <f t="shared" si="112"/>
        <v/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46285</v>
      </c>
      <c r="B534" s="75">
        <f t="shared" si="113"/>
        <v>1.083333333333333</v>
      </c>
      <c r="C534" s="76"/>
      <c r="D534" s="77"/>
      <c r="E534" s="77"/>
      <c r="F534" s="78"/>
      <c r="G534" s="79" t="str">
        <f t="shared" si="112"/>
        <v/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46285</v>
      </c>
      <c r="B535" s="83">
        <f t="shared" si="113"/>
        <v>1.1249999999999998</v>
      </c>
      <c r="C535" s="76"/>
      <c r="D535" s="77"/>
      <c r="E535" s="77"/>
      <c r="F535" s="78"/>
      <c r="G535" s="84" t="str">
        <f t="shared" si="112"/>
        <v/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46285</v>
      </c>
      <c r="B536" s="75">
        <f t="shared" si="113"/>
        <v>1.1666666666666665</v>
      </c>
      <c r="C536" s="76"/>
      <c r="D536" s="77"/>
      <c r="E536" s="77"/>
      <c r="F536" s="78"/>
      <c r="G536" s="79" t="str">
        <f t="shared" si="112"/>
        <v/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46285</v>
      </c>
      <c r="B537" s="83">
        <f t="shared" si="113"/>
        <v>1.2083333333333333</v>
      </c>
      <c r="C537" s="76"/>
      <c r="D537" s="77"/>
      <c r="E537" s="77"/>
      <c r="F537" s="78"/>
      <c r="G537" s="84" t="str">
        <f t="shared" si="112"/>
        <v/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46285</v>
      </c>
      <c r="B538" s="75">
        <f t="shared" si="113"/>
        <v>1.25</v>
      </c>
      <c r="C538" s="76"/>
      <c r="D538" s="77"/>
      <c r="E538" s="77"/>
      <c r="F538" s="78"/>
      <c r="G538" s="79" t="str">
        <f t="shared" si="112"/>
        <v/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46285</v>
      </c>
      <c r="B539" s="83">
        <f t="shared" si="113"/>
        <v>1.2916666666666667</v>
      </c>
      <c r="C539" s="76"/>
      <c r="D539" s="77"/>
      <c r="E539" s="77"/>
      <c r="F539" s="78"/>
      <c r="G539" s="84" t="str">
        <f t="shared" si="112"/>
        <v/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73" t="s">
        <v>59</v>
      </c>
      <c r="B540" s="173"/>
      <c r="C540" s="173"/>
      <c r="D540" s="173"/>
      <c r="E540" s="173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53</v>
      </c>
      <c r="O540" s="89"/>
    </row>
    <row r="541" spans="1:15" ht="18" customHeight="1">
      <c r="A541" s="174" t="s">
        <v>29</v>
      </c>
      <c r="B541" s="174"/>
      <c r="C541" s="174"/>
      <c r="D541" s="174"/>
      <c r="E541" s="174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60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16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17">B542+TIME(0,60,0)</f>
        <v>0.37499999999999967</v>
      </c>
      <c r="C543" s="76"/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46286</v>
      </c>
      <c r="B544" s="75">
        <f t="shared" si="117"/>
        <v>0.41666666666666635</v>
      </c>
      <c r="C544" s="76"/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46286</v>
      </c>
      <c r="B545" s="83">
        <f t="shared" si="117"/>
        <v>0.45833333333333304</v>
      </c>
      <c r="C545" s="76"/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46286</v>
      </c>
      <c r="B546" s="75">
        <f t="shared" si="117"/>
        <v>0.49999999999999972</v>
      </c>
      <c r="C546" s="76"/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46286</v>
      </c>
      <c r="B547" s="83">
        <f t="shared" si="117"/>
        <v>0.54166666666666641</v>
      </c>
      <c r="C547" s="76"/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46286</v>
      </c>
      <c r="B548" s="75">
        <f t="shared" si="117"/>
        <v>0.58333333333333304</v>
      </c>
      <c r="C548" s="76"/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46286</v>
      </c>
      <c r="B549" s="83">
        <f t="shared" si="117"/>
        <v>0.62499999999999967</v>
      </c>
      <c r="C549" s="76"/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46286</v>
      </c>
      <c r="B550" s="75">
        <f t="shared" si="117"/>
        <v>0.6666666666666663</v>
      </c>
      <c r="C550" s="76"/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46286</v>
      </c>
      <c r="B551" s="83">
        <f t="shared" si="117"/>
        <v>0.70833333333333293</v>
      </c>
      <c r="C551" s="76"/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46286</v>
      </c>
      <c r="B552" s="75">
        <f t="shared" si="117"/>
        <v>0.74999999999999956</v>
      </c>
      <c r="C552" s="76"/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46286</v>
      </c>
      <c r="B553" s="83">
        <f t="shared" si="117"/>
        <v>0.79166666666666619</v>
      </c>
      <c r="C553" s="76"/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73" t="s">
        <v>52</v>
      </c>
      <c r="B554" s="173"/>
      <c r="C554" s="173"/>
      <c r="D554" s="173"/>
      <c r="E554" s="173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53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18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19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0">B555+TIME(0,60,0)</f>
        <v>0.87499999999999967</v>
      </c>
      <c r="C556" s="85"/>
      <c r="D556" s="90"/>
      <c r="E556" s="90"/>
      <c r="F556" s="78"/>
      <c r="G556" s="79" t="str">
        <f t="shared" si="118"/>
        <v/>
      </c>
      <c r="H556" s="76"/>
      <c r="I556" s="76"/>
      <c r="J556" s="76"/>
      <c r="K556" s="80"/>
      <c r="L556" s="80"/>
      <c r="M556" s="81" t="str">
        <f t="shared" ca="1" si="119"/>
        <v/>
      </c>
      <c r="N556" s="95"/>
      <c r="O556" s="96"/>
    </row>
    <row r="557" spans="1:15" ht="15" customHeight="1">
      <c r="A557" s="18">
        <v>46286</v>
      </c>
      <c r="B557" s="83">
        <f t="shared" si="120"/>
        <v>0.9166666666666663</v>
      </c>
      <c r="C557" s="85"/>
      <c r="D557" s="90"/>
      <c r="E557" s="90"/>
      <c r="F557" s="78"/>
      <c r="G557" s="84" t="str">
        <f t="shared" si="118"/>
        <v/>
      </c>
      <c r="H557" s="85"/>
      <c r="I557" s="85"/>
      <c r="J557" s="85"/>
      <c r="K557" s="80"/>
      <c r="L557" s="80"/>
      <c r="M557" s="86" t="str">
        <f t="shared" ca="1" si="119"/>
        <v/>
      </c>
      <c r="N557" s="95"/>
      <c r="O557" s="96"/>
    </row>
    <row r="558" spans="1:15" ht="15" customHeight="1">
      <c r="A558" s="74">
        <v>46286</v>
      </c>
      <c r="B558" s="75">
        <f t="shared" si="120"/>
        <v>0.95833333333333293</v>
      </c>
      <c r="C558" s="85"/>
      <c r="D558" s="90"/>
      <c r="E558" s="90"/>
      <c r="F558" s="78"/>
      <c r="G558" s="79" t="str">
        <f t="shared" si="118"/>
        <v/>
      </c>
      <c r="H558" s="76"/>
      <c r="I558" s="76"/>
      <c r="J558" s="76"/>
      <c r="K558" s="80"/>
      <c r="L558" s="80"/>
      <c r="M558" s="81" t="str">
        <f t="shared" ca="1" si="119"/>
        <v/>
      </c>
      <c r="N558" s="95"/>
      <c r="O558" s="96"/>
    </row>
    <row r="559" spans="1:15" ht="15" customHeight="1">
      <c r="A559" s="18">
        <v>46286</v>
      </c>
      <c r="B559" s="83">
        <f t="shared" si="120"/>
        <v>0.99999999999999956</v>
      </c>
      <c r="C559" s="85"/>
      <c r="D559" s="90"/>
      <c r="E559" s="90"/>
      <c r="F559" s="78"/>
      <c r="G559" s="84" t="str">
        <f t="shared" si="118"/>
        <v/>
      </c>
      <c r="H559" s="85"/>
      <c r="I559" s="85"/>
      <c r="J559" s="85"/>
      <c r="K559" s="80"/>
      <c r="L559" s="80"/>
      <c r="M559" s="86" t="str">
        <f t="shared" ca="1" si="119"/>
        <v/>
      </c>
      <c r="N559" s="95"/>
      <c r="O559" s="96"/>
    </row>
    <row r="560" spans="1:15" ht="15" customHeight="1">
      <c r="A560" s="74">
        <v>46286</v>
      </c>
      <c r="B560" s="75">
        <f t="shared" si="120"/>
        <v>1.0416666666666663</v>
      </c>
      <c r="C560" s="85"/>
      <c r="D560" s="90"/>
      <c r="E560" s="90"/>
      <c r="F560" s="78"/>
      <c r="G560" s="79" t="str">
        <f t="shared" si="118"/>
        <v/>
      </c>
      <c r="H560" s="76"/>
      <c r="I560" s="76"/>
      <c r="J560" s="76"/>
      <c r="K560" s="80"/>
      <c r="L560" s="80"/>
      <c r="M560" s="81" t="str">
        <f t="shared" ca="1" si="119"/>
        <v/>
      </c>
      <c r="N560" s="95"/>
      <c r="O560" s="96"/>
    </row>
    <row r="561" spans="1:15" ht="15" customHeight="1">
      <c r="A561" s="18">
        <v>46286</v>
      </c>
      <c r="B561" s="83">
        <f t="shared" si="120"/>
        <v>1.083333333333333</v>
      </c>
      <c r="C561" s="85"/>
      <c r="D561" s="90"/>
      <c r="E561" s="90"/>
      <c r="F561" s="78"/>
      <c r="G561" s="84" t="str">
        <f t="shared" si="118"/>
        <v/>
      </c>
      <c r="H561" s="85"/>
      <c r="I561" s="85"/>
      <c r="J561" s="85"/>
      <c r="K561" s="80"/>
      <c r="L561" s="80"/>
      <c r="M561" s="86" t="str">
        <f t="shared" ca="1" si="119"/>
        <v/>
      </c>
      <c r="N561" s="95"/>
      <c r="O561" s="96"/>
    </row>
    <row r="562" spans="1:15" ht="15" customHeight="1">
      <c r="A562" s="74">
        <v>46286</v>
      </c>
      <c r="B562" s="75">
        <f t="shared" si="120"/>
        <v>1.1249999999999998</v>
      </c>
      <c r="C562" s="85"/>
      <c r="D562" s="90"/>
      <c r="E562" s="90"/>
      <c r="F562" s="78"/>
      <c r="G562" s="79" t="str">
        <f t="shared" si="118"/>
        <v/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46286</v>
      </c>
      <c r="B563" s="83">
        <f t="shared" si="120"/>
        <v>1.1666666666666665</v>
      </c>
      <c r="C563" s="85"/>
      <c r="D563" s="90"/>
      <c r="E563" s="90"/>
      <c r="F563" s="78"/>
      <c r="G563" s="84" t="str">
        <f t="shared" si="118"/>
        <v/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46286</v>
      </c>
      <c r="B564" s="75">
        <f t="shared" si="120"/>
        <v>1.2083333333333333</v>
      </c>
      <c r="C564" s="85"/>
      <c r="D564" s="90"/>
      <c r="E564" s="90"/>
      <c r="F564" s="78"/>
      <c r="G564" s="79" t="str">
        <f t="shared" si="118"/>
        <v/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46286</v>
      </c>
      <c r="B565" s="83">
        <f t="shared" si="120"/>
        <v>1.25</v>
      </c>
      <c r="C565" s="85"/>
      <c r="D565" s="90"/>
      <c r="E565" s="90"/>
      <c r="F565" s="78"/>
      <c r="G565" s="84" t="str">
        <f t="shared" si="118"/>
        <v/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46286</v>
      </c>
      <c r="B566" s="75">
        <f t="shared" si="120"/>
        <v>1.2916666666666667</v>
      </c>
      <c r="C566" s="85"/>
      <c r="D566" s="90"/>
      <c r="E566" s="90"/>
      <c r="F566" s="78"/>
      <c r="G566" s="79" t="str">
        <f t="shared" si="118"/>
        <v/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73" t="s">
        <v>59</v>
      </c>
      <c r="B567" s="173"/>
      <c r="C567" s="173"/>
      <c r="D567" s="173"/>
      <c r="E567" s="173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53</v>
      </c>
      <c r="O567" s="89"/>
    </row>
    <row r="568" spans="1:15" ht="18" customHeight="1">
      <c r="A568" s="174" t="s">
        <v>29</v>
      </c>
      <c r="B568" s="174"/>
      <c r="C568" s="174"/>
      <c r="D568" s="174"/>
      <c r="E568" s="174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60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1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2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3">B569+TIME(0,60,0)</f>
        <v>0.37499999999999967</v>
      </c>
      <c r="C570" s="85"/>
      <c r="D570" s="90"/>
      <c r="E570" s="90"/>
      <c r="F570" s="78"/>
      <c r="G570" s="84" t="str">
        <f t="shared" si="121"/>
        <v/>
      </c>
      <c r="H570" s="76"/>
      <c r="I570" s="76"/>
      <c r="J570" s="76"/>
      <c r="K570" s="80"/>
      <c r="L570" s="80"/>
      <c r="M570" s="81" t="str">
        <f t="shared" ca="1" si="122"/>
        <v/>
      </c>
      <c r="N570" s="95"/>
      <c r="O570" s="96"/>
    </row>
    <row r="571" spans="1:15" ht="15" customHeight="1">
      <c r="A571" s="18">
        <v>46287</v>
      </c>
      <c r="B571" s="83">
        <f t="shared" si="123"/>
        <v>0.41666666666666635</v>
      </c>
      <c r="C571" s="85"/>
      <c r="D571" s="90"/>
      <c r="E571" s="90"/>
      <c r="F571" s="78"/>
      <c r="G571" s="84" t="str">
        <f t="shared" si="121"/>
        <v/>
      </c>
      <c r="H571" s="85"/>
      <c r="I571" s="85"/>
      <c r="J571" s="85"/>
      <c r="K571" s="80"/>
      <c r="L571" s="80"/>
      <c r="M571" s="86" t="str">
        <f t="shared" ca="1" si="122"/>
        <v/>
      </c>
      <c r="N571" s="95"/>
      <c r="O571" s="96"/>
    </row>
    <row r="572" spans="1:15" ht="15" customHeight="1">
      <c r="A572" s="74">
        <v>46287</v>
      </c>
      <c r="B572" s="75">
        <f t="shared" si="123"/>
        <v>0.45833333333333304</v>
      </c>
      <c r="C572" s="85"/>
      <c r="D572" s="90"/>
      <c r="E572" s="90"/>
      <c r="F572" s="78"/>
      <c r="G572" s="84" t="str">
        <f t="shared" si="121"/>
        <v/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46287</v>
      </c>
      <c r="B573" s="83">
        <f t="shared" si="123"/>
        <v>0.49999999999999972</v>
      </c>
      <c r="C573" s="85"/>
      <c r="D573" s="90"/>
      <c r="E573" s="90"/>
      <c r="F573" s="78"/>
      <c r="G573" s="84" t="str">
        <f t="shared" si="121"/>
        <v/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46287</v>
      </c>
      <c r="B574" s="75">
        <f t="shared" si="123"/>
        <v>0.54166666666666641</v>
      </c>
      <c r="C574" s="85"/>
      <c r="D574" s="90"/>
      <c r="E574" s="90"/>
      <c r="F574" s="78"/>
      <c r="G574" s="84" t="str">
        <f t="shared" si="121"/>
        <v/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46287</v>
      </c>
      <c r="B575" s="83">
        <f t="shared" si="123"/>
        <v>0.58333333333333304</v>
      </c>
      <c r="C575" s="85"/>
      <c r="D575" s="90"/>
      <c r="E575" s="90"/>
      <c r="F575" s="78"/>
      <c r="G575" s="84" t="str">
        <f t="shared" si="121"/>
        <v/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46287</v>
      </c>
      <c r="B576" s="75">
        <f t="shared" si="123"/>
        <v>0.62499999999999967</v>
      </c>
      <c r="C576" s="85"/>
      <c r="D576" s="90"/>
      <c r="E576" s="90"/>
      <c r="F576" s="78"/>
      <c r="G576" s="84" t="str">
        <f t="shared" si="121"/>
        <v/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46287</v>
      </c>
      <c r="B577" s="83">
        <f t="shared" si="123"/>
        <v>0.6666666666666663</v>
      </c>
      <c r="C577" s="85"/>
      <c r="D577" s="90"/>
      <c r="E577" s="90"/>
      <c r="F577" s="78"/>
      <c r="G577" s="84" t="str">
        <f t="shared" si="121"/>
        <v/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46287</v>
      </c>
      <c r="B578" s="75">
        <f t="shared" si="123"/>
        <v>0.70833333333333293</v>
      </c>
      <c r="C578" s="85"/>
      <c r="D578" s="90"/>
      <c r="E578" s="90"/>
      <c r="F578" s="78"/>
      <c r="G578" s="84" t="str">
        <f t="shared" si="121"/>
        <v/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46287</v>
      </c>
      <c r="B579" s="83">
        <f t="shared" si="123"/>
        <v>0.74999999999999956</v>
      </c>
      <c r="C579" s="85"/>
      <c r="D579" s="90"/>
      <c r="E579" s="90"/>
      <c r="F579" s="78"/>
      <c r="G579" s="84" t="str">
        <f t="shared" si="121"/>
        <v/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46287</v>
      </c>
      <c r="B580" s="75">
        <f t="shared" si="123"/>
        <v>0.79166666666666619</v>
      </c>
      <c r="C580" s="85"/>
      <c r="D580" s="90"/>
      <c r="E580" s="90"/>
      <c r="F580" s="78"/>
      <c r="G580" s="84" t="str">
        <f t="shared" si="121"/>
        <v/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73" t="s">
        <v>52</v>
      </c>
      <c r="B581" s="173"/>
      <c r="C581" s="173"/>
      <c r="D581" s="173"/>
      <c r="E581" s="173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53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24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25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26">B582+TIME(0,60,0)</f>
        <v>0.87499999999999967</v>
      </c>
      <c r="C583" s="76"/>
      <c r="D583" s="77"/>
      <c r="E583" s="77"/>
      <c r="F583" s="78"/>
      <c r="G583" s="84" t="str">
        <f t="shared" si="124"/>
        <v/>
      </c>
      <c r="H583" s="85"/>
      <c r="I583" s="85"/>
      <c r="J583" s="85"/>
      <c r="K583" s="80"/>
      <c r="L583" s="80"/>
      <c r="M583" s="86" t="str">
        <f t="shared" ca="1" si="125"/>
        <v/>
      </c>
      <c r="N583" s="95"/>
      <c r="O583" s="96"/>
    </row>
    <row r="584" spans="1:15" ht="15" customHeight="1">
      <c r="A584" s="74">
        <v>46287</v>
      </c>
      <c r="B584" s="75">
        <f t="shared" si="126"/>
        <v>0.9166666666666663</v>
      </c>
      <c r="C584" s="76"/>
      <c r="D584" s="77"/>
      <c r="E584" s="77"/>
      <c r="F584" s="78"/>
      <c r="G584" s="79" t="str">
        <f t="shared" si="124"/>
        <v/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46287</v>
      </c>
      <c r="B585" s="83">
        <f t="shared" si="126"/>
        <v>0.95833333333333293</v>
      </c>
      <c r="C585" s="76"/>
      <c r="D585" s="77"/>
      <c r="E585" s="77"/>
      <c r="F585" s="78"/>
      <c r="G585" s="84" t="str">
        <f t="shared" si="124"/>
        <v/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46287</v>
      </c>
      <c r="B586" s="75">
        <f t="shared" si="126"/>
        <v>0.99999999999999956</v>
      </c>
      <c r="C586" s="76"/>
      <c r="D586" s="77"/>
      <c r="E586" s="77"/>
      <c r="F586" s="78"/>
      <c r="G586" s="79" t="str">
        <f t="shared" si="124"/>
        <v/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46287</v>
      </c>
      <c r="B587" s="83">
        <f t="shared" si="126"/>
        <v>1.0416666666666663</v>
      </c>
      <c r="C587" s="76"/>
      <c r="D587" s="77"/>
      <c r="E587" s="77"/>
      <c r="F587" s="78"/>
      <c r="G587" s="84" t="str">
        <f t="shared" si="124"/>
        <v/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46287</v>
      </c>
      <c r="B588" s="75">
        <f t="shared" si="126"/>
        <v>1.083333333333333</v>
      </c>
      <c r="C588" s="76"/>
      <c r="D588" s="77"/>
      <c r="E588" s="77"/>
      <c r="F588" s="78"/>
      <c r="G588" s="79" t="str">
        <f t="shared" si="124"/>
        <v/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46287</v>
      </c>
      <c r="B589" s="83">
        <f t="shared" si="126"/>
        <v>1.1249999999999998</v>
      </c>
      <c r="C589" s="76"/>
      <c r="D589" s="77"/>
      <c r="E589" s="77"/>
      <c r="F589" s="78"/>
      <c r="G589" s="84" t="str">
        <f t="shared" si="124"/>
        <v/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46287</v>
      </c>
      <c r="B590" s="75">
        <f t="shared" si="126"/>
        <v>1.1666666666666665</v>
      </c>
      <c r="C590" s="76"/>
      <c r="D590" s="77"/>
      <c r="E590" s="77"/>
      <c r="F590" s="78"/>
      <c r="G590" s="79" t="str">
        <f t="shared" si="124"/>
        <v/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46287</v>
      </c>
      <c r="B591" s="83">
        <f t="shared" si="126"/>
        <v>1.2083333333333333</v>
      </c>
      <c r="C591" s="76"/>
      <c r="D591" s="77"/>
      <c r="E591" s="77"/>
      <c r="F591" s="78"/>
      <c r="G591" s="84" t="str">
        <f t="shared" si="124"/>
        <v/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46287</v>
      </c>
      <c r="B592" s="75">
        <f t="shared" si="126"/>
        <v>1.25</v>
      </c>
      <c r="C592" s="76"/>
      <c r="D592" s="77"/>
      <c r="E592" s="77"/>
      <c r="F592" s="78"/>
      <c r="G592" s="79" t="str">
        <f t="shared" si="124"/>
        <v/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46287</v>
      </c>
      <c r="B593" s="83">
        <f t="shared" si="126"/>
        <v>1.2916666666666667</v>
      </c>
      <c r="C593" s="76"/>
      <c r="D593" s="77"/>
      <c r="E593" s="77"/>
      <c r="F593" s="78"/>
      <c r="G593" s="84" t="str">
        <f t="shared" si="124"/>
        <v/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73" t="s">
        <v>59</v>
      </c>
      <c r="B594" s="173"/>
      <c r="C594" s="173"/>
      <c r="D594" s="173"/>
      <c r="E594" s="173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53</v>
      </c>
      <c r="O594" s="89"/>
    </row>
    <row r="595" spans="1:15" ht="18" customHeight="1">
      <c r="A595" s="174" t="s">
        <v>29</v>
      </c>
      <c r="B595" s="174"/>
      <c r="C595" s="174"/>
      <c r="D595" s="174"/>
      <c r="E595" s="174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60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27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28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29">B596+TIME(0,60,0)</f>
        <v>0.37499999999999967</v>
      </c>
      <c r="C597" s="76"/>
      <c r="D597" s="77"/>
      <c r="E597" s="77"/>
      <c r="F597" s="78"/>
      <c r="G597" s="84" t="str">
        <f t="shared" si="127"/>
        <v/>
      </c>
      <c r="H597" s="85"/>
      <c r="I597" s="85"/>
      <c r="J597" s="85"/>
      <c r="K597" s="80"/>
      <c r="L597" s="80"/>
      <c r="M597" s="86" t="str">
        <f t="shared" ca="1" si="128"/>
        <v/>
      </c>
      <c r="N597" s="95"/>
      <c r="O597" s="96"/>
    </row>
    <row r="598" spans="1:15" ht="15" customHeight="1">
      <c r="A598" s="74">
        <v>46288</v>
      </c>
      <c r="B598" s="75">
        <f t="shared" si="129"/>
        <v>0.41666666666666635</v>
      </c>
      <c r="C598" s="76"/>
      <c r="D598" s="77"/>
      <c r="E598" s="77"/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46288</v>
      </c>
      <c r="B599" s="83">
        <f t="shared" si="129"/>
        <v>0.45833333333333304</v>
      </c>
      <c r="C599" s="76"/>
      <c r="D599" s="77"/>
      <c r="E599" s="77"/>
      <c r="F599" s="78"/>
      <c r="G599" s="84" t="str">
        <f t="shared" si="127"/>
        <v/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46288</v>
      </c>
      <c r="B600" s="75">
        <f t="shared" si="129"/>
        <v>0.49999999999999972</v>
      </c>
      <c r="C600" s="76"/>
      <c r="D600" s="77"/>
      <c r="E600" s="77"/>
      <c r="F600" s="78"/>
      <c r="G600" s="79" t="str">
        <f t="shared" si="127"/>
        <v/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46288</v>
      </c>
      <c r="B601" s="83">
        <f t="shared" si="129"/>
        <v>0.54166666666666641</v>
      </c>
      <c r="C601" s="76"/>
      <c r="D601" s="77"/>
      <c r="E601" s="77"/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46288</v>
      </c>
      <c r="B602" s="75">
        <f t="shared" si="129"/>
        <v>0.58333333333333304</v>
      </c>
      <c r="C602" s="76"/>
      <c r="D602" s="77"/>
      <c r="E602" s="77"/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46288</v>
      </c>
      <c r="B603" s="83">
        <f t="shared" si="129"/>
        <v>0.62499999999999967</v>
      </c>
      <c r="C603" s="76"/>
      <c r="D603" s="77"/>
      <c r="E603" s="77"/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46288</v>
      </c>
      <c r="B604" s="75">
        <f t="shared" si="129"/>
        <v>0.6666666666666663</v>
      </c>
      <c r="C604" s="76"/>
      <c r="D604" s="77"/>
      <c r="E604" s="77"/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46288</v>
      </c>
      <c r="B605" s="83">
        <f t="shared" si="129"/>
        <v>0.70833333333333293</v>
      </c>
      <c r="C605" s="76"/>
      <c r="D605" s="77"/>
      <c r="E605" s="77"/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46288</v>
      </c>
      <c r="B606" s="75">
        <f t="shared" si="129"/>
        <v>0.74999999999999956</v>
      </c>
      <c r="C606" s="76"/>
      <c r="D606" s="77"/>
      <c r="E606" s="77"/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46288</v>
      </c>
      <c r="B607" s="83">
        <f t="shared" si="129"/>
        <v>0.79166666666666619</v>
      </c>
      <c r="C607" s="76"/>
      <c r="D607" s="77"/>
      <c r="E607" s="77"/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73" t="s">
        <v>52</v>
      </c>
      <c r="B608" s="173"/>
      <c r="C608" s="173"/>
      <c r="D608" s="173"/>
      <c r="E608" s="173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53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0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1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2">B609+TIME(0,60,0)</f>
        <v>0.87499999999999967</v>
      </c>
      <c r="C610" s="85"/>
      <c r="D610" s="102"/>
      <c r="E610" s="90"/>
      <c r="F610" s="78"/>
      <c r="G610" s="79" t="str">
        <f t="shared" si="130"/>
        <v/>
      </c>
      <c r="H610" s="76"/>
      <c r="I610" s="76"/>
      <c r="J610" s="76"/>
      <c r="K610" s="80"/>
      <c r="L610" s="80"/>
      <c r="M610" s="81" t="str">
        <f t="shared" ca="1" si="131"/>
        <v/>
      </c>
      <c r="N610" s="95"/>
      <c r="O610" s="96"/>
    </row>
    <row r="611" spans="1:15" ht="15" customHeight="1">
      <c r="A611" s="18">
        <v>46288</v>
      </c>
      <c r="B611" s="83">
        <f t="shared" si="132"/>
        <v>0.9166666666666663</v>
      </c>
      <c r="C611" s="85"/>
      <c r="D611" s="102"/>
      <c r="E611" s="90"/>
      <c r="F611" s="78"/>
      <c r="G611" s="84" t="str">
        <f t="shared" si="130"/>
        <v/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46288</v>
      </c>
      <c r="B612" s="75">
        <f t="shared" si="132"/>
        <v>0.95833333333333293</v>
      </c>
      <c r="C612" s="85"/>
      <c r="D612" s="102"/>
      <c r="E612" s="90"/>
      <c r="F612" s="78"/>
      <c r="G612" s="79" t="str">
        <f t="shared" si="130"/>
        <v/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46288</v>
      </c>
      <c r="B613" s="83">
        <f t="shared" si="132"/>
        <v>0.99999999999999956</v>
      </c>
      <c r="C613" s="85"/>
      <c r="D613" s="102"/>
      <c r="E613" s="90"/>
      <c r="F613" s="78"/>
      <c r="G613" s="84" t="str">
        <f t="shared" si="130"/>
        <v/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46288</v>
      </c>
      <c r="B614" s="75">
        <f t="shared" si="132"/>
        <v>1.0416666666666663</v>
      </c>
      <c r="C614" s="85"/>
      <c r="D614" s="102"/>
      <c r="E614" s="90"/>
      <c r="F614" s="78"/>
      <c r="G614" s="79" t="str">
        <f t="shared" si="130"/>
        <v/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46288</v>
      </c>
      <c r="B615" s="83">
        <f t="shared" si="132"/>
        <v>1.083333333333333</v>
      </c>
      <c r="C615" s="85"/>
      <c r="D615" s="102"/>
      <c r="E615" s="90"/>
      <c r="F615" s="78"/>
      <c r="G615" s="84" t="str">
        <f t="shared" si="130"/>
        <v/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46288</v>
      </c>
      <c r="B616" s="75">
        <f t="shared" si="132"/>
        <v>1.1249999999999998</v>
      </c>
      <c r="C616" s="85"/>
      <c r="D616" s="102"/>
      <c r="E616" s="90"/>
      <c r="F616" s="78"/>
      <c r="G616" s="79" t="str">
        <f t="shared" si="130"/>
        <v/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46288</v>
      </c>
      <c r="B617" s="83">
        <f t="shared" si="132"/>
        <v>1.1666666666666665</v>
      </c>
      <c r="C617" s="85"/>
      <c r="D617" s="102"/>
      <c r="E617" s="90"/>
      <c r="F617" s="78"/>
      <c r="G617" s="84" t="str">
        <f t="shared" si="130"/>
        <v/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46288</v>
      </c>
      <c r="B618" s="75">
        <f t="shared" si="132"/>
        <v>1.2083333333333333</v>
      </c>
      <c r="C618" s="85"/>
      <c r="D618" s="102"/>
      <c r="E618" s="90"/>
      <c r="F618" s="78"/>
      <c r="G618" s="79" t="str">
        <f t="shared" si="130"/>
        <v/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46288</v>
      </c>
      <c r="B619" s="83">
        <f t="shared" si="132"/>
        <v>1.25</v>
      </c>
      <c r="C619" s="85"/>
      <c r="D619" s="102"/>
      <c r="E619" s="90"/>
      <c r="F619" s="78"/>
      <c r="G619" s="84" t="str">
        <f t="shared" si="130"/>
        <v/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46288</v>
      </c>
      <c r="B620" s="75">
        <f t="shared" si="132"/>
        <v>1.2916666666666667</v>
      </c>
      <c r="C620" s="85"/>
      <c r="D620" s="102"/>
      <c r="E620" s="90"/>
      <c r="F620" s="78"/>
      <c r="G620" s="79" t="str">
        <f t="shared" si="130"/>
        <v/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73" t="s">
        <v>59</v>
      </c>
      <c r="B621" s="173"/>
      <c r="C621" s="173"/>
      <c r="D621" s="173"/>
      <c r="E621" s="173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53</v>
      </c>
      <c r="O621" s="89"/>
    </row>
    <row r="622" spans="1:15" ht="18" customHeight="1">
      <c r="A622" s="174" t="s">
        <v>29</v>
      </c>
      <c r="B622" s="174"/>
      <c r="C622" s="174"/>
      <c r="D622" s="174"/>
      <c r="E622" s="174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60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3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34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35">B623+TIME(0,60,0)</f>
        <v>0.37499999999999967</v>
      </c>
      <c r="C624" s="85"/>
      <c r="D624" s="90"/>
      <c r="E624" s="90"/>
      <c r="F624" s="78"/>
      <c r="G624" s="79" t="str">
        <f t="shared" si="133"/>
        <v/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46289</v>
      </c>
      <c r="B625" s="83">
        <f t="shared" si="135"/>
        <v>0.41666666666666635</v>
      </c>
      <c r="C625" s="85"/>
      <c r="D625" s="90"/>
      <c r="E625" s="90"/>
      <c r="F625" s="78"/>
      <c r="G625" s="84" t="str">
        <f t="shared" si="133"/>
        <v/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46289</v>
      </c>
      <c r="B626" s="75">
        <f t="shared" si="135"/>
        <v>0.45833333333333304</v>
      </c>
      <c r="C626" s="85"/>
      <c r="D626" s="90"/>
      <c r="E626" s="90"/>
      <c r="F626" s="78"/>
      <c r="G626" s="79" t="str">
        <f t="shared" si="133"/>
        <v/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46289</v>
      </c>
      <c r="B627" s="83">
        <f t="shared" si="135"/>
        <v>0.49999999999999972</v>
      </c>
      <c r="C627" s="85"/>
      <c r="D627" s="90"/>
      <c r="E627" s="90"/>
      <c r="F627" s="78"/>
      <c r="G627" s="84" t="str">
        <f t="shared" si="133"/>
        <v/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46289</v>
      </c>
      <c r="B628" s="75">
        <f t="shared" si="135"/>
        <v>0.54166666666666641</v>
      </c>
      <c r="C628" s="85"/>
      <c r="D628" s="90"/>
      <c r="E628" s="90"/>
      <c r="F628" s="78"/>
      <c r="G628" s="79" t="str">
        <f t="shared" si="133"/>
        <v/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46289</v>
      </c>
      <c r="B629" s="83">
        <f t="shared" si="135"/>
        <v>0.58333333333333304</v>
      </c>
      <c r="C629" s="85"/>
      <c r="D629" s="90"/>
      <c r="E629" s="90"/>
      <c r="F629" s="78"/>
      <c r="G629" s="84" t="str">
        <f t="shared" si="133"/>
        <v/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46289</v>
      </c>
      <c r="B630" s="75">
        <f t="shared" si="135"/>
        <v>0.62499999999999967</v>
      </c>
      <c r="C630" s="85"/>
      <c r="D630" s="90"/>
      <c r="E630" s="90"/>
      <c r="F630" s="78"/>
      <c r="G630" s="79" t="str">
        <f t="shared" si="133"/>
        <v/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46289</v>
      </c>
      <c r="B631" s="83">
        <f t="shared" si="135"/>
        <v>0.6666666666666663</v>
      </c>
      <c r="C631" s="85"/>
      <c r="D631" s="90"/>
      <c r="E631" s="90"/>
      <c r="F631" s="78"/>
      <c r="G631" s="84" t="str">
        <f t="shared" si="133"/>
        <v/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46289</v>
      </c>
      <c r="B632" s="75">
        <f t="shared" si="135"/>
        <v>0.70833333333333293</v>
      </c>
      <c r="C632" s="85"/>
      <c r="D632" s="90"/>
      <c r="E632" s="90"/>
      <c r="F632" s="78"/>
      <c r="G632" s="79" t="str">
        <f t="shared" si="133"/>
        <v/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46289</v>
      </c>
      <c r="B633" s="83">
        <f t="shared" si="135"/>
        <v>0.74999999999999956</v>
      </c>
      <c r="C633" s="85"/>
      <c r="D633" s="90"/>
      <c r="E633" s="90"/>
      <c r="F633" s="78"/>
      <c r="G633" s="84" t="str">
        <f t="shared" si="133"/>
        <v/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46289</v>
      </c>
      <c r="B634" s="75">
        <f t="shared" si="135"/>
        <v>0.79166666666666619</v>
      </c>
      <c r="C634" s="85"/>
      <c r="D634" s="90"/>
      <c r="E634" s="90"/>
      <c r="F634" s="78"/>
      <c r="G634" s="79" t="str">
        <f t="shared" si="133"/>
        <v/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73" t="s">
        <v>52</v>
      </c>
      <c r="B635" s="173"/>
      <c r="C635" s="173"/>
      <c r="D635" s="173"/>
      <c r="E635" s="173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53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36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37">B636+TIME(0,60,0)</f>
        <v>0.87499999999999967</v>
      </c>
      <c r="C637" s="76"/>
      <c r="D637" s="77"/>
      <c r="E637" s="77"/>
      <c r="F637" s="78"/>
      <c r="G637" s="84" t="str">
        <f>IF(F637="","",IF(E637="PC 17",F637*4.2,IF(E637="PC 19",F637*5,IF(E637="CB",F637*35,""))))</f>
        <v/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46289</v>
      </c>
      <c r="B638" s="75">
        <f t="shared" si="137"/>
        <v>0.9166666666666663</v>
      </c>
      <c r="C638" s="76"/>
      <c r="D638" s="77"/>
      <c r="E638" s="77"/>
      <c r="F638" s="78"/>
      <c r="G638" s="79" t="str">
        <f>IF(F638="","",IF(E638="PC 17",F638*4.2,IF(E638="PC 19",F638*5,IF(E638="CB",F638*35,""))))</f>
        <v/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46289</v>
      </c>
      <c r="B639" s="83">
        <f t="shared" si="137"/>
        <v>0.95833333333333293</v>
      </c>
      <c r="C639" s="76"/>
      <c r="D639" s="77"/>
      <c r="E639" s="77"/>
      <c r="F639" s="78"/>
      <c r="G639" s="84" t="str">
        <f>IF(F639="","",IF(E639="PC 17",F639*4.2,IF(E639="PC 19",F639*5,IF(E639="CB",F639*35,""))))</f>
        <v/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46289</v>
      </c>
      <c r="B640" s="75">
        <f t="shared" si="137"/>
        <v>0.99999999999999956</v>
      </c>
      <c r="C640" s="76"/>
      <c r="D640" s="77"/>
      <c r="E640" s="77"/>
      <c r="F640" s="78"/>
      <c r="G640" s="79" t="str">
        <f>IF(F640="","",IF(E640="PC 17",F640*4.2,IF(E640="PC 19",F640*5,IF(E640="CB",F640*35,""))))</f>
        <v/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46289</v>
      </c>
      <c r="B641" s="83">
        <f t="shared" si="137"/>
        <v>1.0416666666666663</v>
      </c>
      <c r="C641" s="76"/>
      <c r="E641" s="77"/>
      <c r="F641" s="78"/>
      <c r="G641" s="84" t="str">
        <f>IF(F641="","",IF(E641="PC 17",F641*4.2,IF(E641="PC 19",F641*5,IF(E641="CB",F641*35,""))))</f>
        <v/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46289</v>
      </c>
      <c r="B642" s="75">
        <f t="shared" si="137"/>
        <v>1.083333333333333</v>
      </c>
      <c r="C642" s="76"/>
      <c r="D642" s="77"/>
      <c r="E642" s="77"/>
      <c r="F642" s="78"/>
      <c r="G642" s="79" t="str">
        <f t="shared" ref="G642:G647" si="138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46289</v>
      </c>
      <c r="B643" s="83">
        <f t="shared" si="137"/>
        <v>1.1249999999999998</v>
      </c>
      <c r="C643" s="76"/>
      <c r="D643" s="77"/>
      <c r="E643" s="77"/>
      <c r="F643" s="78"/>
      <c r="G643" s="84" t="str">
        <f t="shared" si="138"/>
        <v/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46289</v>
      </c>
      <c r="B644" s="75">
        <f t="shared" si="137"/>
        <v>1.1666666666666665</v>
      </c>
      <c r="C644" s="76"/>
      <c r="D644" s="77"/>
      <c r="E644" s="77"/>
      <c r="F644" s="78"/>
      <c r="G644" s="79" t="str">
        <f t="shared" si="138"/>
        <v/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46289</v>
      </c>
      <c r="B645" s="83">
        <f t="shared" si="137"/>
        <v>1.2083333333333333</v>
      </c>
      <c r="C645" s="76"/>
      <c r="D645" s="77"/>
      <c r="E645" s="77"/>
      <c r="F645" s="78"/>
      <c r="G645" s="84" t="str">
        <f t="shared" si="138"/>
        <v/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46289</v>
      </c>
      <c r="B646" s="75">
        <f t="shared" si="137"/>
        <v>1.25</v>
      </c>
      <c r="C646" s="76"/>
      <c r="D646" s="77"/>
      <c r="E646" s="77"/>
      <c r="F646" s="78"/>
      <c r="G646" s="79" t="str">
        <f t="shared" si="138"/>
        <v/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46289</v>
      </c>
      <c r="B647" s="83">
        <f t="shared" si="137"/>
        <v>1.2916666666666667</v>
      </c>
      <c r="C647" s="76"/>
      <c r="D647" s="77"/>
      <c r="E647" s="77"/>
      <c r="F647" s="78"/>
      <c r="G647" s="84" t="str">
        <f t="shared" si="138"/>
        <v/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73" t="s">
        <v>59</v>
      </c>
      <c r="B648" s="173"/>
      <c r="C648" s="173"/>
      <c r="D648" s="173"/>
      <c r="E648" s="173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53</v>
      </c>
      <c r="O648" s="89"/>
    </row>
    <row r="649" spans="1:15" ht="18" customHeight="1">
      <c r="A649" s="174" t="s">
        <v>29</v>
      </c>
      <c r="B649" s="174"/>
      <c r="C649" s="174"/>
      <c r="D649" s="174"/>
      <c r="E649" s="174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60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39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0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1">B650+TIME(0,60,0)</f>
        <v>0.37499999999999967</v>
      </c>
      <c r="C651" s="76"/>
      <c r="D651" s="77"/>
      <c r="E651" s="77"/>
      <c r="F651" s="78"/>
      <c r="G651" s="84" t="str">
        <f t="shared" si="139"/>
        <v/>
      </c>
      <c r="H651" s="85"/>
      <c r="I651" s="85"/>
      <c r="J651" s="85"/>
      <c r="K651" s="80"/>
      <c r="L651" s="80"/>
      <c r="M651" s="86" t="str">
        <f t="shared" ca="1" si="140"/>
        <v/>
      </c>
      <c r="N651" s="95"/>
      <c r="O651" s="96"/>
    </row>
    <row r="652" spans="1:15" ht="15" customHeight="1">
      <c r="A652" s="74">
        <v>46290</v>
      </c>
      <c r="B652" s="75">
        <f t="shared" si="141"/>
        <v>0.41666666666666635</v>
      </c>
      <c r="C652" s="76"/>
      <c r="D652" s="77"/>
      <c r="E652" s="77"/>
      <c r="F652" s="78"/>
      <c r="G652" s="84" t="str">
        <f t="shared" si="139"/>
        <v/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46290</v>
      </c>
      <c r="B653" s="83">
        <f t="shared" si="141"/>
        <v>0.45833333333333304</v>
      </c>
      <c r="C653" s="76"/>
      <c r="D653" s="77"/>
      <c r="E653" s="77"/>
      <c r="F653" s="78"/>
      <c r="G653" s="84" t="str">
        <f t="shared" si="139"/>
        <v/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46290</v>
      </c>
      <c r="B654" s="75">
        <f t="shared" si="141"/>
        <v>0.49999999999999972</v>
      </c>
      <c r="C654" s="76"/>
      <c r="D654" s="77"/>
      <c r="E654" s="77"/>
      <c r="F654" s="78"/>
      <c r="G654" s="79" t="str">
        <f t="shared" si="139"/>
        <v/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46290</v>
      </c>
      <c r="B655" s="83">
        <f t="shared" si="141"/>
        <v>0.54166666666666641</v>
      </c>
      <c r="C655" s="76"/>
      <c r="D655" s="77"/>
      <c r="E655" s="77"/>
      <c r="F655" s="78"/>
      <c r="G655" s="84" t="str">
        <f t="shared" si="139"/>
        <v/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46290</v>
      </c>
      <c r="B656" s="75">
        <f t="shared" si="141"/>
        <v>0.58333333333333304</v>
      </c>
      <c r="C656" s="76"/>
      <c r="D656" s="77"/>
      <c r="E656" s="77"/>
      <c r="F656" s="78"/>
      <c r="G656" s="79" t="str">
        <f t="shared" si="139"/>
        <v/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46290</v>
      </c>
      <c r="B657" s="83">
        <f t="shared" si="141"/>
        <v>0.62499999999999967</v>
      </c>
      <c r="C657" s="76"/>
      <c r="D657" s="77"/>
      <c r="E657" s="77"/>
      <c r="F657" s="78"/>
      <c r="G657" s="84" t="str">
        <f t="shared" si="139"/>
        <v/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46290</v>
      </c>
      <c r="B658" s="75">
        <f t="shared" si="141"/>
        <v>0.6666666666666663</v>
      </c>
      <c r="C658" s="76"/>
      <c r="D658" s="77"/>
      <c r="E658" s="77"/>
      <c r="F658" s="78"/>
      <c r="G658" s="79" t="str">
        <f t="shared" si="139"/>
        <v/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46290</v>
      </c>
      <c r="B659" s="83">
        <f t="shared" si="141"/>
        <v>0.70833333333333293</v>
      </c>
      <c r="C659" s="76"/>
      <c r="D659" s="77"/>
      <c r="E659" s="77"/>
      <c r="F659" s="78"/>
      <c r="G659" s="84" t="str">
        <f t="shared" si="139"/>
        <v/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46290</v>
      </c>
      <c r="B660" s="75">
        <f t="shared" si="141"/>
        <v>0.74999999999999956</v>
      </c>
      <c r="C660" s="76"/>
      <c r="D660" s="77"/>
      <c r="E660" s="77"/>
      <c r="F660" s="78"/>
      <c r="G660" s="79" t="str">
        <f t="shared" si="139"/>
        <v/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46290</v>
      </c>
      <c r="B661" s="83">
        <f t="shared" si="141"/>
        <v>0.79166666666666619</v>
      </c>
      <c r="C661" s="76"/>
      <c r="D661" s="77"/>
      <c r="E661" s="77"/>
      <c r="F661" s="78"/>
      <c r="G661" s="84" t="str">
        <f t="shared" si="139"/>
        <v/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73" t="s">
        <v>52</v>
      </c>
      <c r="B662" s="173"/>
      <c r="C662" s="173"/>
      <c r="D662" s="173"/>
      <c r="E662" s="173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53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2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43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44">B663+TIME(0,60,0)</f>
        <v>0.87499999999999967</v>
      </c>
      <c r="C664" s="85"/>
      <c r="D664" s="90"/>
      <c r="E664" s="90"/>
      <c r="F664" s="78"/>
      <c r="G664" s="79" t="str">
        <f t="shared" si="142"/>
        <v/>
      </c>
      <c r="H664" s="76"/>
      <c r="I664" s="76"/>
      <c r="J664" s="76"/>
      <c r="K664" s="80"/>
      <c r="L664" s="80"/>
      <c r="M664" s="81" t="str">
        <f t="shared" ca="1" si="143"/>
        <v/>
      </c>
      <c r="N664" s="95"/>
      <c r="O664" s="96"/>
    </row>
    <row r="665" spans="1:15" ht="15" customHeight="1">
      <c r="A665" s="18">
        <v>46290</v>
      </c>
      <c r="B665" s="83">
        <f t="shared" si="144"/>
        <v>0.9166666666666663</v>
      </c>
      <c r="C665" s="85"/>
      <c r="D665" s="90"/>
      <c r="E665" s="90"/>
      <c r="F665" s="78"/>
      <c r="G665" s="84" t="str">
        <f t="shared" si="142"/>
        <v/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46290</v>
      </c>
      <c r="B666" s="75">
        <f t="shared" si="144"/>
        <v>0.95833333333333293</v>
      </c>
      <c r="C666" s="85"/>
      <c r="D666" s="90"/>
      <c r="E666" s="90"/>
      <c r="F666" s="78"/>
      <c r="G666" s="79" t="str">
        <f t="shared" si="142"/>
        <v/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46290</v>
      </c>
      <c r="B667" s="83">
        <f t="shared" si="144"/>
        <v>0.99999999999999956</v>
      </c>
      <c r="C667" s="85"/>
      <c r="D667" s="90"/>
      <c r="E667" s="90"/>
      <c r="F667" s="78"/>
      <c r="G667" s="84" t="str">
        <f t="shared" si="142"/>
        <v/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46290</v>
      </c>
      <c r="B668" s="75">
        <f t="shared" si="144"/>
        <v>1.0416666666666663</v>
      </c>
      <c r="C668" s="85"/>
      <c r="D668" s="90"/>
      <c r="E668" s="90"/>
      <c r="F668" s="78"/>
      <c r="G668" s="79" t="str">
        <f t="shared" si="142"/>
        <v/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46290</v>
      </c>
      <c r="B669" s="83">
        <f t="shared" si="144"/>
        <v>1.083333333333333</v>
      </c>
      <c r="C669" s="85"/>
      <c r="D669" s="90"/>
      <c r="E669" s="90"/>
      <c r="F669" s="78"/>
      <c r="G669" s="84" t="str">
        <f t="shared" si="142"/>
        <v/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46290</v>
      </c>
      <c r="B670" s="75">
        <f t="shared" si="144"/>
        <v>1.1249999999999998</v>
      </c>
      <c r="C670" s="85"/>
      <c r="D670" s="90"/>
      <c r="E670" s="90"/>
      <c r="F670" s="78"/>
      <c r="G670" s="79" t="str">
        <f t="shared" si="142"/>
        <v/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46290</v>
      </c>
      <c r="B671" s="83">
        <f t="shared" si="144"/>
        <v>1.1666666666666665</v>
      </c>
      <c r="C671" s="85"/>
      <c r="D671" s="90"/>
      <c r="E671" s="90"/>
      <c r="F671" s="78"/>
      <c r="G671" s="84" t="str">
        <f t="shared" si="142"/>
        <v/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46290</v>
      </c>
      <c r="B672" s="75">
        <f t="shared" si="144"/>
        <v>1.2083333333333333</v>
      </c>
      <c r="C672" s="85"/>
      <c r="D672" s="90"/>
      <c r="E672" s="90"/>
      <c r="F672" s="78"/>
      <c r="G672" s="79" t="str">
        <f t="shared" si="142"/>
        <v/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46290</v>
      </c>
      <c r="B673" s="83">
        <f t="shared" si="144"/>
        <v>1.25</v>
      </c>
      <c r="C673" s="85"/>
      <c r="D673" s="90"/>
      <c r="E673" s="90"/>
      <c r="F673" s="78"/>
      <c r="G673" s="84" t="str">
        <f t="shared" si="142"/>
        <v/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46290</v>
      </c>
      <c r="B674" s="75">
        <f t="shared" si="144"/>
        <v>1.2916666666666667</v>
      </c>
      <c r="C674" s="103"/>
      <c r="D674" s="77"/>
      <c r="E674" s="77"/>
      <c r="F674" s="78"/>
      <c r="G674" s="79" t="str">
        <f t="shared" si="142"/>
        <v/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73" t="s">
        <v>59</v>
      </c>
      <c r="B675" s="173"/>
      <c r="C675" s="173"/>
      <c r="D675" s="173"/>
      <c r="E675" s="173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53</v>
      </c>
      <c r="O675" s="89"/>
    </row>
    <row r="676" spans="1:15" ht="18" customHeight="1">
      <c r="A676" s="174" t="s">
        <v>29</v>
      </c>
      <c r="B676" s="174"/>
      <c r="C676" s="174"/>
      <c r="D676" s="174"/>
      <c r="E676" s="174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60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45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46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47">B677+TIME(0,60,0)</f>
        <v>0.37499999999999967</v>
      </c>
      <c r="C678" s="85"/>
      <c r="D678" s="90"/>
      <c r="E678" s="90"/>
      <c r="F678" s="78"/>
      <c r="G678" s="79" t="str">
        <f t="shared" si="145"/>
        <v/>
      </c>
      <c r="H678" s="76"/>
      <c r="I678" s="76"/>
      <c r="J678" s="76"/>
      <c r="K678" s="80"/>
      <c r="L678" s="80"/>
      <c r="M678" s="81" t="str">
        <f t="shared" ca="1" si="146"/>
        <v/>
      </c>
      <c r="N678" s="95"/>
      <c r="O678" s="96"/>
    </row>
    <row r="679" spans="1:15" ht="15" customHeight="1">
      <c r="A679" s="18">
        <v>46291</v>
      </c>
      <c r="B679" s="83">
        <f t="shared" si="147"/>
        <v>0.41666666666666635</v>
      </c>
      <c r="C679" s="85"/>
      <c r="D679" s="90"/>
      <c r="E679" s="90"/>
      <c r="F679" s="78"/>
      <c r="G679" s="84" t="str">
        <f t="shared" si="145"/>
        <v/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46291</v>
      </c>
      <c r="B680" s="75">
        <f t="shared" si="147"/>
        <v>0.45833333333333304</v>
      </c>
      <c r="C680" s="85"/>
      <c r="D680" s="90"/>
      <c r="E680" s="90"/>
      <c r="F680" s="78"/>
      <c r="G680" s="79" t="str">
        <f t="shared" si="145"/>
        <v/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46291</v>
      </c>
      <c r="B681" s="83">
        <f t="shared" si="147"/>
        <v>0.49999999999999972</v>
      </c>
      <c r="C681" s="85"/>
      <c r="D681" s="90"/>
      <c r="E681" s="90"/>
      <c r="F681" s="78"/>
      <c r="G681" s="84" t="str">
        <f t="shared" si="145"/>
        <v/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46291</v>
      </c>
      <c r="B682" s="75">
        <f t="shared" si="147"/>
        <v>0.54166666666666641</v>
      </c>
      <c r="C682" s="85"/>
      <c r="D682" s="90"/>
      <c r="E682" s="90"/>
      <c r="F682" s="78"/>
      <c r="G682" s="79" t="str">
        <f t="shared" si="145"/>
        <v/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46291</v>
      </c>
      <c r="B683" s="83">
        <f t="shared" si="147"/>
        <v>0.58333333333333304</v>
      </c>
      <c r="C683" s="85"/>
      <c r="D683" s="90"/>
      <c r="E683" s="90"/>
      <c r="F683" s="78"/>
      <c r="G683" s="84" t="str">
        <f t="shared" si="145"/>
        <v/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46291</v>
      </c>
      <c r="B684" s="75">
        <f t="shared" si="147"/>
        <v>0.62499999999999967</v>
      </c>
      <c r="C684" s="85"/>
      <c r="D684" s="90"/>
      <c r="E684" s="90"/>
      <c r="F684" s="78"/>
      <c r="G684" s="79" t="str">
        <f t="shared" si="145"/>
        <v/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46291</v>
      </c>
      <c r="B685" s="83">
        <f t="shared" si="147"/>
        <v>0.6666666666666663</v>
      </c>
      <c r="C685" s="85"/>
      <c r="D685" s="90"/>
      <c r="E685" s="90"/>
      <c r="F685" s="78"/>
      <c r="G685" s="84" t="str">
        <f t="shared" si="145"/>
        <v/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46291</v>
      </c>
      <c r="B686" s="75">
        <f t="shared" si="147"/>
        <v>0.70833333333333293</v>
      </c>
      <c r="C686" s="85"/>
      <c r="D686" s="90"/>
      <c r="E686" s="90"/>
      <c r="F686" s="78"/>
      <c r="G686" s="79" t="str">
        <f t="shared" si="145"/>
        <v/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46291</v>
      </c>
      <c r="B687" s="83">
        <f t="shared" si="147"/>
        <v>0.74999999999999956</v>
      </c>
      <c r="C687" s="85"/>
      <c r="D687" s="90"/>
      <c r="E687" s="90"/>
      <c r="F687" s="78"/>
      <c r="G687" s="84" t="str">
        <f t="shared" si="145"/>
        <v/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46291</v>
      </c>
      <c r="B688" s="75">
        <f t="shared" si="147"/>
        <v>0.79166666666666619</v>
      </c>
      <c r="C688" s="85"/>
      <c r="D688" s="90"/>
      <c r="E688" s="90"/>
      <c r="F688" s="78"/>
      <c r="G688" s="79" t="str">
        <f t="shared" si="145"/>
        <v/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73" t="s">
        <v>52</v>
      </c>
      <c r="B689" s="173"/>
      <c r="C689" s="173"/>
      <c r="D689" s="173"/>
      <c r="E689" s="173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53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48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49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0">B690+TIME(0,60,0)</f>
        <v>0.87499999999999967</v>
      </c>
      <c r="C691" s="76"/>
      <c r="D691" s="77"/>
      <c r="E691" s="77"/>
      <c r="F691" s="78"/>
      <c r="G691" s="84" t="str">
        <f t="shared" si="148"/>
        <v/>
      </c>
      <c r="H691" s="85"/>
      <c r="I691" s="85"/>
      <c r="J691" s="85"/>
      <c r="K691" s="80"/>
      <c r="L691" s="80"/>
      <c r="M691" s="86" t="str">
        <f t="shared" ca="1" si="149"/>
        <v/>
      </c>
      <c r="N691" s="95"/>
      <c r="O691" s="96"/>
    </row>
    <row r="692" spans="1:15" ht="15" customHeight="1">
      <c r="A692" s="74">
        <v>46291</v>
      </c>
      <c r="B692" s="75">
        <f t="shared" si="150"/>
        <v>0.9166666666666663</v>
      </c>
      <c r="C692" s="76"/>
      <c r="D692" s="77"/>
      <c r="E692" s="77"/>
      <c r="F692" s="78"/>
      <c r="G692" s="79" t="str">
        <f t="shared" si="148"/>
        <v/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46291</v>
      </c>
      <c r="B693" s="83">
        <f t="shared" si="150"/>
        <v>0.95833333333333293</v>
      </c>
      <c r="C693" s="76"/>
      <c r="D693" s="77"/>
      <c r="E693" s="77"/>
      <c r="F693" s="78"/>
      <c r="G693" s="84" t="str">
        <f t="shared" si="148"/>
        <v/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46291</v>
      </c>
      <c r="B694" s="75">
        <f t="shared" si="150"/>
        <v>0.99999999999999956</v>
      </c>
      <c r="C694" s="76"/>
      <c r="D694" s="77"/>
      <c r="E694" s="77"/>
      <c r="F694" s="78"/>
      <c r="G694" s="79" t="str">
        <f t="shared" si="148"/>
        <v/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46291</v>
      </c>
      <c r="B695" s="83">
        <f t="shared" si="150"/>
        <v>1.0416666666666663</v>
      </c>
      <c r="C695" s="76"/>
      <c r="D695" s="77"/>
      <c r="E695" s="77"/>
      <c r="F695" s="78"/>
      <c r="G695" s="84" t="str">
        <f t="shared" si="148"/>
        <v/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46291</v>
      </c>
      <c r="B696" s="75">
        <f t="shared" si="150"/>
        <v>1.083333333333333</v>
      </c>
      <c r="C696" s="76"/>
      <c r="D696" s="77"/>
      <c r="E696" s="77"/>
      <c r="F696" s="78"/>
      <c r="G696" s="79" t="str">
        <f t="shared" si="148"/>
        <v/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46291</v>
      </c>
      <c r="B697" s="83">
        <f t="shared" si="150"/>
        <v>1.1249999999999998</v>
      </c>
      <c r="C697" s="76"/>
      <c r="D697" s="77"/>
      <c r="E697" s="77"/>
      <c r="F697" s="78"/>
      <c r="G697" s="84" t="str">
        <f t="shared" si="148"/>
        <v/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46291</v>
      </c>
      <c r="B698" s="75">
        <f t="shared" si="150"/>
        <v>1.1666666666666665</v>
      </c>
      <c r="C698" s="76"/>
      <c r="D698" s="77"/>
      <c r="E698" s="77"/>
      <c r="F698" s="78"/>
      <c r="G698" s="79" t="str">
        <f t="shared" si="148"/>
        <v/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46291</v>
      </c>
      <c r="B699" s="83">
        <f t="shared" si="150"/>
        <v>1.2083333333333333</v>
      </c>
      <c r="C699" s="76"/>
      <c r="D699" s="77"/>
      <c r="E699" s="77"/>
      <c r="F699" s="78"/>
      <c r="G699" s="84" t="str">
        <f t="shared" si="148"/>
        <v/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46291</v>
      </c>
      <c r="B700" s="75">
        <f t="shared" si="150"/>
        <v>1.25</v>
      </c>
      <c r="C700" s="76"/>
      <c r="D700" s="77"/>
      <c r="E700" s="77"/>
      <c r="F700" s="78"/>
      <c r="G700" s="79" t="str">
        <f t="shared" si="148"/>
        <v/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46291</v>
      </c>
      <c r="B701" s="83">
        <f t="shared" si="150"/>
        <v>1.2916666666666667</v>
      </c>
      <c r="C701" s="76"/>
      <c r="D701" s="77"/>
      <c r="E701" s="77"/>
      <c r="F701" s="78"/>
      <c r="G701" s="84" t="str">
        <f t="shared" si="148"/>
        <v/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73" t="s">
        <v>59</v>
      </c>
      <c r="B702" s="173"/>
      <c r="C702" s="173"/>
      <c r="D702" s="173"/>
      <c r="E702" s="173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53</v>
      </c>
      <c r="O702" s="89"/>
    </row>
    <row r="703" spans="1:15" ht="18" customHeight="1">
      <c r="A703" s="174" t="s">
        <v>29</v>
      </c>
      <c r="B703" s="174"/>
      <c r="C703" s="174"/>
      <c r="D703" s="174"/>
      <c r="E703" s="174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60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1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2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53">B704+TIME(0,60,0)</f>
        <v>0.37499999999999967</v>
      </c>
      <c r="C705" s="76"/>
      <c r="D705" s="77"/>
      <c r="E705" s="77"/>
      <c r="F705" s="78"/>
      <c r="G705" s="84" t="str">
        <f t="shared" si="151"/>
        <v/>
      </c>
      <c r="H705" s="85"/>
      <c r="I705" s="85"/>
      <c r="J705" s="85"/>
      <c r="K705" s="80"/>
      <c r="L705" s="80"/>
      <c r="M705" s="86" t="str">
        <f t="shared" ca="1" si="152"/>
        <v/>
      </c>
      <c r="N705" s="95"/>
      <c r="O705" s="96"/>
    </row>
    <row r="706" spans="1:15" ht="15" customHeight="1">
      <c r="A706" s="74">
        <v>46292</v>
      </c>
      <c r="B706" s="75">
        <f t="shared" si="153"/>
        <v>0.41666666666666635</v>
      </c>
      <c r="C706" s="76"/>
      <c r="D706" s="77"/>
      <c r="E706" s="77"/>
      <c r="F706" s="78"/>
      <c r="G706" s="79" t="str">
        <f t="shared" si="151"/>
        <v/>
      </c>
      <c r="H706" s="76"/>
      <c r="I706" s="76"/>
      <c r="J706" s="76"/>
      <c r="K706" s="80"/>
      <c r="L706" s="80"/>
      <c r="M706" s="81" t="str">
        <f t="shared" ca="1" si="152"/>
        <v/>
      </c>
      <c r="N706" s="95"/>
      <c r="O706" s="96"/>
    </row>
    <row r="707" spans="1:15" ht="15" customHeight="1">
      <c r="A707" s="18">
        <v>46292</v>
      </c>
      <c r="B707" s="83">
        <f t="shared" si="153"/>
        <v>0.45833333333333304</v>
      </c>
      <c r="C707" s="76"/>
      <c r="D707" s="77"/>
      <c r="E707" s="77"/>
      <c r="F707" s="78"/>
      <c r="G707" s="84" t="str">
        <f t="shared" si="151"/>
        <v/>
      </c>
      <c r="H707" s="85"/>
      <c r="I707" s="85"/>
      <c r="J707" s="85"/>
      <c r="K707" s="80"/>
      <c r="L707" s="80"/>
      <c r="M707" s="86" t="str">
        <f t="shared" ca="1" si="152"/>
        <v/>
      </c>
      <c r="N707" s="95"/>
      <c r="O707" s="96"/>
    </row>
    <row r="708" spans="1:15" ht="15" customHeight="1">
      <c r="A708" s="74">
        <v>46292</v>
      </c>
      <c r="B708" s="75">
        <f t="shared" si="153"/>
        <v>0.49999999999999972</v>
      </c>
      <c r="C708" s="76"/>
      <c r="D708" s="77"/>
      <c r="E708" s="77"/>
      <c r="F708" s="78"/>
      <c r="G708" s="79" t="str">
        <f t="shared" si="151"/>
        <v/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46292</v>
      </c>
      <c r="B709" s="83">
        <f t="shared" si="153"/>
        <v>0.54166666666666641</v>
      </c>
      <c r="C709" s="76"/>
      <c r="D709" s="77"/>
      <c r="E709" s="77"/>
      <c r="F709" s="78"/>
      <c r="G709" s="84" t="str">
        <f t="shared" si="151"/>
        <v/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46292</v>
      </c>
      <c r="B710" s="75">
        <f t="shared" si="153"/>
        <v>0.58333333333333304</v>
      </c>
      <c r="C710" s="76"/>
      <c r="D710" s="77"/>
      <c r="E710" s="77"/>
      <c r="F710" s="78"/>
      <c r="G710" s="79" t="str">
        <f t="shared" si="151"/>
        <v/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46292</v>
      </c>
      <c r="B711" s="83">
        <f t="shared" si="153"/>
        <v>0.62499999999999967</v>
      </c>
      <c r="C711" s="76"/>
      <c r="D711" s="77"/>
      <c r="E711" s="77"/>
      <c r="F711" s="78"/>
      <c r="G711" s="84" t="str">
        <f t="shared" si="151"/>
        <v/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46292</v>
      </c>
      <c r="B712" s="75">
        <f t="shared" si="153"/>
        <v>0.6666666666666663</v>
      </c>
      <c r="C712" s="76"/>
      <c r="D712" s="77"/>
      <c r="E712" s="77"/>
      <c r="F712" s="78"/>
      <c r="G712" s="79" t="str">
        <f t="shared" si="151"/>
        <v/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46292</v>
      </c>
      <c r="B713" s="83">
        <f t="shared" si="153"/>
        <v>0.70833333333333293</v>
      </c>
      <c r="C713" s="76"/>
      <c r="D713" s="77"/>
      <c r="E713" s="77"/>
      <c r="F713" s="78"/>
      <c r="G713" s="84" t="str">
        <f t="shared" si="151"/>
        <v/>
      </c>
      <c r="H713" s="85"/>
      <c r="I713" s="85"/>
      <c r="J713" s="85"/>
      <c r="K713" s="80"/>
      <c r="L713" s="80"/>
      <c r="M713" s="86" t="str">
        <f t="shared" ca="1" si="152"/>
        <v/>
      </c>
      <c r="N713" s="95"/>
      <c r="O713" s="96"/>
    </row>
    <row r="714" spans="1:15" ht="15" customHeight="1">
      <c r="A714" s="74">
        <v>46292</v>
      </c>
      <c r="B714" s="75">
        <f t="shared" si="153"/>
        <v>0.74999999999999956</v>
      </c>
      <c r="C714" s="76"/>
      <c r="D714" s="77"/>
      <c r="E714" s="77"/>
      <c r="F714" s="78"/>
      <c r="G714" s="79" t="str">
        <f t="shared" si="151"/>
        <v/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46292</v>
      </c>
      <c r="B715" s="83">
        <f t="shared" si="153"/>
        <v>0.79166666666666619</v>
      </c>
      <c r="C715" s="76"/>
      <c r="D715" s="77"/>
      <c r="E715" s="77"/>
      <c r="F715" s="78"/>
      <c r="G715" s="84" t="str">
        <f t="shared" si="151"/>
        <v/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73" t="s">
        <v>52</v>
      </c>
      <c r="B716" s="173"/>
      <c r="C716" s="173"/>
      <c r="D716" s="173"/>
      <c r="E716" s="173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53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54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55">B717+TIME(0,60,0)</f>
        <v>0.87499999999999967</v>
      </c>
      <c r="C718" s="85"/>
      <c r="D718" s="77"/>
      <c r="E718" s="77"/>
      <c r="F718" s="78"/>
      <c r="G718" s="79" t="str">
        <f>IF(F718="","",IF(E718="PC 17",F718*4.2,IF(E718="PC 19",F718*5,IF(E718="CB",F718*35,""))))</f>
        <v/>
      </c>
      <c r="H718" s="76"/>
      <c r="I718" s="76"/>
      <c r="J718" s="76"/>
      <c r="K718" s="80"/>
      <c r="L718" s="80"/>
      <c r="M718" s="81" t="str">
        <f t="shared" ca="1" si="154"/>
        <v/>
      </c>
      <c r="N718" s="95"/>
      <c r="O718" s="96"/>
    </row>
    <row r="719" spans="1:15" ht="15" customHeight="1">
      <c r="A719" s="18">
        <v>46292</v>
      </c>
      <c r="B719" s="83">
        <f t="shared" si="155"/>
        <v>0.9166666666666663</v>
      </c>
      <c r="C719" s="85"/>
      <c r="D719" s="90"/>
      <c r="E719" s="90"/>
      <c r="F719" s="78"/>
      <c r="G719" s="84" t="str">
        <f>IF(F719="","",IF(E719="PC 17",F719*4.2,IF(E719="PC 19",F719*5,IF(E719="CB",F719*35,""))))</f>
        <v/>
      </c>
      <c r="H719" s="85"/>
      <c r="I719" s="85"/>
      <c r="J719" s="85"/>
      <c r="K719" s="80"/>
      <c r="L719" s="80"/>
      <c r="M719" s="86" t="str">
        <f t="shared" ca="1" si="154"/>
        <v/>
      </c>
      <c r="N719" s="95"/>
      <c r="O719" s="96"/>
    </row>
    <row r="720" spans="1:15" ht="15" customHeight="1">
      <c r="A720" s="74">
        <v>46292</v>
      </c>
      <c r="B720" s="75">
        <f t="shared" si="155"/>
        <v>0.95833333333333293</v>
      </c>
      <c r="C720" s="85"/>
      <c r="D720" s="77"/>
      <c r="E720" s="77"/>
      <c r="F720" s="78"/>
      <c r="G720" s="79" t="str">
        <f>IF(F720="","",IF(E720="PC 17",F720*4.2,IF(E720="PC 19",F720*5,IF(E720="CB",F720*35,""))))</f>
        <v/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46292</v>
      </c>
      <c r="B721" s="83">
        <f t="shared" si="155"/>
        <v>0.99999999999999956</v>
      </c>
      <c r="C721" s="85"/>
      <c r="D721" s="90"/>
      <c r="F721" s="78"/>
      <c r="G721" s="84" t="str">
        <f>IF(F721="","",IF(E721="PC 17",F721*4.2,IF(E721="PC 19",F721*5,IF(E721="CB",F721*35,""))))</f>
        <v/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46292</v>
      </c>
      <c r="B722" s="75">
        <f t="shared" si="155"/>
        <v>1.0416666666666663</v>
      </c>
      <c r="C722" s="85"/>
      <c r="D722" s="77"/>
      <c r="E722" s="90"/>
      <c r="F722" s="78"/>
      <c r="G722" s="79" t="str">
        <f>IF(F722="","",IF(E722="PC 17",F722*4.2,IF(E722="PC 19",F722*5,IF(E722="CB",F722*35,""))))</f>
        <v/>
      </c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46292</v>
      </c>
      <c r="B723" s="83">
        <f t="shared" si="155"/>
        <v>1.083333333333333</v>
      </c>
      <c r="C723" s="85"/>
      <c r="D723" s="90"/>
      <c r="E723" s="90"/>
      <c r="F723" s="78"/>
      <c r="G723" s="84" t="str">
        <f t="shared" ref="G723:G728" si="156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46292</v>
      </c>
      <c r="B724" s="75">
        <f t="shared" si="155"/>
        <v>1.1249999999999998</v>
      </c>
      <c r="C724" s="85"/>
      <c r="D724" s="77"/>
      <c r="E724" s="77"/>
      <c r="F724" s="78"/>
      <c r="G724" s="79" t="str">
        <f t="shared" si="156"/>
        <v/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46292</v>
      </c>
      <c r="B725" s="83">
        <f t="shared" si="155"/>
        <v>1.1666666666666665</v>
      </c>
      <c r="C725" s="85"/>
      <c r="D725" s="90"/>
      <c r="E725" s="90"/>
      <c r="F725" s="78"/>
      <c r="G725" s="84" t="str">
        <f t="shared" si="156"/>
        <v/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46292</v>
      </c>
      <c r="B726" s="75">
        <f t="shared" si="155"/>
        <v>1.2083333333333333</v>
      </c>
      <c r="C726" s="85"/>
      <c r="D726" s="77"/>
      <c r="E726" s="77"/>
      <c r="F726" s="78"/>
      <c r="G726" s="79" t="str">
        <f t="shared" si="156"/>
        <v/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46292</v>
      </c>
      <c r="B727" s="83">
        <f t="shared" si="155"/>
        <v>1.25</v>
      </c>
      <c r="C727" s="85"/>
      <c r="D727" s="90"/>
      <c r="E727" s="90"/>
      <c r="F727" s="78"/>
      <c r="G727" s="84" t="str">
        <f t="shared" si="156"/>
        <v/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46292</v>
      </c>
      <c r="B728" s="75">
        <f t="shared" si="155"/>
        <v>1.2916666666666667</v>
      </c>
      <c r="C728" s="85"/>
      <c r="D728" s="77"/>
      <c r="E728" s="77"/>
      <c r="F728" s="78"/>
      <c r="G728" s="79" t="str">
        <f t="shared" si="156"/>
        <v/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73" t="s">
        <v>59</v>
      </c>
      <c r="B729" s="173"/>
      <c r="C729" s="173"/>
      <c r="D729" s="173"/>
      <c r="E729" s="173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53</v>
      </c>
      <c r="O729" s="89"/>
    </row>
    <row r="730" spans="1:15" ht="18" customHeight="1">
      <c r="A730" s="174" t="s">
        <v>29</v>
      </c>
      <c r="B730" s="174"/>
      <c r="C730" s="174"/>
      <c r="D730" s="174"/>
      <c r="E730" s="174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60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57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58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59">B731+TIME(0,60,0)</f>
        <v>0.37499999999999967</v>
      </c>
      <c r="C732" s="85"/>
      <c r="D732" s="77"/>
      <c r="E732" s="90"/>
      <c r="F732" s="78"/>
      <c r="G732" s="79" t="str">
        <f t="shared" si="157"/>
        <v/>
      </c>
      <c r="H732" s="76"/>
      <c r="I732" s="76"/>
      <c r="J732" s="76"/>
      <c r="K732" s="80"/>
      <c r="L732" s="80"/>
      <c r="M732" s="81" t="str">
        <f t="shared" ca="1" si="158"/>
        <v/>
      </c>
      <c r="N732" s="95"/>
      <c r="O732" s="96"/>
    </row>
    <row r="733" spans="1:15" ht="15" customHeight="1">
      <c r="A733" s="18">
        <v>46293</v>
      </c>
      <c r="B733" s="83">
        <f t="shared" si="159"/>
        <v>0.41666666666666635</v>
      </c>
      <c r="C733" s="85"/>
      <c r="D733" s="90"/>
      <c r="E733" s="90"/>
      <c r="F733" s="78"/>
      <c r="G733" s="84" t="str">
        <f t="shared" si="157"/>
        <v/>
      </c>
      <c r="H733" s="85"/>
      <c r="I733" s="85"/>
      <c r="J733" s="85"/>
      <c r="K733" s="80"/>
      <c r="L733" s="80"/>
      <c r="M733" s="86" t="str">
        <f t="shared" ca="1" si="158"/>
        <v/>
      </c>
      <c r="N733" s="95"/>
      <c r="O733" s="96"/>
    </row>
    <row r="734" spans="1:15" ht="15" customHeight="1">
      <c r="A734" s="74">
        <v>46293</v>
      </c>
      <c r="B734" s="75">
        <f t="shared" si="159"/>
        <v>0.45833333333333304</v>
      </c>
      <c r="C734" s="85"/>
      <c r="D734" s="77"/>
      <c r="E734" s="77"/>
      <c r="F734" s="78"/>
      <c r="G734" s="79" t="str">
        <f t="shared" si="157"/>
        <v/>
      </c>
      <c r="H734" s="76"/>
      <c r="I734" s="76"/>
      <c r="J734" s="76"/>
      <c r="K734" s="80"/>
      <c r="L734" s="80"/>
      <c r="M734" s="81" t="str">
        <f t="shared" ca="1" si="158"/>
        <v/>
      </c>
      <c r="N734" s="95"/>
      <c r="O734" s="96"/>
    </row>
    <row r="735" spans="1:15" ht="15" customHeight="1">
      <c r="A735" s="18">
        <v>46293</v>
      </c>
      <c r="B735" s="83">
        <f t="shared" si="159"/>
        <v>0.49999999999999972</v>
      </c>
      <c r="C735" s="85"/>
      <c r="D735" s="90"/>
      <c r="E735" s="90"/>
      <c r="F735" s="78"/>
      <c r="G735" s="84" t="str">
        <f t="shared" si="157"/>
        <v/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46293</v>
      </c>
      <c r="B736" s="75">
        <f t="shared" si="159"/>
        <v>0.54166666666666641</v>
      </c>
      <c r="C736" s="85"/>
      <c r="D736" s="77"/>
      <c r="E736" s="77"/>
      <c r="F736" s="78"/>
      <c r="G736" s="79" t="str">
        <f t="shared" si="157"/>
        <v/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46293</v>
      </c>
      <c r="B737" s="83">
        <f t="shared" si="159"/>
        <v>0.58333333333333304</v>
      </c>
      <c r="C737" s="85"/>
      <c r="D737" s="90"/>
      <c r="E737" s="90"/>
      <c r="F737" s="78"/>
      <c r="G737" s="84" t="str">
        <f t="shared" si="157"/>
        <v/>
      </c>
      <c r="H737" s="85"/>
      <c r="I737" s="85"/>
      <c r="J737" s="85"/>
      <c r="K737" s="80"/>
      <c r="L737" s="80"/>
      <c r="M737" s="86" t="str">
        <f t="shared" ca="1" si="158"/>
        <v/>
      </c>
      <c r="N737" s="95"/>
      <c r="O737" s="96"/>
    </row>
    <row r="738" spans="1:15" ht="15" customHeight="1">
      <c r="A738" s="74">
        <v>46293</v>
      </c>
      <c r="B738" s="75">
        <f t="shared" si="159"/>
        <v>0.62499999999999967</v>
      </c>
      <c r="C738" s="85"/>
      <c r="D738" s="77"/>
      <c r="E738" s="77"/>
      <c r="F738" s="78"/>
      <c r="G738" s="79" t="str">
        <f t="shared" si="157"/>
        <v/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46293</v>
      </c>
      <c r="B739" s="83">
        <f t="shared" si="159"/>
        <v>0.6666666666666663</v>
      </c>
      <c r="C739" s="85"/>
      <c r="D739" s="90"/>
      <c r="E739" s="90"/>
      <c r="F739" s="78"/>
      <c r="G739" s="84" t="str">
        <f t="shared" si="157"/>
        <v/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46293</v>
      </c>
      <c r="B740" s="75">
        <f t="shared" si="159"/>
        <v>0.70833333333333293</v>
      </c>
      <c r="C740" s="85"/>
      <c r="D740" s="77"/>
      <c r="E740" s="77"/>
      <c r="F740" s="78"/>
      <c r="G740" s="79" t="str">
        <f t="shared" si="157"/>
        <v/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46293</v>
      </c>
      <c r="B741" s="83">
        <f t="shared" si="159"/>
        <v>0.74999999999999956</v>
      </c>
      <c r="C741" s="85"/>
      <c r="D741" s="90"/>
      <c r="E741" s="90"/>
      <c r="F741" s="78"/>
      <c r="G741" s="84" t="str">
        <f t="shared" si="157"/>
        <v/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46293</v>
      </c>
      <c r="B742" s="75">
        <f t="shared" si="159"/>
        <v>0.79166666666666619</v>
      </c>
      <c r="C742" s="85"/>
      <c r="D742" s="77"/>
      <c r="E742" s="77"/>
      <c r="F742" s="78"/>
      <c r="G742" s="79" t="str">
        <f t="shared" si="157"/>
        <v/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73" t="s">
        <v>52</v>
      </c>
      <c r="B743" s="173"/>
      <c r="C743" s="173"/>
      <c r="D743" s="173"/>
      <c r="E743" s="173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53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62">B744+TIME(0,60,0)</f>
        <v>0.87499999999999967</v>
      </c>
      <c r="C745" s="76"/>
      <c r="D745" s="90"/>
      <c r="E745" s="90"/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46293</v>
      </c>
      <c r="B746" s="75">
        <f t="shared" si="162"/>
        <v>0.9166666666666663</v>
      </c>
      <c r="C746" s="76"/>
      <c r="D746" s="77"/>
      <c r="E746" s="77"/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46293</v>
      </c>
      <c r="B747" s="83">
        <f t="shared" si="162"/>
        <v>0.95833333333333293</v>
      </c>
      <c r="C747" s="76"/>
      <c r="D747" s="90"/>
      <c r="E747" s="90"/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46293</v>
      </c>
      <c r="B748" s="75">
        <f t="shared" si="162"/>
        <v>0.99999999999999956</v>
      </c>
      <c r="C748" s="76"/>
      <c r="D748" s="77"/>
      <c r="E748" s="77"/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46293</v>
      </c>
      <c r="B749" s="83">
        <f t="shared" si="162"/>
        <v>1.0416666666666663</v>
      </c>
      <c r="C749" s="76"/>
      <c r="D749" s="90"/>
      <c r="E749" s="90"/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46293</v>
      </c>
      <c r="B750" s="75">
        <f t="shared" si="162"/>
        <v>1.083333333333333</v>
      </c>
      <c r="C750" s="76"/>
      <c r="D750" s="77"/>
      <c r="E750" s="77"/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46293</v>
      </c>
      <c r="B751" s="83">
        <f t="shared" si="162"/>
        <v>1.1249999999999998</v>
      </c>
      <c r="C751" s="76"/>
      <c r="D751" s="90"/>
      <c r="E751" s="90"/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46293</v>
      </c>
      <c r="B752" s="75">
        <f t="shared" si="162"/>
        <v>1.1666666666666665</v>
      </c>
      <c r="C752" s="76"/>
      <c r="D752" s="77"/>
      <c r="E752" s="77"/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46293</v>
      </c>
      <c r="B753" s="83">
        <f t="shared" si="162"/>
        <v>1.2083333333333333</v>
      </c>
      <c r="C753" s="76"/>
      <c r="D753" s="90"/>
      <c r="E753" s="90"/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46293</v>
      </c>
      <c r="B754" s="75">
        <f t="shared" si="162"/>
        <v>1.25</v>
      </c>
      <c r="C754" s="76"/>
      <c r="D754" s="77"/>
      <c r="E754" s="77"/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46293</v>
      </c>
      <c r="B755" s="83">
        <f t="shared" si="162"/>
        <v>1.2916666666666667</v>
      </c>
      <c r="C755" s="85"/>
      <c r="D755" s="90"/>
      <c r="E755" s="90"/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73" t="s">
        <v>59</v>
      </c>
      <c r="B756" s="173"/>
      <c r="C756" s="173"/>
      <c r="D756" s="173"/>
      <c r="E756" s="173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53</v>
      </c>
      <c r="O756" s="89"/>
    </row>
    <row r="757" spans="1:15" ht="18" customHeight="1">
      <c r="A757" s="174" t="s">
        <v>29</v>
      </c>
      <c r="B757" s="174"/>
      <c r="C757" s="174"/>
      <c r="D757" s="174"/>
      <c r="E757" s="174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60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65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46294</v>
      </c>
      <c r="B760" s="75">
        <f t="shared" si="165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46294</v>
      </c>
      <c r="B761" s="83">
        <f t="shared" si="165"/>
        <v>0.45833333333333304</v>
      </c>
      <c r="C761" s="76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46294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46294</v>
      </c>
      <c r="B763" s="83">
        <f t="shared" si="165"/>
        <v>0.54166666666666641</v>
      </c>
      <c r="C763" s="76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46294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46294</v>
      </c>
      <c r="B765" s="83">
        <f t="shared" si="165"/>
        <v>0.62499999999999967</v>
      </c>
      <c r="C765" s="76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46294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46294</v>
      </c>
      <c r="B767" s="83">
        <f t="shared" si="165"/>
        <v>0.70833333333333293</v>
      </c>
      <c r="C767" s="76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46294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46294</v>
      </c>
      <c r="B769" s="83">
        <f t="shared" si="165"/>
        <v>0.79166666666666619</v>
      </c>
      <c r="C769" s="76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73" t="s">
        <v>52</v>
      </c>
      <c r="B770" s="173"/>
      <c r="C770" s="173"/>
      <c r="D770" s="173"/>
      <c r="E770" s="173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53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68">B771+TIME(0,60,0)</f>
        <v>0.87499999999999967</v>
      </c>
      <c r="C772" s="85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46294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46294</v>
      </c>
      <c r="B774" s="75">
        <f t="shared" si="168"/>
        <v>0.95833333333333293</v>
      </c>
      <c r="C774" s="85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46294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46294</v>
      </c>
      <c r="B776" s="75">
        <f t="shared" si="168"/>
        <v>1.0416666666666663</v>
      </c>
      <c r="C776" s="85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46294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46294</v>
      </c>
      <c r="B778" s="75">
        <f t="shared" si="168"/>
        <v>1.1249999999999998</v>
      </c>
      <c r="C778" s="85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46294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46294</v>
      </c>
      <c r="B780" s="75">
        <f t="shared" si="168"/>
        <v>1.2083333333333333</v>
      </c>
      <c r="C780" s="85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46294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46294</v>
      </c>
      <c r="B782" s="75">
        <f t="shared" si="168"/>
        <v>1.2916666666666667</v>
      </c>
      <c r="C782" s="85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73" t="s">
        <v>59</v>
      </c>
      <c r="B783" s="173"/>
      <c r="C783" s="173"/>
      <c r="D783" s="173"/>
      <c r="E783" s="173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53</v>
      </c>
      <c r="O783" s="89"/>
    </row>
    <row r="784" spans="1:15" ht="18" customHeight="1">
      <c r="A784" s="174" t="s">
        <v>29</v>
      </c>
      <c r="B784" s="174"/>
      <c r="C784" s="174"/>
      <c r="D784" s="174"/>
      <c r="E784" s="174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60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69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0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1">B785+TIME(0,60,0)</f>
        <v>0.37499999999999967</v>
      </c>
      <c r="C786" s="85"/>
      <c r="D786" s="77"/>
      <c r="E786" s="77"/>
      <c r="F786" s="78"/>
      <c r="G786" s="79" t="str">
        <f t="shared" si="169"/>
        <v/>
      </c>
      <c r="H786" s="76"/>
      <c r="I786" s="76"/>
      <c r="J786" s="76"/>
      <c r="K786" s="80"/>
      <c r="L786" s="80"/>
      <c r="M786" s="81" t="str">
        <f t="shared" ca="1" si="170"/>
        <v/>
      </c>
      <c r="N786" s="95"/>
      <c r="O786" s="96"/>
    </row>
    <row r="787" spans="1:15" ht="15" customHeight="1">
      <c r="A787" s="18">
        <v>46295</v>
      </c>
      <c r="B787" s="83">
        <f t="shared" si="171"/>
        <v>0.41666666666666635</v>
      </c>
      <c r="C787" s="85"/>
      <c r="D787" s="90"/>
      <c r="E787" s="90"/>
      <c r="F787" s="78"/>
      <c r="G787" s="84" t="str">
        <f t="shared" si="169"/>
        <v/>
      </c>
      <c r="H787" s="85"/>
      <c r="I787" s="85"/>
      <c r="J787" s="85"/>
      <c r="K787" s="80"/>
      <c r="L787" s="80"/>
      <c r="M787" s="86" t="str">
        <f t="shared" ca="1" si="170"/>
        <v/>
      </c>
      <c r="N787" s="95"/>
      <c r="O787" s="96"/>
    </row>
    <row r="788" spans="1:15" ht="15" customHeight="1">
      <c r="A788" s="74">
        <v>46295</v>
      </c>
      <c r="B788" s="75">
        <f t="shared" si="171"/>
        <v>0.45833333333333304</v>
      </c>
      <c r="C788" s="85"/>
      <c r="D788" s="77"/>
      <c r="E788" s="77"/>
      <c r="F788" s="78"/>
      <c r="G788" s="79" t="str">
        <f t="shared" si="169"/>
        <v/>
      </c>
      <c r="H788" s="76"/>
      <c r="I788" s="76"/>
      <c r="J788" s="76"/>
      <c r="K788" s="80"/>
      <c r="L788" s="80"/>
      <c r="M788" s="81" t="str">
        <f t="shared" ca="1" si="170"/>
        <v/>
      </c>
      <c r="N788" s="95"/>
      <c r="O788" s="96"/>
    </row>
    <row r="789" spans="1:15" ht="15" customHeight="1">
      <c r="A789" s="18">
        <v>46295</v>
      </c>
      <c r="B789" s="83">
        <f t="shared" si="171"/>
        <v>0.49999999999999972</v>
      </c>
      <c r="C789" s="85"/>
      <c r="D789" s="90"/>
      <c r="E789" s="90"/>
      <c r="F789" s="78"/>
      <c r="G789" s="84" t="str">
        <f t="shared" si="169"/>
        <v/>
      </c>
      <c r="H789" s="85"/>
      <c r="I789" s="85"/>
      <c r="J789" s="85"/>
      <c r="K789" s="80"/>
      <c r="L789" s="80"/>
      <c r="M789" s="86" t="str">
        <f t="shared" ca="1" si="170"/>
        <v/>
      </c>
      <c r="N789" s="95"/>
      <c r="O789" s="96"/>
    </row>
    <row r="790" spans="1:15" ht="15" customHeight="1">
      <c r="A790" s="74">
        <v>46295</v>
      </c>
      <c r="B790" s="75">
        <f t="shared" si="171"/>
        <v>0.54166666666666641</v>
      </c>
      <c r="C790" s="85"/>
      <c r="D790" s="77"/>
      <c r="E790" s="77"/>
      <c r="F790" s="78"/>
      <c r="G790" s="79" t="str">
        <f t="shared" si="169"/>
        <v/>
      </c>
      <c r="H790" s="76"/>
      <c r="I790" s="76"/>
      <c r="J790" s="76"/>
      <c r="K790" s="80"/>
      <c r="L790" s="80"/>
      <c r="M790" s="81" t="str">
        <f t="shared" ca="1" si="170"/>
        <v/>
      </c>
      <c r="N790" s="95"/>
      <c r="O790" s="96"/>
    </row>
    <row r="791" spans="1:15" ht="15" customHeight="1">
      <c r="A791" s="18">
        <v>46295</v>
      </c>
      <c r="B791" s="83">
        <f t="shared" si="171"/>
        <v>0.58333333333333304</v>
      </c>
      <c r="C791" s="85"/>
      <c r="D791" s="90"/>
      <c r="E791" s="90"/>
      <c r="F791" s="78"/>
      <c r="G791" s="84" t="str">
        <f t="shared" si="169"/>
        <v/>
      </c>
      <c r="H791" s="85"/>
      <c r="I791" s="85"/>
      <c r="J791" s="85"/>
      <c r="K791" s="80"/>
      <c r="L791" s="80"/>
      <c r="M791" s="86" t="str">
        <f t="shared" ca="1" si="170"/>
        <v/>
      </c>
      <c r="N791" s="95"/>
      <c r="O791" s="96"/>
    </row>
    <row r="792" spans="1:15" ht="15" customHeight="1">
      <c r="A792" s="74">
        <v>46295</v>
      </c>
      <c r="B792" s="75">
        <f t="shared" si="171"/>
        <v>0.62499999999999967</v>
      </c>
      <c r="C792" s="85"/>
      <c r="D792" s="77"/>
      <c r="E792" s="77"/>
      <c r="F792" s="78"/>
      <c r="G792" s="79" t="str">
        <f t="shared" si="169"/>
        <v/>
      </c>
      <c r="H792" s="76"/>
      <c r="I792" s="76"/>
      <c r="J792" s="76"/>
      <c r="K792" s="80"/>
      <c r="L792" s="80"/>
      <c r="M792" s="81" t="str">
        <f t="shared" ca="1" si="170"/>
        <v/>
      </c>
      <c r="N792" s="95"/>
      <c r="O792" s="96"/>
    </row>
    <row r="793" spans="1:15" ht="15" customHeight="1">
      <c r="A793" s="18">
        <v>46295</v>
      </c>
      <c r="B793" s="83">
        <f t="shared" si="171"/>
        <v>0.6666666666666663</v>
      </c>
      <c r="C793" s="85"/>
      <c r="D793" s="90"/>
      <c r="E793" s="90"/>
      <c r="F793" s="78"/>
      <c r="G793" s="84" t="str">
        <f t="shared" si="169"/>
        <v/>
      </c>
      <c r="H793" s="85"/>
      <c r="I793" s="85"/>
      <c r="J793" s="85"/>
      <c r="K793" s="80"/>
      <c r="L793" s="80"/>
      <c r="M793" s="86" t="str">
        <f t="shared" ca="1" si="170"/>
        <v/>
      </c>
      <c r="N793" s="95"/>
      <c r="O793" s="96"/>
    </row>
    <row r="794" spans="1:15" ht="15" customHeight="1">
      <c r="A794" s="74">
        <v>46295</v>
      </c>
      <c r="B794" s="75">
        <f t="shared" si="171"/>
        <v>0.70833333333333293</v>
      </c>
      <c r="C794" s="85"/>
      <c r="D794" s="77"/>
      <c r="E794" s="77"/>
      <c r="F794" s="78"/>
      <c r="G794" s="79" t="str">
        <f t="shared" si="169"/>
        <v/>
      </c>
      <c r="H794" s="76"/>
      <c r="I794" s="76"/>
      <c r="J794" s="76"/>
      <c r="K794" s="80"/>
      <c r="L794" s="80"/>
      <c r="M794" s="81" t="str">
        <f t="shared" ca="1" si="170"/>
        <v/>
      </c>
      <c r="N794" s="95"/>
      <c r="O794" s="96"/>
    </row>
    <row r="795" spans="1:15" ht="15" customHeight="1">
      <c r="A795" s="18">
        <v>46295</v>
      </c>
      <c r="B795" s="83">
        <f t="shared" si="171"/>
        <v>0.74999999999999956</v>
      </c>
      <c r="C795" s="85"/>
      <c r="D795" s="90"/>
      <c r="E795" s="90"/>
      <c r="F795" s="78"/>
      <c r="G795" s="84" t="str">
        <f t="shared" si="169"/>
        <v/>
      </c>
      <c r="H795" s="85"/>
      <c r="I795" s="85"/>
      <c r="J795" s="85"/>
      <c r="K795" s="80"/>
      <c r="L795" s="80"/>
      <c r="M795" s="86" t="str">
        <f t="shared" ca="1" si="170"/>
        <v/>
      </c>
      <c r="N795" s="95"/>
      <c r="O795" s="96"/>
    </row>
    <row r="796" spans="1:15" ht="15" customHeight="1">
      <c r="A796" s="74">
        <v>46295</v>
      </c>
      <c r="B796" s="75">
        <f t="shared" si="171"/>
        <v>0.79166666666666619</v>
      </c>
      <c r="C796" s="85"/>
      <c r="D796" s="77"/>
      <c r="E796" s="77"/>
      <c r="F796" s="78"/>
      <c r="G796" s="79" t="str">
        <f t="shared" si="169"/>
        <v/>
      </c>
      <c r="H796" s="76"/>
      <c r="I796" s="76"/>
      <c r="J796" s="76"/>
      <c r="K796" s="80"/>
      <c r="L796" s="80"/>
      <c r="M796" s="81" t="str">
        <f t="shared" ca="1" si="170"/>
        <v/>
      </c>
      <c r="N796" s="95"/>
      <c r="O796" s="96"/>
    </row>
    <row r="797" spans="1:15" ht="15.75" customHeight="1">
      <c r="A797" s="173" t="s">
        <v>52</v>
      </c>
      <c r="B797" s="173"/>
      <c r="C797" s="173"/>
      <c r="D797" s="173"/>
      <c r="E797" s="173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53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72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73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72"/>
        <v/>
      </c>
      <c r="N799" s="95"/>
      <c r="O799" s="96"/>
    </row>
    <row r="800" spans="1:15" ht="15" customHeight="1">
      <c r="A800" s="74">
        <v>46295</v>
      </c>
      <c r="B800" s="75">
        <f t="shared" si="173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72"/>
        <v/>
      </c>
      <c r="N800" s="95"/>
      <c r="O800" s="96"/>
    </row>
    <row r="801" spans="1:15" ht="15" customHeight="1">
      <c r="A801" s="18">
        <v>46295</v>
      </c>
      <c r="B801" s="83">
        <f t="shared" si="173"/>
        <v>0.95833333333333293</v>
      </c>
      <c r="C801" s="76"/>
      <c r="D801" s="77"/>
      <c r="E801" s="77"/>
      <c r="F801" s="78"/>
      <c r="G801" s="162" t="str">
        <f t="shared" ref="G801:G809" si="174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2"/>
        <v/>
      </c>
      <c r="N801" s="95"/>
      <c r="O801" s="96"/>
    </row>
    <row r="802" spans="1:15" ht="15" customHeight="1">
      <c r="A802" s="74">
        <v>46295</v>
      </c>
      <c r="B802" s="75">
        <f t="shared" si="173"/>
        <v>0.99999999999999956</v>
      </c>
      <c r="C802" s="76"/>
      <c r="D802" s="77"/>
      <c r="E802" s="77"/>
      <c r="F802" s="78"/>
      <c r="G802" s="161" t="str">
        <f t="shared" si="174"/>
        <v/>
      </c>
      <c r="H802" s="76"/>
      <c r="I802" s="76"/>
      <c r="J802" s="76"/>
      <c r="K802" s="80"/>
      <c r="L802" s="80"/>
      <c r="M802" s="81" t="str">
        <f t="shared" ca="1" si="172"/>
        <v/>
      </c>
      <c r="N802" s="95"/>
      <c r="O802" s="96"/>
    </row>
    <row r="803" spans="1:15" ht="15" customHeight="1">
      <c r="A803" s="18">
        <v>46295</v>
      </c>
      <c r="B803" s="83">
        <f t="shared" si="173"/>
        <v>1.0416666666666663</v>
      </c>
      <c r="C803" s="76"/>
      <c r="D803" s="77"/>
      <c r="E803" s="77"/>
      <c r="F803" s="78"/>
      <c r="G803" s="162" t="str">
        <f t="shared" si="174"/>
        <v/>
      </c>
      <c r="H803" s="85"/>
      <c r="I803" s="85"/>
      <c r="J803" s="85"/>
      <c r="K803" s="80"/>
      <c r="L803" s="80"/>
      <c r="M803" s="86" t="str">
        <f t="shared" ca="1" si="172"/>
        <v/>
      </c>
      <c r="N803" s="95"/>
      <c r="O803" s="96"/>
    </row>
    <row r="804" spans="1:15" ht="15" customHeight="1">
      <c r="A804" s="74">
        <v>46295</v>
      </c>
      <c r="B804" s="75">
        <f t="shared" si="173"/>
        <v>1.083333333333333</v>
      </c>
      <c r="C804" s="76"/>
      <c r="D804" s="77"/>
      <c r="E804" s="77"/>
      <c r="F804" s="78"/>
      <c r="G804" s="161" t="str">
        <f t="shared" si="174"/>
        <v/>
      </c>
      <c r="H804" s="76"/>
      <c r="I804" s="76"/>
      <c r="J804" s="76"/>
      <c r="K804" s="80"/>
      <c r="L804" s="80"/>
      <c r="M804" s="81" t="str">
        <f t="shared" ca="1" si="172"/>
        <v/>
      </c>
      <c r="N804" s="95"/>
      <c r="O804" s="96"/>
    </row>
    <row r="805" spans="1:15" ht="15" customHeight="1">
      <c r="A805" s="18">
        <v>46295</v>
      </c>
      <c r="B805" s="83">
        <f t="shared" si="173"/>
        <v>1.1249999999999998</v>
      </c>
      <c r="C805" s="76"/>
      <c r="D805" s="77"/>
      <c r="E805" s="77"/>
      <c r="F805" s="78"/>
      <c r="G805" s="162" t="str">
        <f t="shared" si="174"/>
        <v/>
      </c>
      <c r="H805" s="85"/>
      <c r="I805" s="85"/>
      <c r="J805" s="85"/>
      <c r="K805" s="80"/>
      <c r="L805" s="80"/>
      <c r="M805" s="86" t="str">
        <f t="shared" ca="1" si="172"/>
        <v/>
      </c>
      <c r="N805" s="95"/>
      <c r="O805" s="96"/>
    </row>
    <row r="806" spans="1:15" ht="15" customHeight="1">
      <c r="A806" s="74">
        <v>46295</v>
      </c>
      <c r="B806" s="75">
        <f t="shared" si="173"/>
        <v>1.1666666666666665</v>
      </c>
      <c r="C806" s="76"/>
      <c r="D806" s="77"/>
      <c r="E806" s="77"/>
      <c r="F806" s="78"/>
      <c r="G806" s="161" t="str">
        <f t="shared" si="174"/>
        <v/>
      </c>
      <c r="H806" s="76"/>
      <c r="I806" s="76"/>
      <c r="J806" s="76"/>
      <c r="K806" s="80"/>
      <c r="L806" s="80"/>
      <c r="M806" s="81" t="str">
        <f t="shared" ca="1" si="172"/>
        <v/>
      </c>
      <c r="N806" s="95"/>
      <c r="O806" s="96"/>
    </row>
    <row r="807" spans="1:15" ht="15" customHeight="1">
      <c r="A807" s="18">
        <v>46295</v>
      </c>
      <c r="B807" s="83">
        <f t="shared" si="173"/>
        <v>1.2083333333333333</v>
      </c>
      <c r="C807" s="76"/>
      <c r="D807" s="77"/>
      <c r="E807" s="77"/>
      <c r="F807" s="78"/>
      <c r="G807" s="162" t="str">
        <f t="shared" si="174"/>
        <v/>
      </c>
      <c r="H807" s="85"/>
      <c r="I807" s="85"/>
      <c r="J807" s="85"/>
      <c r="K807" s="80"/>
      <c r="L807" s="80"/>
      <c r="M807" s="86" t="str">
        <f t="shared" ca="1" si="172"/>
        <v/>
      </c>
      <c r="N807" s="95"/>
      <c r="O807" s="96"/>
    </row>
    <row r="808" spans="1:15" ht="15" customHeight="1">
      <c r="A808" s="74">
        <v>46295</v>
      </c>
      <c r="B808" s="75">
        <f t="shared" si="173"/>
        <v>1.25</v>
      </c>
      <c r="C808" s="76"/>
      <c r="D808" s="77"/>
      <c r="E808" s="77"/>
      <c r="F808" s="78"/>
      <c r="G808" s="161" t="str">
        <f t="shared" si="174"/>
        <v/>
      </c>
      <c r="H808" s="76"/>
      <c r="I808" s="76"/>
      <c r="J808" s="76"/>
      <c r="K808" s="80"/>
      <c r="L808" s="80"/>
      <c r="M808" s="81" t="str">
        <f t="shared" ca="1" si="172"/>
        <v/>
      </c>
      <c r="N808" s="95"/>
      <c r="O808" s="96"/>
    </row>
    <row r="809" spans="1:15" ht="15" customHeight="1">
      <c r="A809" s="18">
        <v>46295</v>
      </c>
      <c r="B809" s="83">
        <f t="shared" si="173"/>
        <v>1.2916666666666667</v>
      </c>
      <c r="C809" s="76"/>
      <c r="D809" s="77"/>
      <c r="E809" s="77"/>
      <c r="F809" s="78"/>
      <c r="G809" s="162" t="str">
        <f t="shared" si="174"/>
        <v/>
      </c>
      <c r="H809" s="85"/>
      <c r="I809" s="85"/>
      <c r="J809" s="85"/>
      <c r="K809" s="80"/>
      <c r="L809" s="80"/>
      <c r="M809" s="86" t="str">
        <f t="shared" ca="1" si="172"/>
        <v/>
      </c>
      <c r="N809" s="95"/>
      <c r="O809" s="96"/>
    </row>
    <row r="810" spans="1:15" ht="15.75" customHeight="1">
      <c r="A810" s="173" t="s">
        <v>59</v>
      </c>
      <c r="B810" s="173"/>
      <c r="C810" s="173"/>
      <c r="D810" s="173"/>
      <c r="E810" s="173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53</v>
      </c>
      <c r="O810" s="89"/>
    </row>
    <row r="811" spans="1:15" ht="18" customHeight="1">
      <c r="A811" s="174" t="s">
        <v>29</v>
      </c>
      <c r="B811" s="174"/>
      <c r="C811" s="174"/>
      <c r="D811" s="174"/>
      <c r="E811" s="174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60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75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6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77">B812+TIME(0,60,0)</f>
        <v>0.37499999999999967</v>
      </c>
      <c r="C813" s="76"/>
      <c r="D813" s="77"/>
      <c r="E813" s="77"/>
      <c r="F813" s="78"/>
      <c r="G813" s="162" t="str">
        <f t="shared" si="175"/>
        <v/>
      </c>
      <c r="H813" s="76"/>
      <c r="I813" s="76"/>
      <c r="J813" s="76"/>
      <c r="K813" s="80"/>
      <c r="L813" s="80"/>
      <c r="M813" s="81" t="str">
        <f t="shared" ca="1" si="176"/>
        <v/>
      </c>
      <c r="N813" s="78"/>
      <c r="O813" s="82"/>
    </row>
    <row r="814" spans="1:15" ht="15" customHeight="1">
      <c r="A814" s="74"/>
      <c r="B814" s="75">
        <f t="shared" si="177"/>
        <v>0.41666666666666635</v>
      </c>
      <c r="C814" s="76"/>
      <c r="D814" s="77"/>
      <c r="E814" s="77"/>
      <c r="F814" s="78"/>
      <c r="G814" s="161" t="str">
        <f t="shared" si="175"/>
        <v/>
      </c>
      <c r="H814" s="85"/>
      <c r="I814" s="85"/>
      <c r="J814" s="85"/>
      <c r="K814" s="80"/>
      <c r="L814" s="80"/>
      <c r="M814" s="86" t="str">
        <f t="shared" ca="1" si="176"/>
        <v/>
      </c>
      <c r="N814" s="78"/>
      <c r="O814" s="82"/>
    </row>
    <row r="815" spans="1:15" ht="15" customHeight="1">
      <c r="A815" s="18"/>
      <c r="B815" s="83">
        <f t="shared" si="177"/>
        <v>0.45833333333333304</v>
      </c>
      <c r="C815" s="76"/>
      <c r="D815" s="77"/>
      <c r="E815" s="77"/>
      <c r="F815" s="78"/>
      <c r="G815" s="162" t="str">
        <f t="shared" si="175"/>
        <v/>
      </c>
      <c r="H815" s="76"/>
      <c r="I815" s="76"/>
      <c r="J815" s="76"/>
      <c r="K815" s="80"/>
      <c r="L815" s="80"/>
      <c r="M815" s="81" t="str">
        <f t="shared" ca="1" si="176"/>
        <v/>
      </c>
      <c r="N815" s="78"/>
      <c r="O815" s="82"/>
    </row>
    <row r="816" spans="1:15" ht="15" customHeight="1">
      <c r="A816" s="74"/>
      <c r="B816" s="75">
        <f t="shared" si="177"/>
        <v>0.49999999999999972</v>
      </c>
      <c r="C816" s="76"/>
      <c r="D816" s="77"/>
      <c r="E816" s="77"/>
      <c r="F816" s="78"/>
      <c r="G816" s="161" t="str">
        <f t="shared" si="175"/>
        <v/>
      </c>
      <c r="H816" s="85"/>
      <c r="I816" s="85"/>
      <c r="J816" s="85"/>
      <c r="K816" s="80"/>
      <c r="L816" s="80"/>
      <c r="M816" s="86" t="str">
        <f t="shared" ca="1" si="176"/>
        <v/>
      </c>
      <c r="N816" s="78"/>
      <c r="O816" s="82"/>
    </row>
    <row r="817" spans="1:15" ht="15" customHeight="1">
      <c r="A817" s="18"/>
      <c r="B817" s="83">
        <f t="shared" si="177"/>
        <v>0.54166666666666641</v>
      </c>
      <c r="C817" s="76"/>
      <c r="D817" s="77"/>
      <c r="E817" s="77"/>
      <c r="F817" s="78"/>
      <c r="G817" s="162" t="str">
        <f t="shared" si="175"/>
        <v/>
      </c>
      <c r="H817" s="76"/>
      <c r="I817" s="76"/>
      <c r="J817" s="76"/>
      <c r="K817" s="80"/>
      <c r="L817" s="80"/>
      <c r="M817" s="81" t="str">
        <f t="shared" ca="1" si="176"/>
        <v/>
      </c>
      <c r="N817" s="78"/>
      <c r="O817" s="82"/>
    </row>
    <row r="818" spans="1:15" ht="15" customHeight="1">
      <c r="A818" s="74"/>
      <c r="B818" s="75">
        <f t="shared" si="177"/>
        <v>0.58333333333333304</v>
      </c>
      <c r="C818" s="76"/>
      <c r="D818" s="77"/>
      <c r="E818" s="77"/>
      <c r="F818" s="78"/>
      <c r="G818" s="161" t="str">
        <f t="shared" si="175"/>
        <v/>
      </c>
      <c r="H818" s="85"/>
      <c r="I818" s="85"/>
      <c r="J818" s="85"/>
      <c r="K818" s="80"/>
      <c r="L818" s="80"/>
      <c r="M818" s="86" t="str">
        <f t="shared" ca="1" si="176"/>
        <v/>
      </c>
      <c r="N818" s="78"/>
      <c r="O818" s="82"/>
    </row>
    <row r="819" spans="1:15" ht="15" customHeight="1">
      <c r="A819" s="18"/>
      <c r="B819" s="83">
        <f t="shared" si="177"/>
        <v>0.62499999999999967</v>
      </c>
      <c r="C819" s="76"/>
      <c r="D819" s="77"/>
      <c r="E819" s="77"/>
      <c r="F819" s="78"/>
      <c r="G819" s="162" t="str">
        <f t="shared" si="175"/>
        <v/>
      </c>
      <c r="H819" s="76"/>
      <c r="I819" s="76"/>
      <c r="J819" s="76"/>
      <c r="K819" s="80"/>
      <c r="L819" s="80"/>
      <c r="M819" s="81" t="str">
        <f t="shared" ca="1" si="176"/>
        <v/>
      </c>
      <c r="N819" s="78"/>
      <c r="O819" s="82"/>
    </row>
    <row r="820" spans="1:15" ht="15" customHeight="1">
      <c r="A820" s="74"/>
      <c r="B820" s="75">
        <f t="shared" si="177"/>
        <v>0.6666666666666663</v>
      </c>
      <c r="C820" s="76"/>
      <c r="D820" s="77"/>
      <c r="E820" s="77"/>
      <c r="F820" s="78"/>
      <c r="G820" s="161" t="str">
        <f t="shared" si="175"/>
        <v/>
      </c>
      <c r="H820" s="85"/>
      <c r="I820" s="85"/>
      <c r="J820" s="85"/>
      <c r="K820" s="80"/>
      <c r="L820" s="80"/>
      <c r="M820" s="86" t="str">
        <f t="shared" ca="1" si="176"/>
        <v/>
      </c>
      <c r="N820" s="78"/>
      <c r="O820" s="82"/>
    </row>
    <row r="821" spans="1:15" ht="15" customHeight="1">
      <c r="A821" s="18"/>
      <c r="B821" s="83">
        <f t="shared" si="177"/>
        <v>0.70833333333333293</v>
      </c>
      <c r="C821" s="76"/>
      <c r="D821" s="77"/>
      <c r="E821" s="77"/>
      <c r="F821" s="78"/>
      <c r="G821" s="162" t="str">
        <f t="shared" si="175"/>
        <v/>
      </c>
      <c r="H821" s="76"/>
      <c r="I821" s="76"/>
      <c r="J821" s="76"/>
      <c r="K821" s="80"/>
      <c r="L821" s="80"/>
      <c r="M821" s="81" t="str">
        <f t="shared" ca="1" si="176"/>
        <v/>
      </c>
      <c r="N821" s="78"/>
      <c r="O821" s="82"/>
    </row>
    <row r="822" spans="1:15" ht="15" customHeight="1">
      <c r="A822" s="74"/>
      <c r="B822" s="75">
        <f t="shared" si="177"/>
        <v>0.74999999999999956</v>
      </c>
      <c r="C822" s="76"/>
      <c r="D822" s="77"/>
      <c r="E822" s="77"/>
      <c r="F822" s="78"/>
      <c r="G822" s="161" t="str">
        <f t="shared" si="175"/>
        <v/>
      </c>
      <c r="H822" s="85"/>
      <c r="I822" s="85"/>
      <c r="J822" s="85"/>
      <c r="K822" s="80"/>
      <c r="L822" s="80"/>
      <c r="M822" s="86" t="str">
        <f t="shared" ca="1" si="176"/>
        <v/>
      </c>
      <c r="N822" s="78"/>
      <c r="O822" s="82"/>
    </row>
    <row r="823" spans="1:15" ht="15" customHeight="1">
      <c r="A823" s="18"/>
      <c r="B823" s="83">
        <f t="shared" si="177"/>
        <v>0.79166666666666619</v>
      </c>
      <c r="C823" s="76"/>
      <c r="D823" s="77"/>
      <c r="E823" s="77"/>
      <c r="F823" s="78"/>
      <c r="G823" s="162" t="str">
        <f t="shared" si="175"/>
        <v/>
      </c>
      <c r="H823" s="76"/>
      <c r="I823" s="76"/>
      <c r="J823" s="76"/>
      <c r="K823" s="80"/>
      <c r="L823" s="80"/>
      <c r="M823" s="81" t="str">
        <f t="shared" ca="1" si="176"/>
        <v/>
      </c>
      <c r="N823" s="78"/>
      <c r="O823" s="82"/>
    </row>
    <row r="824" spans="1:15" ht="15.75" customHeight="1">
      <c r="A824" s="173" t="s">
        <v>52</v>
      </c>
      <c r="B824" s="173"/>
      <c r="C824" s="173"/>
      <c r="D824" s="173"/>
      <c r="E824" s="173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53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78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9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0">B825+TIME(0,60,0)</f>
        <v>0.87499999999999967</v>
      </c>
      <c r="C826" s="85"/>
      <c r="D826" s="90"/>
      <c r="E826" s="90"/>
      <c r="F826" s="78"/>
      <c r="G826" s="79" t="str">
        <f t="shared" si="178"/>
        <v/>
      </c>
      <c r="H826" s="85"/>
      <c r="I826" s="85"/>
      <c r="J826" s="85"/>
      <c r="K826" s="80"/>
      <c r="L826" s="80"/>
      <c r="M826" s="86" t="str">
        <f t="shared" ca="1" si="179"/>
        <v/>
      </c>
      <c r="N826" s="78"/>
      <c r="O826" s="82"/>
    </row>
    <row r="827" spans="1:15" ht="15" customHeight="1">
      <c r="A827" s="18"/>
      <c r="B827" s="83">
        <f t="shared" si="180"/>
        <v>0.9166666666666663</v>
      </c>
      <c r="C827" s="85"/>
      <c r="D827" s="90"/>
      <c r="E827" s="90"/>
      <c r="F827" s="78"/>
      <c r="G827" s="84" t="str">
        <f t="shared" si="178"/>
        <v/>
      </c>
      <c r="H827" s="76"/>
      <c r="I827" s="76"/>
      <c r="J827" s="76"/>
      <c r="K827" s="80"/>
      <c r="L827" s="80"/>
      <c r="M827" s="81" t="str">
        <f t="shared" ca="1" si="179"/>
        <v/>
      </c>
      <c r="N827" s="78"/>
      <c r="O827" s="82"/>
    </row>
    <row r="828" spans="1:15" ht="15" customHeight="1">
      <c r="A828" s="74"/>
      <c r="B828" s="75">
        <f t="shared" si="180"/>
        <v>0.95833333333333293</v>
      </c>
      <c r="C828" s="85"/>
      <c r="D828" s="90"/>
      <c r="E828" s="90"/>
      <c r="F828" s="78"/>
      <c r="G828" s="79" t="str">
        <f t="shared" si="178"/>
        <v/>
      </c>
      <c r="H828" s="85"/>
      <c r="I828" s="85"/>
      <c r="J828" s="85"/>
      <c r="K828" s="80"/>
      <c r="L828" s="80"/>
      <c r="M828" s="86" t="str">
        <f t="shared" ca="1" si="179"/>
        <v/>
      </c>
      <c r="N828" s="78"/>
      <c r="O828" s="82"/>
    </row>
    <row r="829" spans="1:15" ht="15" customHeight="1">
      <c r="A829" s="18"/>
      <c r="B829" s="83">
        <f t="shared" si="180"/>
        <v>0.99999999999999956</v>
      </c>
      <c r="C829" s="85"/>
      <c r="D829" s="90"/>
      <c r="E829" s="90"/>
      <c r="F829" s="78"/>
      <c r="G829" s="84" t="str">
        <f t="shared" si="178"/>
        <v/>
      </c>
      <c r="H829" s="76"/>
      <c r="I829" s="76"/>
      <c r="J829" s="76"/>
      <c r="K829" s="80"/>
      <c r="L829" s="80"/>
      <c r="M829" s="81" t="str">
        <f t="shared" ca="1" si="179"/>
        <v/>
      </c>
      <c r="N829" s="78"/>
      <c r="O829" s="82"/>
    </row>
    <row r="830" spans="1:15" ht="15" customHeight="1">
      <c r="A830" s="74"/>
      <c r="B830" s="75">
        <f t="shared" si="180"/>
        <v>1.0416666666666663</v>
      </c>
      <c r="C830" s="85"/>
      <c r="D830" s="90"/>
      <c r="E830" s="90"/>
      <c r="F830" s="78"/>
      <c r="G830" s="79" t="str">
        <f t="shared" si="178"/>
        <v/>
      </c>
      <c r="H830" s="85"/>
      <c r="I830" s="85"/>
      <c r="J830" s="85"/>
      <c r="K830" s="80"/>
      <c r="L830" s="80"/>
      <c r="M830" s="86" t="str">
        <f t="shared" ca="1" si="179"/>
        <v/>
      </c>
      <c r="N830" s="78"/>
      <c r="O830" s="82"/>
    </row>
    <row r="831" spans="1:15" ht="15" customHeight="1">
      <c r="A831" s="18"/>
      <c r="B831" s="83">
        <f t="shared" si="180"/>
        <v>1.083333333333333</v>
      </c>
      <c r="C831" s="85"/>
      <c r="D831" s="90"/>
      <c r="E831" s="90"/>
      <c r="F831" s="78"/>
      <c r="G831" s="84" t="str">
        <f t="shared" si="178"/>
        <v/>
      </c>
      <c r="H831" s="76"/>
      <c r="I831" s="76"/>
      <c r="J831" s="76"/>
      <c r="K831" s="80"/>
      <c r="L831" s="80"/>
      <c r="M831" s="81" t="str">
        <f t="shared" ca="1" si="179"/>
        <v/>
      </c>
      <c r="N831" s="78"/>
      <c r="O831" s="82"/>
    </row>
    <row r="832" spans="1:15" ht="15" customHeight="1">
      <c r="A832" s="74"/>
      <c r="B832" s="75">
        <f t="shared" si="180"/>
        <v>1.1249999999999998</v>
      </c>
      <c r="C832" s="85"/>
      <c r="D832" s="90"/>
      <c r="E832" s="90"/>
      <c r="F832" s="78"/>
      <c r="G832" s="79" t="str">
        <f t="shared" si="178"/>
        <v/>
      </c>
      <c r="H832" s="85"/>
      <c r="I832" s="85"/>
      <c r="J832" s="85"/>
      <c r="K832" s="80"/>
      <c r="L832" s="80"/>
      <c r="M832" s="86" t="str">
        <f t="shared" ca="1" si="179"/>
        <v/>
      </c>
      <c r="N832" s="78"/>
      <c r="O832" s="82"/>
    </row>
    <row r="833" spans="1:15" ht="15" customHeight="1">
      <c r="A833" s="18"/>
      <c r="B833" s="83">
        <f t="shared" si="180"/>
        <v>1.1666666666666665</v>
      </c>
      <c r="C833" s="85"/>
      <c r="D833" s="90"/>
      <c r="E833" s="90"/>
      <c r="F833" s="78"/>
      <c r="G833" s="84" t="str">
        <f t="shared" si="178"/>
        <v/>
      </c>
      <c r="H833" s="76"/>
      <c r="I833" s="76"/>
      <c r="J833" s="76"/>
      <c r="K833" s="80"/>
      <c r="L833" s="80"/>
      <c r="M833" s="81" t="str">
        <f t="shared" ca="1" si="179"/>
        <v/>
      </c>
      <c r="N833" s="78"/>
      <c r="O833" s="82"/>
    </row>
    <row r="834" spans="1:15" ht="15" customHeight="1">
      <c r="A834" s="74"/>
      <c r="B834" s="75">
        <f t="shared" si="180"/>
        <v>1.2083333333333333</v>
      </c>
      <c r="C834" s="85"/>
      <c r="D834" s="90"/>
      <c r="E834" s="90"/>
      <c r="F834" s="78"/>
      <c r="G834" s="79" t="str">
        <f t="shared" si="178"/>
        <v/>
      </c>
      <c r="H834" s="85"/>
      <c r="I834" s="85"/>
      <c r="J834" s="85"/>
      <c r="K834" s="80"/>
      <c r="L834" s="80"/>
      <c r="M834" s="86" t="str">
        <f t="shared" ca="1" si="179"/>
        <v/>
      </c>
      <c r="N834" s="78"/>
      <c r="O834" s="82"/>
    </row>
    <row r="835" spans="1:15" ht="15" customHeight="1">
      <c r="A835" s="18"/>
      <c r="B835" s="83">
        <f t="shared" si="180"/>
        <v>1.25</v>
      </c>
      <c r="C835" s="85"/>
      <c r="D835" s="90"/>
      <c r="E835" s="90"/>
      <c r="F835" s="78"/>
      <c r="G835" s="84" t="str">
        <f t="shared" si="178"/>
        <v/>
      </c>
      <c r="H835" s="76"/>
      <c r="I835" s="76"/>
      <c r="J835" s="76"/>
      <c r="K835" s="80"/>
      <c r="L835" s="80"/>
      <c r="M835" s="81" t="str">
        <f t="shared" ca="1" si="179"/>
        <v/>
      </c>
      <c r="N835" s="78"/>
      <c r="O835" s="82"/>
    </row>
    <row r="836" spans="1:15" ht="15" customHeight="1">
      <c r="A836" s="74"/>
      <c r="B836" s="75">
        <f t="shared" si="180"/>
        <v>1.2916666666666667</v>
      </c>
      <c r="C836" s="85"/>
      <c r="D836" s="90"/>
      <c r="E836" s="90"/>
      <c r="F836" s="78"/>
      <c r="G836" s="79" t="str">
        <f t="shared" si="178"/>
        <v/>
      </c>
      <c r="H836" s="85"/>
      <c r="I836" s="85"/>
      <c r="J836" s="85"/>
      <c r="K836" s="80"/>
      <c r="L836" s="80"/>
      <c r="M836" s="86" t="str">
        <f t="shared" ca="1" si="179"/>
        <v/>
      </c>
      <c r="N836" s="78"/>
      <c r="O836" s="82"/>
    </row>
    <row r="837" spans="1:15" ht="15.75" customHeight="1">
      <c r="A837" s="173" t="s">
        <v>59</v>
      </c>
      <c r="B837" s="173"/>
      <c r="C837" s="173"/>
      <c r="D837" s="173"/>
      <c r="E837" s="173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53</v>
      </c>
      <c r="O837" s="89"/>
    </row>
    <row r="838" spans="1:15" ht="18" customHeight="1">
      <c r="A838" s="174" t="s">
        <v>29</v>
      </c>
      <c r="B838" s="174"/>
      <c r="C838" s="174"/>
      <c r="D838" s="174"/>
      <c r="E838" s="174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60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29:E229 E231:E310 E312:E381 E383:E720 E15:E26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C43:C229 C231:C310 C706:D706 C312:C705 C29:C41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28" activePane="bottomLeft" state="frozen"/>
      <selection pane="bottomLeft" activeCell="P44" sqref="P44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30</v>
      </c>
      <c r="C1" s="72" t="s">
        <v>19</v>
      </c>
      <c r="D1" s="71" t="s">
        <v>31</v>
      </c>
      <c r="E1" s="71" t="s">
        <v>32</v>
      </c>
      <c r="F1" s="105" t="s">
        <v>64</v>
      </c>
      <c r="G1" s="72" t="s">
        <v>33</v>
      </c>
      <c r="H1" s="105" t="s">
        <v>65</v>
      </c>
      <c r="I1" s="105" t="s">
        <v>66</v>
      </c>
      <c r="J1" s="105" t="s">
        <v>67</v>
      </c>
      <c r="K1" s="72" t="s">
        <v>34</v>
      </c>
      <c r="L1" s="72" t="s">
        <v>35</v>
      </c>
      <c r="M1" s="72" t="s">
        <v>36</v>
      </c>
      <c r="N1" s="72" t="s">
        <v>37</v>
      </c>
      <c r="O1" s="72" t="s">
        <v>38</v>
      </c>
      <c r="P1" s="72" t="s">
        <v>39</v>
      </c>
      <c r="Q1" s="73" t="s">
        <v>40</v>
      </c>
      <c r="R1" s="72" t="s">
        <v>26</v>
      </c>
      <c r="S1" s="72" t="s">
        <v>41</v>
      </c>
      <c r="T1" s="72" t="s">
        <v>67</v>
      </c>
    </row>
    <row r="2" spans="1:20" ht="15" customHeight="1">
      <c r="A2" s="74">
        <v>46266</v>
      </c>
      <c r="B2" s="75">
        <v>0.33333333333333298</v>
      </c>
      <c r="C2" s="76" t="s">
        <v>42</v>
      </c>
      <c r="D2" s="77" t="s">
        <v>68</v>
      </c>
      <c r="E2" s="106" t="s">
        <v>69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70</v>
      </c>
      <c r="M2" s="76"/>
      <c r="N2" s="76" t="s">
        <v>71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42</v>
      </c>
      <c r="D3" s="77" t="s">
        <v>68</v>
      </c>
      <c r="E3" s="106" t="s">
        <v>69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49</v>
      </c>
      <c r="M3" s="85"/>
      <c r="N3" s="85" t="s">
        <v>50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42</v>
      </c>
      <c r="D4" s="77" t="s">
        <v>68</v>
      </c>
      <c r="E4" s="106" t="s">
        <v>69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42</v>
      </c>
      <c r="D5" s="77" t="s">
        <v>68</v>
      </c>
      <c r="E5" s="106" t="s">
        <v>69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42</v>
      </c>
      <c r="D6" s="77" t="s">
        <v>68</v>
      </c>
      <c r="E6" s="106" t="s">
        <v>69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42</v>
      </c>
      <c r="D7" s="77" t="s">
        <v>68</v>
      </c>
      <c r="E7" s="106" t="s">
        <v>69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42</v>
      </c>
      <c r="D8" s="77" t="s">
        <v>68</v>
      </c>
      <c r="E8" s="106" t="s">
        <v>69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42</v>
      </c>
      <c r="D9" s="77" t="s">
        <v>68</v>
      </c>
      <c r="E9" s="106" t="s">
        <v>69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42</v>
      </c>
      <c r="D10" s="77" t="s">
        <v>68</v>
      </c>
      <c r="E10" s="106" t="s">
        <v>69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42</v>
      </c>
      <c r="D11" s="77" t="s">
        <v>68</v>
      </c>
      <c r="E11" s="106" t="s">
        <v>69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42</v>
      </c>
      <c r="D12" s="77" t="s">
        <v>68</v>
      </c>
      <c r="E12" s="106" t="s">
        <v>69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42</v>
      </c>
      <c r="D13" s="77" t="s">
        <v>68</v>
      </c>
      <c r="E13" s="106" t="s">
        <v>69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68" t="s">
        <v>52</v>
      </c>
      <c r="B14" s="168"/>
      <c r="C14" s="168"/>
      <c r="D14" s="168"/>
      <c r="E14" s="168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53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54</v>
      </c>
      <c r="D15" s="90" t="s">
        <v>43</v>
      </c>
      <c r="E15" s="119" t="s">
        <v>69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45</v>
      </c>
      <c r="M15" s="85" t="s">
        <v>72</v>
      </c>
      <c r="N15" s="85" t="s">
        <v>73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74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54</v>
      </c>
      <c r="D16" s="90" t="s">
        <v>43</v>
      </c>
      <c r="E16" s="119" t="s">
        <v>69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75</v>
      </c>
      <c r="M16" s="76" t="s">
        <v>76</v>
      </c>
      <c r="N16" s="76" t="s">
        <v>77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54</v>
      </c>
      <c r="D17" s="90" t="s">
        <v>43</v>
      </c>
      <c r="E17" s="119" t="s">
        <v>69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61</v>
      </c>
      <c r="M17" s="85" t="s">
        <v>76</v>
      </c>
      <c r="N17" s="85" t="s">
        <v>78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79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54</v>
      </c>
      <c r="D18" s="90" t="s">
        <v>43</v>
      </c>
      <c r="E18" s="119" t="s">
        <v>69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61</v>
      </c>
      <c r="M18" s="76" t="s">
        <v>80</v>
      </c>
      <c r="N18" s="76" t="s">
        <v>81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54</v>
      </c>
      <c r="D19" s="90" t="s">
        <v>43</v>
      </c>
      <c r="E19" s="119" t="s">
        <v>69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61</v>
      </c>
      <c r="M19" s="85" t="s">
        <v>80</v>
      </c>
      <c r="N19" s="85" t="s">
        <v>78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54</v>
      </c>
      <c r="D20" s="90" t="s">
        <v>43</v>
      </c>
      <c r="E20" s="119" t="s">
        <v>69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45</v>
      </c>
      <c r="M20" s="76" t="s">
        <v>72</v>
      </c>
      <c r="N20" s="76" t="s">
        <v>58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54</v>
      </c>
      <c r="D21" s="90" t="s">
        <v>43</v>
      </c>
      <c r="E21" s="119" t="s">
        <v>69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49</v>
      </c>
      <c r="M21" s="85" t="s">
        <v>82</v>
      </c>
      <c r="N21" s="85" t="s">
        <v>83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54</v>
      </c>
      <c r="D22" s="90" t="s">
        <v>43</v>
      </c>
      <c r="E22" s="119" t="s">
        <v>69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45</v>
      </c>
      <c r="M22" s="76" t="s">
        <v>80</v>
      </c>
      <c r="N22" s="76" t="s">
        <v>47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54</v>
      </c>
      <c r="D23" s="90" t="s">
        <v>43</v>
      </c>
      <c r="E23" s="119" t="s">
        <v>69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61</v>
      </c>
      <c r="M23" s="85" t="s">
        <v>84</v>
      </c>
      <c r="N23" s="85" t="s">
        <v>85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54</v>
      </c>
      <c r="D24" s="90" t="s">
        <v>43</v>
      </c>
      <c r="E24" s="119" t="s">
        <v>69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54</v>
      </c>
      <c r="D25" s="90" t="s">
        <v>43</v>
      </c>
      <c r="E25" s="119" t="s">
        <v>69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54</v>
      </c>
      <c r="D26" s="90" t="s">
        <v>43</v>
      </c>
      <c r="E26" s="119" t="s">
        <v>69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68" t="s">
        <v>59</v>
      </c>
      <c r="B27" s="168"/>
      <c r="C27" s="168"/>
      <c r="D27" s="168"/>
      <c r="E27" s="168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53</v>
      </c>
      <c r="S27" s="89">
        <v>609580</v>
      </c>
      <c r="T27" s="118">
        <f>IFERROR(J27,"")</f>
        <v>256.02359999999999</v>
      </c>
    </row>
    <row r="28" spans="1:20" ht="18" customHeight="1">
      <c r="A28" s="167" t="s">
        <v>29</v>
      </c>
      <c r="B28" s="167"/>
      <c r="C28" s="167"/>
      <c r="D28" s="167"/>
      <c r="E28" s="167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60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86</v>
      </c>
      <c r="D29" s="77" t="s">
        <v>43</v>
      </c>
      <c r="E29" s="106" t="s">
        <v>69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75</v>
      </c>
      <c r="M29" s="85" t="s">
        <v>72</v>
      </c>
      <c r="N29" s="85" t="s">
        <v>87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86</v>
      </c>
      <c r="D30" s="77" t="s">
        <v>43</v>
      </c>
      <c r="E30" s="106" t="s">
        <v>69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75</v>
      </c>
      <c r="M30" s="76" t="s">
        <v>84</v>
      </c>
      <c r="N30" s="76" t="s">
        <v>77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86</v>
      </c>
      <c r="D31" s="77" t="s">
        <v>43</v>
      </c>
      <c r="E31" s="106" t="s">
        <v>69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61</v>
      </c>
      <c r="M31" s="85" t="s">
        <v>76</v>
      </c>
      <c r="N31" s="85" t="s">
        <v>78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88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86</v>
      </c>
      <c r="D32" s="77" t="s">
        <v>43</v>
      </c>
      <c r="E32" s="106" t="s">
        <v>69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86</v>
      </c>
      <c r="D33" s="77" t="s">
        <v>43</v>
      </c>
      <c r="E33" s="106" t="s">
        <v>69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70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89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86</v>
      </c>
      <c r="D34" s="77" t="s">
        <v>43</v>
      </c>
      <c r="E34" s="106" t="s">
        <v>69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86</v>
      </c>
      <c r="D35" s="77" t="s">
        <v>43</v>
      </c>
      <c r="E35" s="106" t="s">
        <v>69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86</v>
      </c>
      <c r="D36" s="77" t="s">
        <v>43</v>
      </c>
      <c r="E36" s="106" t="s">
        <v>69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86</v>
      </c>
      <c r="D37" s="77" t="s">
        <v>43</v>
      </c>
      <c r="E37" s="106" t="s">
        <v>69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86</v>
      </c>
      <c r="D38" s="77" t="s">
        <v>43</v>
      </c>
      <c r="E38" s="106" t="s">
        <v>69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86</v>
      </c>
      <c r="D39" s="77" t="s">
        <v>43</v>
      </c>
      <c r="E39" s="106" t="s">
        <v>69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86</v>
      </c>
      <c r="D40" s="77" t="s">
        <v>43</v>
      </c>
      <c r="E40" s="106" t="s">
        <v>69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68" t="s">
        <v>52</v>
      </c>
      <c r="B41" s="168"/>
      <c r="C41" s="168"/>
      <c r="D41" s="168"/>
      <c r="E41" s="168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53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/>
      <c r="D42" s="90"/>
      <c r="E42" s="119"/>
      <c r="F42" s="120" t="str">
        <f>IFERROR(IF($D42="","",VLOOKUP($D42,Cadastro!$C$4:$E$20,3,FALSE())),"")</f>
        <v/>
      </c>
      <c r="G42" s="108">
        <v>11</v>
      </c>
      <c r="H42" s="120">
        <f>IFERROR(IF($G42="","",$G42*$S$54/$G$54/Cadastro!$E$33),"")</f>
        <v>0</v>
      </c>
      <c r="I42" s="121" t="str">
        <f>IFERROR(IF($D42="","",VLOOKUP($D42,Cadastro!$C$4:$G$20,5,FALSE())),"")</f>
        <v/>
      </c>
      <c r="J42" s="122" t="str">
        <f t="shared" ref="J42:J53" si="12">IFERROR(IF($H42="","",$H42*$F42*$I42),"")</f>
        <v/>
      </c>
      <c r="K42" s="84" t="str">
        <f t="shared" ref="K42:K53" si="13">IF(G42="","",IF(E42="PC 17",G42*4.2,IF(E42="PC 19",G42*5,IF(E42="CB",G42*24,""))))</f>
        <v/>
      </c>
      <c r="L42" s="76" t="s">
        <v>49</v>
      </c>
      <c r="M42" s="76"/>
      <c r="N42" s="76" t="s">
        <v>50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/>
      <c r="D43" s="90"/>
      <c r="E43" s="119"/>
      <c r="F43" s="107" t="str">
        <f>IFERROR(IF($D43="","",VLOOKUP($D43,Cadastro!$C$4:$E$20,3,FALSE())),"")</f>
        <v/>
      </c>
      <c r="G43" s="108"/>
      <c r="H43" s="107" t="str">
        <f>IFERROR(IF($G43="","",$G43*$S$54/$G$54/Cadastro!$E$33),"")</f>
        <v/>
      </c>
      <c r="I43" s="109" t="str">
        <f>IFERROR(IF($D43="","",VLOOKUP($D43,Cadastro!$C$4:$G$20,5,FALSE())),"")</f>
        <v/>
      </c>
      <c r="J43" s="110" t="str">
        <f t="shared" si="12"/>
        <v/>
      </c>
      <c r="K43" s="79" t="str">
        <f t="shared" si="13"/>
        <v/>
      </c>
      <c r="L43" s="85" t="s">
        <v>49</v>
      </c>
      <c r="M43" s="85"/>
      <c r="N43" s="85" t="s">
        <v>50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/>
      <c r="D44" s="90"/>
      <c r="E44" s="119"/>
      <c r="F44" s="107" t="str">
        <f>IFERROR(IF($D44="","",VLOOKUP($D44,Cadastro!$C$4:$E$20,3,FALSE())),"")</f>
        <v/>
      </c>
      <c r="G44" s="108"/>
      <c r="H44" s="107" t="str">
        <f>IFERROR(IF($G44="","",$G44*$S$54/$G$54/Cadastro!$E$33),"")</f>
        <v/>
      </c>
      <c r="I44" s="109" t="str">
        <f>IFERROR(IF($D44="","",VLOOKUP($D44,Cadastro!$C$4:$G$20,5,FALSE())),"")</f>
        <v/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1" t="str">
        <f t="shared" ca="1" si="14"/>
        <v/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/>
      <c r="D45" s="90"/>
      <c r="E45" s="119"/>
      <c r="F45" s="107" t="str">
        <f>IFERROR(IF($D45="","",VLOOKUP($D45,Cadastro!$C$4:$E$20,3,FALSE())),"")</f>
        <v/>
      </c>
      <c r="G45" s="108"/>
      <c r="H45" s="107" t="str">
        <f>IFERROR(IF($G45="","",$G45*$S$54/$G$54/Cadastro!$E$33),"")</f>
        <v/>
      </c>
      <c r="I45" s="109" t="str">
        <f>IFERROR(IF($D45="","",VLOOKUP($D45,Cadastro!$C$4:$G$20,5,FALSE())),"")</f>
        <v/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1" t="str">
        <f t="shared" ca="1" si="14"/>
        <v/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/>
      <c r="D46" s="90"/>
      <c r="E46" s="119"/>
      <c r="F46" s="107" t="str">
        <f>IFERROR(IF($D46="","",VLOOKUP($D46,Cadastro!$C$4:$E$20,3,FALSE())),"")</f>
        <v/>
      </c>
      <c r="G46" s="108"/>
      <c r="H46" s="107" t="str">
        <f>IFERROR(IF($G46="","",$G46*$S$54/$G$54/Cadastro!$E$33),"")</f>
        <v/>
      </c>
      <c r="I46" s="109" t="str">
        <f>IFERROR(IF($D46="","",VLOOKUP($D46,Cadastro!$C$4:$G$20,5,FALSE())),"")</f>
        <v/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1" t="str">
        <f t="shared" ca="1" si="14"/>
        <v/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/>
      <c r="D47" s="90"/>
      <c r="E47" s="119"/>
      <c r="F47" s="107" t="str">
        <f>IFERROR(IF($D47="","",VLOOKUP($D47,Cadastro!$C$4:$E$20,3,FALSE())),"")</f>
        <v/>
      </c>
      <c r="G47" s="108"/>
      <c r="H47" s="107" t="str">
        <f>IFERROR(IF($G47="","",$G47*$S$54/$G$54/Cadastro!$E$33),"")</f>
        <v/>
      </c>
      <c r="I47" s="109" t="str">
        <f>IFERROR(IF($D47="","",VLOOKUP($D47,Cadastro!$C$4:$G$20,5,FALSE())),"")</f>
        <v/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1" t="str">
        <f t="shared" ca="1" si="14"/>
        <v/>
      </c>
      <c r="R47" s="95"/>
      <c r="S47" s="82"/>
    </row>
    <row r="48" spans="1:20" ht="15" customHeight="1">
      <c r="A48" s="18">
        <v>46267</v>
      </c>
      <c r="B48" s="83">
        <f t="shared" si="15"/>
        <v>1.083333333333333</v>
      </c>
      <c r="C48" s="85"/>
      <c r="D48" s="90"/>
      <c r="E48" s="119"/>
      <c r="F48" s="107" t="str">
        <f>IFERROR(IF($D48="","",VLOOKUP($D48,Cadastro!$C$4:$E$20,3,FALSE())),"")</f>
        <v/>
      </c>
      <c r="G48" s="108"/>
      <c r="H48" s="107" t="str">
        <f>IFERROR(IF($G48="","",$G48*$S$54/$G$54/Cadastro!$E$33),"")</f>
        <v/>
      </c>
      <c r="I48" s="109" t="str">
        <f>IFERROR(IF($D48="","",VLOOKUP($D48,Cadastro!$C$4:$G$20,5,FALSE())),"")</f>
        <v/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/>
      <c r="D49" s="90"/>
      <c r="E49" s="119"/>
      <c r="F49" s="107" t="str">
        <f>IFERROR(IF($D49="","",VLOOKUP($D49,Cadastro!$C$4:$E$20,3,FALSE())),"")</f>
        <v/>
      </c>
      <c r="G49" s="108"/>
      <c r="H49" s="107" t="str">
        <f>IFERROR(IF($G49="","",$G49*$S$54/$G$54/Cadastro!$E$33),"")</f>
        <v/>
      </c>
      <c r="I49" s="109" t="str">
        <f>IFERROR(IF($D49="","",VLOOKUP($D49,Cadastro!$C$4:$G$20,5,FALSE())),"")</f>
        <v/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/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 t="str">
        <f t="shared" si="13"/>
        <v/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/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 t="shared" si="13"/>
        <v/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/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 t="shared" si="13"/>
        <v/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/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 t="shared" si="13"/>
        <v/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68" t="s">
        <v>59</v>
      </c>
      <c r="B54" s="168"/>
      <c r="C54" s="168"/>
      <c r="D54" s="168"/>
      <c r="E54" s="168"/>
      <c r="F54" s="124"/>
      <c r="G54" s="115">
        <f>SUM(G42:G53)</f>
        <v>11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0</v>
      </c>
      <c r="L54" s="87"/>
      <c r="M54" s="87"/>
      <c r="N54" s="87"/>
      <c r="O54" s="87"/>
      <c r="P54" s="87"/>
      <c r="Q54" s="88">
        <f ca="1">IFERROR(SUM(Q42:Q53),"")</f>
        <v>6.944444444444442E-2</v>
      </c>
      <c r="R54" s="2" t="s">
        <v>53</v>
      </c>
      <c r="S54" s="131"/>
      <c r="T54" s="132">
        <f>IFERROR(J54,"")</f>
        <v>0</v>
      </c>
    </row>
    <row r="55" spans="1:20" ht="18" customHeight="1">
      <c r="A55" s="167" t="s">
        <v>29</v>
      </c>
      <c r="B55" s="167"/>
      <c r="C55" s="167"/>
      <c r="D55" s="167"/>
      <c r="E55" s="167"/>
      <c r="F55" s="127"/>
      <c r="G55" s="128">
        <f>G41+G54</f>
        <v>41</v>
      </c>
      <c r="H55" s="127">
        <f>IFERROR(H41+H54,"")</f>
        <v>134.10000000000002</v>
      </c>
      <c r="I55" s="129"/>
      <c r="J55" s="130">
        <f>IFERROR(J41+J54,"")</f>
        <v>56.321999999999989</v>
      </c>
      <c r="K55" s="1">
        <f>K41+K54</f>
        <v>126</v>
      </c>
      <c r="L55" s="91"/>
      <c r="M55" s="91"/>
      <c r="N55" s="91"/>
      <c r="O55" s="91"/>
      <c r="P55" s="91"/>
      <c r="Q55" s="92">
        <f ca="1">IFERROR(Q41+Q54,"")</f>
        <v>0.51319444444444451</v>
      </c>
      <c r="R55" s="1" t="s">
        <v>60</v>
      </c>
      <c r="S55" s="31">
        <f>IFERROR(S41+S54,"")</f>
        <v>134100</v>
      </c>
      <c r="T55" s="32">
        <f>IFERROR(J55,"")</f>
        <v>56.321999999999989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76"/>
      <c r="O56" s="80"/>
      <c r="P56" s="80"/>
      <c r="Q56" s="86" t="str">
        <f ca="1">IFERROR(IF(O56="","",IF(P56="",MOD(NOW()-O56,1),IF(P56&gt;=O56,P56-O56,P56+1-O56))),"")</f>
        <v/>
      </c>
      <c r="R56" s="95"/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76"/>
      <c r="O57" s="80"/>
      <c r="P57" s="80"/>
      <c r="Q57" s="86" t="str">
        <f t="shared" ref="Q57:Q58" ca="1" si="19">IFERROR(IF(O57="","",IF(P57="",MOD(NOW()-O57,1),IF(P57&gt;=O57,P57-O57,P57+1-O57))),"")</f>
        <v/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68" t="s">
        <v>52</v>
      </c>
      <c r="B68" s="168"/>
      <c r="C68" s="168"/>
      <c r="D68" s="168"/>
      <c r="E68" s="168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87"/>
      <c r="P68" s="87"/>
      <c r="Q68" s="88">
        <f ca="1">IFERROR(SUM(Q56:Q67),"")</f>
        <v>0</v>
      </c>
      <c r="R68" s="2" t="s">
        <v>53</v>
      </c>
      <c r="S68" s="133"/>
      <c r="T68" s="134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1">IFERROR(IF($H69="","",$H69*$F69*$I69),"")</f>
        <v/>
      </c>
      <c r="K69" s="84" t="str">
        <f t="shared" ref="K69:K80" si="22">IF(G69="","",IF(E69="PC 17",G69*4.2,IF(E69="PC 19",G69*5,IF(E69="CB",G69*24,""))))</f>
        <v/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1"/>
        <v/>
      </c>
      <c r="K70" s="79" t="str">
        <f t="shared" si="22"/>
        <v/>
      </c>
      <c r="L70" s="76"/>
      <c r="M70" s="76"/>
      <c r="N70" s="76"/>
      <c r="O70" s="80"/>
      <c r="P70" s="80"/>
      <c r="Q70" s="86" t="str">
        <f t="shared" ref="Q70:Q80" ca="1" si="24">IFERROR(IF(O70="","",IF(P70="",MOD(NOW()-O70,1),IF(P70&gt;=O70,P70-O70,P70+1-O70))),"")</f>
        <v/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1"/>
        <v/>
      </c>
      <c r="K71" s="84" t="str">
        <f t="shared" si="22"/>
        <v/>
      </c>
      <c r="L71" s="85"/>
      <c r="M71" s="85"/>
      <c r="N71" s="85"/>
      <c r="O71" s="80"/>
      <c r="P71" s="80"/>
      <c r="Q71" s="81" t="str">
        <f t="shared" ca="1" si="24"/>
        <v/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1"/>
        <v/>
      </c>
      <c r="K72" s="79" t="str">
        <f t="shared" si="22"/>
        <v/>
      </c>
      <c r="L72" s="76"/>
      <c r="M72" s="76"/>
      <c r="N72" s="76"/>
      <c r="O72" s="80"/>
      <c r="P72" s="80"/>
      <c r="Q72" s="86" t="str">
        <f t="shared" ca="1" si="24"/>
        <v/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1"/>
        <v/>
      </c>
      <c r="K73" s="84" t="str">
        <f t="shared" si="22"/>
        <v/>
      </c>
      <c r="L73" s="85"/>
      <c r="M73" s="85"/>
      <c r="N73" s="85"/>
      <c r="O73" s="80"/>
      <c r="P73" s="80"/>
      <c r="Q73" s="81" t="str">
        <f t="shared" ca="1" si="24"/>
        <v/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1"/>
        <v/>
      </c>
      <c r="K74" s="79" t="str">
        <f t="shared" si="22"/>
        <v/>
      </c>
      <c r="L74" s="76"/>
      <c r="M74" s="76"/>
      <c r="N74" s="76"/>
      <c r="O74" s="80"/>
      <c r="P74" s="80"/>
      <c r="Q74" s="86" t="str">
        <f t="shared" ca="1" si="24"/>
        <v/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1"/>
        <v/>
      </c>
      <c r="K75" s="84" t="str">
        <f t="shared" si="22"/>
        <v/>
      </c>
      <c r="L75" s="85"/>
      <c r="M75" s="85"/>
      <c r="N75" s="85"/>
      <c r="O75" s="80"/>
      <c r="P75" s="80"/>
      <c r="Q75" s="81" t="str">
        <f t="shared" ca="1" si="24"/>
        <v/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1"/>
        <v/>
      </c>
      <c r="K76" s="79" t="str">
        <f t="shared" si="22"/>
        <v/>
      </c>
      <c r="L76" s="76"/>
      <c r="M76" s="76"/>
      <c r="N76" s="76"/>
      <c r="O76" s="80"/>
      <c r="P76" s="80"/>
      <c r="Q76" s="86" t="str">
        <f t="shared" ca="1" si="24"/>
        <v/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1"/>
        <v/>
      </c>
      <c r="K77" s="84" t="str">
        <f t="shared" si="22"/>
        <v/>
      </c>
      <c r="L77" s="85"/>
      <c r="M77" s="85"/>
      <c r="N77" s="85"/>
      <c r="O77" s="80"/>
      <c r="P77" s="80"/>
      <c r="Q77" s="81" t="str">
        <f t="shared" ca="1" si="24"/>
        <v/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1"/>
        <v/>
      </c>
      <c r="K78" s="79" t="str">
        <f t="shared" si="22"/>
        <v/>
      </c>
      <c r="L78" s="76"/>
      <c r="M78" s="76"/>
      <c r="N78" s="76"/>
      <c r="O78" s="80"/>
      <c r="P78" s="80"/>
      <c r="Q78" s="86" t="str">
        <f t="shared" ca="1" si="24"/>
        <v/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1"/>
        <v/>
      </c>
      <c r="K79" s="84" t="str">
        <f t="shared" si="22"/>
        <v/>
      </c>
      <c r="L79" s="85"/>
      <c r="M79" s="85"/>
      <c r="N79" s="85"/>
      <c r="O79" s="80"/>
      <c r="P79" s="80"/>
      <c r="Q79" s="81" t="str">
        <f t="shared" ca="1" si="24"/>
        <v/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1"/>
        <v/>
      </c>
      <c r="K80" s="79" t="str">
        <f t="shared" si="22"/>
        <v/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68" t="s">
        <v>59</v>
      </c>
      <c r="B81" s="168"/>
      <c r="C81" s="168"/>
      <c r="D81" s="168"/>
      <c r="E81" s="168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53</v>
      </c>
      <c r="S81" s="133"/>
      <c r="T81" s="134">
        <f>IFERROR(J81,"")</f>
        <v>0</v>
      </c>
    </row>
    <row r="82" spans="1:20" ht="18" customHeight="1">
      <c r="A82" s="167" t="s">
        <v>29</v>
      </c>
      <c r="B82" s="167"/>
      <c r="C82" s="167"/>
      <c r="D82" s="167"/>
      <c r="E82" s="167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91"/>
      <c r="P82" s="91"/>
      <c r="Q82" s="92">
        <f ca="1">IFERROR(Q68+Q81,"")</f>
        <v>0</v>
      </c>
      <c r="R82" s="1" t="s">
        <v>60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 t="str">
        <f t="shared" ref="K83:K94" si="26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7">IFERROR(IF(O83="","",IF(P83="",MOD(NOW()-O83,1),IF(P83&gt;=O83,P83-O83,P83+1-O83))),"")</f>
        <v/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5"/>
        <v/>
      </c>
      <c r="K84" s="84" t="str">
        <f t="shared" si="26"/>
        <v/>
      </c>
      <c r="L84" s="76"/>
      <c r="M84" s="76"/>
      <c r="N84" s="76"/>
      <c r="O84" s="80"/>
      <c r="P84" s="80"/>
      <c r="Q84" s="81" t="str">
        <f t="shared" ca="1" si="27"/>
        <v/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5"/>
        <v/>
      </c>
      <c r="K85" s="79" t="str">
        <f t="shared" si="26"/>
        <v/>
      </c>
      <c r="L85" s="85"/>
      <c r="M85" s="85"/>
      <c r="N85" s="85"/>
      <c r="O85" s="80"/>
      <c r="P85" s="80"/>
      <c r="Q85" s="86" t="str">
        <f t="shared" ca="1" si="27"/>
        <v/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5"/>
        <v/>
      </c>
      <c r="K86" s="84" t="str">
        <f t="shared" si="26"/>
        <v/>
      </c>
      <c r="L86" s="76"/>
      <c r="M86" s="76"/>
      <c r="N86" s="76"/>
      <c r="O86" s="80"/>
      <c r="P86" s="80"/>
      <c r="Q86" s="81" t="str">
        <f t="shared" ca="1" si="27"/>
        <v/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5"/>
        <v/>
      </c>
      <c r="K87" s="79" t="str">
        <f t="shared" si="26"/>
        <v/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5"/>
        <v/>
      </c>
      <c r="K88" s="84" t="str">
        <f t="shared" si="26"/>
        <v/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5"/>
        <v/>
      </c>
      <c r="K89" s="79" t="str">
        <f t="shared" si="26"/>
        <v/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5"/>
        <v/>
      </c>
      <c r="K90" s="84" t="str">
        <f t="shared" si="26"/>
        <v/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5"/>
        <v/>
      </c>
      <c r="K91" s="79" t="str">
        <f t="shared" si="26"/>
        <v/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5"/>
        <v/>
      </c>
      <c r="K92" s="84" t="str">
        <f t="shared" si="26"/>
        <v/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5"/>
        <v/>
      </c>
      <c r="K93" s="79" t="str">
        <f t="shared" si="26"/>
        <v/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5"/>
        <v/>
      </c>
      <c r="K94" s="84" t="str">
        <f t="shared" si="26"/>
        <v/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68" t="s">
        <v>52</v>
      </c>
      <c r="B95" s="168"/>
      <c r="C95" s="168"/>
      <c r="D95" s="168"/>
      <c r="E95" s="168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53</v>
      </c>
      <c r="S95" s="133"/>
      <c r="T95" s="134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9">IFERROR(IF($H96="","",$H96*$F96*$I96),"")</f>
        <v/>
      </c>
      <c r="K96" s="84" t="str">
        <f t="shared" ref="K96:K107" si="30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1">IFERROR(IF(O96="","",IF(P96="",MOD(NOW()-O96,1),IF(P96&gt;=O96,P96-O96,P96+1-O96))),"")</f>
        <v/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9"/>
        <v/>
      </c>
      <c r="K97" s="79" t="str">
        <f t="shared" si="30"/>
        <v/>
      </c>
      <c r="L97" s="85"/>
      <c r="M97" s="85"/>
      <c r="N97" s="85"/>
      <c r="O97" s="80"/>
      <c r="P97" s="80"/>
      <c r="Q97" s="86" t="str">
        <f t="shared" ca="1" si="31"/>
        <v/>
      </c>
      <c r="R97" s="95"/>
      <c r="S97" s="82"/>
    </row>
    <row r="98" spans="1:20" ht="15" customHeight="1">
      <c r="A98" s="18">
        <v>46269</v>
      </c>
      <c r="B98" s="83">
        <f t="shared" si="32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9"/>
        <v/>
      </c>
      <c r="K98" s="84" t="str">
        <f t="shared" si="30"/>
        <v/>
      </c>
      <c r="L98" s="76"/>
      <c r="M98" s="76"/>
      <c r="N98" s="76"/>
      <c r="O98" s="80"/>
      <c r="P98" s="80"/>
      <c r="Q98" s="81" t="str">
        <f t="shared" ca="1" si="31"/>
        <v/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9"/>
        <v/>
      </c>
      <c r="K99" s="79" t="str">
        <f t="shared" si="30"/>
        <v/>
      </c>
      <c r="L99" s="85"/>
      <c r="M99" s="85"/>
      <c r="N99" s="85"/>
      <c r="O99" s="80"/>
      <c r="P99" s="80"/>
      <c r="Q99" s="86" t="str">
        <f t="shared" ca="1" si="31"/>
        <v/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9"/>
        <v/>
      </c>
      <c r="K100" s="84" t="str">
        <f t="shared" si="30"/>
        <v/>
      </c>
      <c r="L100" s="76"/>
      <c r="M100" s="76"/>
      <c r="N100" s="76"/>
      <c r="O100" s="80"/>
      <c r="P100" s="80"/>
      <c r="Q100" s="81" t="str">
        <f t="shared" ca="1" si="31"/>
        <v/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9"/>
        <v/>
      </c>
      <c r="K101" s="79" t="str">
        <f t="shared" si="30"/>
        <v/>
      </c>
      <c r="L101" s="85"/>
      <c r="M101" s="85"/>
      <c r="N101" s="85"/>
      <c r="O101" s="80"/>
      <c r="P101" s="80"/>
      <c r="Q101" s="86" t="str">
        <f t="shared" ca="1" si="31"/>
        <v/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9"/>
        <v/>
      </c>
      <c r="K102" s="84" t="str">
        <f t="shared" si="30"/>
        <v/>
      </c>
      <c r="L102" s="76"/>
      <c r="M102" s="76"/>
      <c r="N102" s="76"/>
      <c r="O102" s="80"/>
      <c r="P102" s="80"/>
      <c r="Q102" s="81" t="str">
        <f t="shared" ca="1" si="31"/>
        <v/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9"/>
        <v/>
      </c>
      <c r="K103" s="79" t="str">
        <f t="shared" si="30"/>
        <v/>
      </c>
      <c r="L103" s="85"/>
      <c r="M103" s="85"/>
      <c r="N103" s="85"/>
      <c r="O103" s="80"/>
      <c r="P103" s="80"/>
      <c r="Q103" s="86" t="str">
        <f t="shared" ca="1" si="31"/>
        <v/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9"/>
        <v/>
      </c>
      <c r="K104" s="84" t="str">
        <f t="shared" si="30"/>
        <v/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9"/>
        <v/>
      </c>
      <c r="K105" s="79" t="str">
        <f t="shared" si="30"/>
        <v/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9"/>
        <v/>
      </c>
      <c r="K106" s="84" t="str">
        <f t="shared" si="30"/>
        <v/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9"/>
        <v/>
      </c>
      <c r="K107" s="79" t="str">
        <f t="shared" si="30"/>
        <v/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68" t="s">
        <v>59</v>
      </c>
      <c r="B108" s="168"/>
      <c r="C108" s="168"/>
      <c r="D108" s="168"/>
      <c r="E108" s="168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53</v>
      </c>
      <c r="S108" s="133"/>
      <c r="T108" s="134">
        <f>IFERROR(J108,"")</f>
        <v>0</v>
      </c>
    </row>
    <row r="109" spans="1:20" ht="18" customHeight="1">
      <c r="A109" s="167" t="s">
        <v>29</v>
      </c>
      <c r="B109" s="167"/>
      <c r="C109" s="167"/>
      <c r="D109" s="167"/>
      <c r="E109" s="167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60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3">IFERROR(IF($H110="","",$H110*$F110*$I110),"")</f>
        <v/>
      </c>
      <c r="K110" s="79" t="str">
        <f t="shared" ref="K110:K121" si="34">IF(G110="","",IF(E110="PC 17",G110*4.2,IF(E110="PC 19",G110*5,IF(E110="CB",G110*24,""))))</f>
        <v/>
      </c>
      <c r="L110" s="76"/>
      <c r="M110" s="76"/>
      <c r="N110" s="76"/>
      <c r="O110" s="80"/>
      <c r="P110" s="80"/>
      <c r="Q110" s="86" t="str">
        <f t="shared" ref="Q110:Q121" ca="1" si="35">IFERROR(IF(O110="","",IF(P110="",MOD(NOW()-O110,1),IF(P110&gt;=O110,P110-O110,P110+1-O110))),"")</f>
        <v/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3"/>
        <v/>
      </c>
      <c r="K111" s="84" t="str">
        <f t="shared" si="34"/>
        <v/>
      </c>
      <c r="L111" s="85"/>
      <c r="M111" s="85"/>
      <c r="N111" s="85"/>
      <c r="O111" s="80"/>
      <c r="P111" s="80"/>
      <c r="Q111" s="81" t="str">
        <f t="shared" ca="1" si="35"/>
        <v/>
      </c>
      <c r="R111" s="95"/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3"/>
        <v/>
      </c>
      <c r="K112" s="79" t="str">
        <f t="shared" si="34"/>
        <v/>
      </c>
      <c r="L112" s="76"/>
      <c r="M112" s="76"/>
      <c r="N112" s="76"/>
      <c r="O112" s="80"/>
      <c r="P112" s="80"/>
      <c r="Q112" s="86" t="str">
        <f t="shared" ca="1" si="35"/>
        <v/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3"/>
        <v/>
      </c>
      <c r="K113" s="84" t="str">
        <f t="shared" si="34"/>
        <v/>
      </c>
      <c r="L113" s="85"/>
      <c r="M113" s="85"/>
      <c r="N113" s="85"/>
      <c r="O113" s="80"/>
      <c r="P113" s="80"/>
      <c r="Q113" s="81" t="str">
        <f t="shared" ca="1" si="35"/>
        <v/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3"/>
        <v/>
      </c>
      <c r="K114" s="79" t="str">
        <f t="shared" si="34"/>
        <v/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3"/>
        <v/>
      </c>
      <c r="K115" s="84" t="str">
        <f t="shared" si="34"/>
        <v/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3"/>
        <v/>
      </c>
      <c r="K116" s="79" t="str">
        <f t="shared" si="34"/>
        <v/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3"/>
        <v/>
      </c>
      <c r="K117" s="84" t="str">
        <f t="shared" si="34"/>
        <v/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3"/>
        <v/>
      </c>
      <c r="K118" s="79" t="str">
        <f t="shared" si="34"/>
        <v/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3"/>
        <v/>
      </c>
      <c r="K119" s="84" t="str">
        <f t="shared" si="34"/>
        <v/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3"/>
        <v/>
      </c>
      <c r="K120" s="79" t="str">
        <f t="shared" si="34"/>
        <v/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3"/>
        <v/>
      </c>
      <c r="K121" s="84" t="str">
        <f t="shared" si="34"/>
        <v/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68" t="s">
        <v>52</v>
      </c>
      <c r="B122" s="168"/>
      <c r="C122" s="168"/>
      <c r="D122" s="168"/>
      <c r="E122" s="168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53</v>
      </c>
      <c r="S122" s="133"/>
      <c r="T122" s="134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7">IFERROR(IF($H123="","",$H123*$F123*$I123),"")</f>
        <v/>
      </c>
      <c r="K123" s="84" t="str">
        <f t="shared" ref="K123:K134" si="38">IF(G123="","",IF(E123="PC 17",G123*4.2,IF(E123="PC 19",G123*5,IF(E123="CB",G123*24,""))))</f>
        <v/>
      </c>
      <c r="L123" s="85"/>
      <c r="M123" s="85"/>
      <c r="N123" s="85"/>
      <c r="O123" s="80"/>
      <c r="P123" s="80"/>
      <c r="Q123" s="81" t="str">
        <f t="shared" ref="Q123:Q134" ca="1" si="39">IFERROR(IF(O123="","",IF(P123="",MOD(NOW()-O123,1),IF(P123&gt;=O123,P123-O123,P123+1-O123))),"")</f>
        <v/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7"/>
        <v/>
      </c>
      <c r="K124" s="79" t="str">
        <f t="shared" si="38"/>
        <v/>
      </c>
      <c r="L124" s="76"/>
      <c r="M124" s="76"/>
      <c r="N124" s="76"/>
      <c r="O124" s="80"/>
      <c r="P124" s="80"/>
      <c r="Q124" s="86" t="str">
        <f t="shared" ca="1" si="39"/>
        <v/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7"/>
        <v/>
      </c>
      <c r="K125" s="84" t="str">
        <f t="shared" si="38"/>
        <v/>
      </c>
      <c r="L125" s="85"/>
      <c r="M125" s="85"/>
      <c r="N125" s="85"/>
      <c r="O125" s="80"/>
      <c r="P125" s="80"/>
      <c r="Q125" s="81" t="str">
        <f t="shared" ca="1" si="39"/>
        <v/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7"/>
        <v/>
      </c>
      <c r="K126" s="79" t="str">
        <f t="shared" si="38"/>
        <v/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7"/>
        <v/>
      </c>
      <c r="K127" s="84" t="str">
        <f t="shared" si="38"/>
        <v/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68" t="s">
        <v>59</v>
      </c>
      <c r="B135" s="168"/>
      <c r="C135" s="168"/>
      <c r="D135" s="168"/>
      <c r="E135" s="168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53</v>
      </c>
      <c r="S135" s="133"/>
      <c r="T135" s="134">
        <f>IFERROR(J135,"")</f>
        <v>0</v>
      </c>
    </row>
    <row r="136" spans="1:20" ht="18" customHeight="1">
      <c r="A136" s="167" t="s">
        <v>29</v>
      </c>
      <c r="B136" s="167"/>
      <c r="C136" s="167"/>
      <c r="D136" s="167"/>
      <c r="E136" s="167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60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68" t="s">
        <v>52</v>
      </c>
      <c r="B149" s="168"/>
      <c r="C149" s="168"/>
      <c r="D149" s="168"/>
      <c r="E149" s="168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53</v>
      </c>
      <c r="S149" s="133"/>
      <c r="T149" s="134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68" t="s">
        <v>59</v>
      </c>
      <c r="B162" s="168"/>
      <c r="C162" s="168"/>
      <c r="D162" s="168"/>
      <c r="E162" s="16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53</v>
      </c>
      <c r="S162" s="133"/>
      <c r="T162" s="134">
        <f>IFERROR(J162,"")</f>
        <v>0</v>
      </c>
    </row>
    <row r="163" spans="1:20" ht="18" customHeight="1">
      <c r="A163" s="167" t="s">
        <v>29</v>
      </c>
      <c r="B163" s="167"/>
      <c r="C163" s="167"/>
      <c r="D163" s="167"/>
      <c r="E163" s="16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60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68" t="s">
        <v>52</v>
      </c>
      <c r="B176" s="168"/>
      <c r="C176" s="168"/>
      <c r="D176" s="168"/>
      <c r="E176" s="16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53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68" t="s">
        <v>59</v>
      </c>
      <c r="B189" s="168"/>
      <c r="C189" s="168"/>
      <c r="D189" s="168"/>
      <c r="E189" s="16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53</v>
      </c>
      <c r="S189" s="89"/>
      <c r="T189" s="118">
        <f>IFERROR(J189,"")</f>
        <v>0</v>
      </c>
    </row>
    <row r="190" spans="1:20" ht="18" customHeight="1">
      <c r="A190" s="167" t="s">
        <v>29</v>
      </c>
      <c r="B190" s="167"/>
      <c r="C190" s="167"/>
      <c r="D190" s="167"/>
      <c r="E190" s="16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60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68" t="s">
        <v>52</v>
      </c>
      <c r="B203" s="168"/>
      <c r="C203" s="168"/>
      <c r="D203" s="168"/>
      <c r="E203" s="16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53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68" t="s">
        <v>59</v>
      </c>
      <c r="B216" s="168"/>
      <c r="C216" s="168"/>
      <c r="D216" s="168"/>
      <c r="E216" s="16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53</v>
      </c>
      <c r="S216" s="89"/>
      <c r="T216" s="118">
        <f>IFERROR(J216,"")</f>
        <v>0</v>
      </c>
    </row>
    <row r="217" spans="1:20" ht="18" customHeight="1">
      <c r="A217" s="167" t="s">
        <v>29</v>
      </c>
      <c r="B217" s="167"/>
      <c r="C217" s="167"/>
      <c r="D217" s="167"/>
      <c r="E217" s="16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60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68" t="s">
        <v>52</v>
      </c>
      <c r="B230" s="168"/>
      <c r="C230" s="168"/>
      <c r="D230" s="168"/>
      <c r="E230" s="16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53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68" t="s">
        <v>59</v>
      </c>
      <c r="B243" s="168"/>
      <c r="C243" s="168"/>
      <c r="D243" s="168"/>
      <c r="E243" s="16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53</v>
      </c>
      <c r="S243" s="89"/>
      <c r="T243" s="118">
        <f>IFERROR(J243,"")</f>
        <v>0</v>
      </c>
    </row>
    <row r="244" spans="1:20" ht="18" customHeight="1">
      <c r="A244" s="167" t="s">
        <v>29</v>
      </c>
      <c r="B244" s="167"/>
      <c r="C244" s="167"/>
      <c r="D244" s="167"/>
      <c r="E244" s="16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60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68" t="s">
        <v>52</v>
      </c>
      <c r="B257" s="168"/>
      <c r="C257" s="168"/>
      <c r="D257" s="168"/>
      <c r="E257" s="16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53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68" t="s">
        <v>59</v>
      </c>
      <c r="B270" s="168"/>
      <c r="C270" s="168"/>
      <c r="D270" s="168"/>
      <c r="E270" s="168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53</v>
      </c>
      <c r="S270" s="89"/>
      <c r="T270" s="118">
        <f>IFERROR(J270,"")</f>
        <v>0</v>
      </c>
    </row>
    <row r="271" spans="1:20" ht="18" customHeight="1">
      <c r="A271" s="167" t="s">
        <v>29</v>
      </c>
      <c r="B271" s="167"/>
      <c r="C271" s="167"/>
      <c r="D271" s="167"/>
      <c r="E271" s="16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60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68" t="s">
        <v>52</v>
      </c>
      <c r="B284" s="168"/>
      <c r="C284" s="168"/>
      <c r="D284" s="168"/>
      <c r="E284" s="16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53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68" t="s">
        <v>59</v>
      </c>
      <c r="B297" s="168"/>
      <c r="C297" s="168"/>
      <c r="D297" s="168"/>
      <c r="E297" s="168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53</v>
      </c>
      <c r="S297" s="89"/>
      <c r="T297" s="118">
        <f>IFERROR(J297,"")</f>
        <v>0</v>
      </c>
    </row>
    <row r="298" spans="1:20" ht="18" customHeight="1">
      <c r="A298" s="167" t="s">
        <v>29</v>
      </c>
      <c r="B298" s="167"/>
      <c r="C298" s="167"/>
      <c r="D298" s="167"/>
      <c r="E298" s="167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60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68" t="s">
        <v>52</v>
      </c>
      <c r="B311" s="168"/>
      <c r="C311" s="168"/>
      <c r="D311" s="168"/>
      <c r="E311" s="16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53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68" t="s">
        <v>59</v>
      </c>
      <c r="B324" s="168"/>
      <c r="C324" s="168"/>
      <c r="D324" s="168"/>
      <c r="E324" s="16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53</v>
      </c>
      <c r="S324" s="89"/>
      <c r="T324" s="118">
        <f>IFERROR(J324,"")</f>
        <v>0</v>
      </c>
    </row>
    <row r="325" spans="1:20" ht="18" customHeight="1">
      <c r="A325" s="167" t="s">
        <v>29</v>
      </c>
      <c r="B325" s="167"/>
      <c r="C325" s="167"/>
      <c r="D325" s="167"/>
      <c r="E325" s="16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60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68" t="s">
        <v>52</v>
      </c>
      <c r="B338" s="168"/>
      <c r="C338" s="168"/>
      <c r="D338" s="168"/>
      <c r="E338" s="16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53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68" t="s">
        <v>59</v>
      </c>
      <c r="B351" s="168"/>
      <c r="C351" s="168"/>
      <c r="D351" s="168"/>
      <c r="E351" s="16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53</v>
      </c>
      <c r="S351" s="89"/>
      <c r="T351" s="118">
        <f>IFERROR(J351,"")</f>
        <v>0</v>
      </c>
    </row>
    <row r="352" spans="1:20" ht="18" customHeight="1">
      <c r="A352" s="167" t="s">
        <v>29</v>
      </c>
      <c r="B352" s="167"/>
      <c r="C352" s="167"/>
      <c r="D352" s="167"/>
      <c r="E352" s="16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60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68" t="s">
        <v>52</v>
      </c>
      <c r="B365" s="168"/>
      <c r="C365" s="168"/>
      <c r="D365" s="168"/>
      <c r="E365" s="16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53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68" t="s">
        <v>59</v>
      </c>
      <c r="B378" s="168"/>
      <c r="C378" s="168"/>
      <c r="D378" s="168"/>
      <c r="E378" s="16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53</v>
      </c>
      <c r="S378" s="89"/>
      <c r="T378" s="118">
        <f>IFERROR(J378,"")</f>
        <v>0</v>
      </c>
    </row>
    <row r="379" spans="1:20" ht="18" customHeight="1">
      <c r="A379" s="167" t="s">
        <v>29</v>
      </c>
      <c r="B379" s="167"/>
      <c r="C379" s="167"/>
      <c r="D379" s="167"/>
      <c r="E379" s="16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60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68" t="s">
        <v>52</v>
      </c>
      <c r="B392" s="168"/>
      <c r="C392" s="168"/>
      <c r="D392" s="168"/>
      <c r="E392" s="16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53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68" t="s">
        <v>59</v>
      </c>
      <c r="B405" s="168"/>
      <c r="C405" s="168"/>
      <c r="D405" s="168"/>
      <c r="E405" s="16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53</v>
      </c>
      <c r="S405" s="89"/>
      <c r="T405" s="118">
        <f>IFERROR(J405,"")</f>
        <v>0</v>
      </c>
    </row>
    <row r="406" spans="1:20" ht="18" customHeight="1">
      <c r="A406" s="167" t="s">
        <v>29</v>
      </c>
      <c r="B406" s="167"/>
      <c r="C406" s="167"/>
      <c r="D406" s="167"/>
      <c r="E406" s="16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60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68" t="s">
        <v>52</v>
      </c>
      <c r="B419" s="168"/>
      <c r="C419" s="168"/>
      <c r="D419" s="168"/>
      <c r="E419" s="16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53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59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53</v>
      </c>
      <c r="S432" s="89"/>
      <c r="T432" s="118">
        <f>IFERROR(J432,"")</f>
        <v>0</v>
      </c>
    </row>
    <row r="433" spans="1:20" ht="18" customHeight="1">
      <c r="A433" s="140" t="s">
        <v>29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60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68" t="s">
        <v>52</v>
      </c>
      <c r="B446" s="168"/>
      <c r="C446" s="168"/>
      <c r="D446" s="168"/>
      <c r="E446" s="16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53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68" t="s">
        <v>59</v>
      </c>
      <c r="B459" s="168"/>
      <c r="C459" s="168"/>
      <c r="D459" s="168"/>
      <c r="E459" s="16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53</v>
      </c>
      <c r="S459" s="89"/>
      <c r="T459" s="118">
        <f>IFERROR(J459,"")</f>
        <v>0</v>
      </c>
    </row>
    <row r="460" spans="1:20" ht="18" customHeight="1">
      <c r="A460" s="167" t="s">
        <v>29</v>
      </c>
      <c r="B460" s="167"/>
      <c r="C460" s="167"/>
      <c r="D460" s="167"/>
      <c r="E460" s="16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60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68" t="s">
        <v>52</v>
      </c>
      <c r="B473" s="168"/>
      <c r="C473" s="168"/>
      <c r="D473" s="168"/>
      <c r="E473" s="16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53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68" t="s">
        <v>59</v>
      </c>
      <c r="B486" s="168"/>
      <c r="C486" s="168"/>
      <c r="D486" s="168"/>
      <c r="E486" s="16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53</v>
      </c>
      <c r="S486" s="89"/>
      <c r="T486" s="118">
        <f>IFERROR(J486,"")</f>
        <v>0</v>
      </c>
    </row>
    <row r="487" spans="1:20" ht="18" customHeight="1">
      <c r="A487" s="167" t="s">
        <v>29</v>
      </c>
      <c r="B487" s="167"/>
      <c r="C487" s="167"/>
      <c r="D487" s="167"/>
      <c r="E487" s="16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60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68" t="s">
        <v>52</v>
      </c>
      <c r="B500" s="168"/>
      <c r="C500" s="168"/>
      <c r="D500" s="168"/>
      <c r="E500" s="16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53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59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53</v>
      </c>
      <c r="S513" s="89"/>
      <c r="T513" s="118">
        <f>IFERROR(J513,"")</f>
        <v>0</v>
      </c>
    </row>
    <row r="514" spans="1:20" ht="18" customHeight="1">
      <c r="A514" s="140" t="s">
        <v>29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60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68" t="s">
        <v>52</v>
      </c>
      <c r="B527" s="168"/>
      <c r="C527" s="168"/>
      <c r="D527" s="168"/>
      <c r="E527" s="16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53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68" t="s">
        <v>59</v>
      </c>
      <c r="B540" s="168"/>
      <c r="C540" s="168"/>
      <c r="D540" s="168"/>
      <c r="E540" s="16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53</v>
      </c>
      <c r="S540" s="89"/>
      <c r="T540" s="118">
        <f>IFERROR(J540,"")</f>
        <v>0</v>
      </c>
    </row>
    <row r="541" spans="1:20" ht="18" customHeight="1">
      <c r="A541" s="167" t="s">
        <v>29</v>
      </c>
      <c r="B541" s="167"/>
      <c r="C541" s="167"/>
      <c r="D541" s="167"/>
      <c r="E541" s="16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60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68" t="s">
        <v>52</v>
      </c>
      <c r="B554" s="168"/>
      <c r="C554" s="168"/>
      <c r="D554" s="168"/>
      <c r="E554" s="16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53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68" t="s">
        <v>59</v>
      </c>
      <c r="B567" s="168"/>
      <c r="C567" s="168"/>
      <c r="D567" s="168"/>
      <c r="E567" s="16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53</v>
      </c>
      <c r="S567" s="89"/>
      <c r="T567" s="118">
        <f>IFERROR(J567,"")</f>
        <v>0</v>
      </c>
    </row>
    <row r="568" spans="1:20" ht="18" customHeight="1">
      <c r="A568" s="167" t="s">
        <v>29</v>
      </c>
      <c r="B568" s="167"/>
      <c r="C568" s="167"/>
      <c r="D568" s="167"/>
      <c r="E568" s="16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60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68" t="s">
        <v>52</v>
      </c>
      <c r="B581" s="168"/>
      <c r="C581" s="168"/>
      <c r="D581" s="168"/>
      <c r="E581" s="16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53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68" t="s">
        <v>59</v>
      </c>
      <c r="B594" s="168"/>
      <c r="C594" s="168"/>
      <c r="D594" s="168"/>
      <c r="E594" s="16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53</v>
      </c>
      <c r="S594" s="89"/>
      <c r="T594" s="118">
        <f>IFERROR(J594,"")</f>
        <v>0</v>
      </c>
    </row>
    <row r="595" spans="1:20" ht="18" customHeight="1">
      <c r="A595" s="167" t="s">
        <v>29</v>
      </c>
      <c r="B595" s="167"/>
      <c r="C595" s="167"/>
      <c r="D595" s="167"/>
      <c r="E595" s="16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60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68" t="s">
        <v>52</v>
      </c>
      <c r="B608" s="168"/>
      <c r="C608" s="168"/>
      <c r="D608" s="168"/>
      <c r="E608" s="16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53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68" t="s">
        <v>59</v>
      </c>
      <c r="B621" s="168"/>
      <c r="C621" s="168"/>
      <c r="D621" s="168"/>
      <c r="E621" s="16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53</v>
      </c>
      <c r="S621" s="89"/>
      <c r="T621" s="118">
        <f>IFERROR(J621,"")</f>
        <v>0</v>
      </c>
    </row>
    <row r="622" spans="1:20" ht="18" customHeight="1">
      <c r="A622" s="167" t="s">
        <v>29</v>
      </c>
      <c r="B622" s="167"/>
      <c r="C622" s="167"/>
      <c r="D622" s="167"/>
      <c r="E622" s="16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60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68" t="s">
        <v>52</v>
      </c>
      <c r="B635" s="168"/>
      <c r="C635" s="168"/>
      <c r="D635" s="168"/>
      <c r="E635" s="16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53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68" t="s">
        <v>59</v>
      </c>
      <c r="B648" s="168"/>
      <c r="C648" s="168"/>
      <c r="D648" s="168"/>
      <c r="E648" s="16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53</v>
      </c>
      <c r="S648" s="89"/>
      <c r="T648" s="118">
        <f>IFERROR(J648,"")</f>
        <v>0</v>
      </c>
    </row>
    <row r="649" spans="1:20" ht="18" customHeight="1">
      <c r="A649" s="167" t="s">
        <v>29</v>
      </c>
      <c r="B649" s="167"/>
      <c r="C649" s="167"/>
      <c r="D649" s="167"/>
      <c r="E649" s="16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60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68" t="s">
        <v>52</v>
      </c>
      <c r="B662" s="168"/>
      <c r="C662" s="168"/>
      <c r="D662" s="168"/>
      <c r="E662" s="16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53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68" t="s">
        <v>59</v>
      </c>
      <c r="B675" s="168"/>
      <c r="C675" s="168"/>
      <c r="D675" s="168"/>
      <c r="E675" s="16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53</v>
      </c>
      <c r="S675" s="89"/>
      <c r="T675" s="118">
        <f>IFERROR(J675,"")</f>
        <v>0</v>
      </c>
    </row>
    <row r="676" spans="1:20" ht="18" customHeight="1">
      <c r="A676" s="167" t="s">
        <v>29</v>
      </c>
      <c r="B676" s="167"/>
      <c r="C676" s="167"/>
      <c r="D676" s="167"/>
      <c r="E676" s="16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60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68" t="s">
        <v>52</v>
      </c>
      <c r="B689" s="168"/>
      <c r="C689" s="168"/>
      <c r="D689" s="168"/>
      <c r="E689" s="16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53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68" t="s">
        <v>59</v>
      </c>
      <c r="B702" s="168"/>
      <c r="C702" s="168"/>
      <c r="D702" s="168"/>
      <c r="E702" s="16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53</v>
      </c>
      <c r="S702" s="89"/>
      <c r="T702" s="118">
        <f>IFERROR(J702,"")</f>
        <v>0</v>
      </c>
    </row>
    <row r="703" spans="1:20" ht="18" customHeight="1">
      <c r="A703" s="167" t="s">
        <v>29</v>
      </c>
      <c r="B703" s="167"/>
      <c r="C703" s="167"/>
      <c r="D703" s="167"/>
      <c r="E703" s="16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60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68" t="s">
        <v>52</v>
      </c>
      <c r="B716" s="168"/>
      <c r="C716" s="168"/>
      <c r="D716" s="168"/>
      <c r="E716" s="16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53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68" t="s">
        <v>59</v>
      </c>
      <c r="B729" s="168"/>
      <c r="C729" s="168"/>
      <c r="D729" s="168"/>
      <c r="E729" s="16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53</v>
      </c>
      <c r="S729" s="89"/>
      <c r="T729" s="118">
        <f>IFERROR(J729,"")</f>
        <v>0</v>
      </c>
    </row>
    <row r="730" spans="1:20" ht="18" customHeight="1">
      <c r="A730" s="167" t="s">
        <v>29</v>
      </c>
      <c r="B730" s="167"/>
      <c r="C730" s="167"/>
      <c r="D730" s="167"/>
      <c r="E730" s="16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60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68" t="s">
        <v>52</v>
      </c>
      <c r="B743" s="168"/>
      <c r="C743" s="168"/>
      <c r="D743" s="168"/>
      <c r="E743" s="16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53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68" t="s">
        <v>59</v>
      </c>
      <c r="B756" s="168"/>
      <c r="C756" s="168"/>
      <c r="D756" s="168"/>
      <c r="E756" s="16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53</v>
      </c>
      <c r="S756" s="89"/>
      <c r="T756" s="118">
        <f>IFERROR(J756,"")</f>
        <v>0</v>
      </c>
    </row>
    <row r="757" spans="1:20" ht="18" customHeight="1">
      <c r="A757" s="167" t="s">
        <v>29</v>
      </c>
      <c r="B757" s="167"/>
      <c r="C757" s="167"/>
      <c r="D757" s="167"/>
      <c r="E757" s="16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60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68" t="s">
        <v>52</v>
      </c>
      <c r="B770" s="168"/>
      <c r="C770" s="168"/>
      <c r="D770" s="168"/>
      <c r="E770" s="16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53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68" t="s">
        <v>59</v>
      </c>
      <c r="B783" s="168"/>
      <c r="C783" s="168"/>
      <c r="D783" s="168"/>
      <c r="E783" s="16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53</v>
      </c>
      <c r="S783" s="89"/>
      <c r="T783" s="118">
        <f>IFERROR(J783,"")</f>
        <v>0</v>
      </c>
    </row>
    <row r="784" spans="1:20" ht="18" customHeight="1">
      <c r="A784" s="167" t="s">
        <v>29</v>
      </c>
      <c r="B784" s="167"/>
      <c r="C784" s="167"/>
      <c r="D784" s="167"/>
      <c r="E784" s="16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60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68" t="s">
        <v>52</v>
      </c>
      <c r="B797" s="168"/>
      <c r="C797" s="168"/>
      <c r="D797" s="168"/>
      <c r="E797" s="16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53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68" t="s">
        <v>59</v>
      </c>
      <c r="B810" s="168"/>
      <c r="C810" s="168"/>
      <c r="D810" s="168"/>
      <c r="E810" s="16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53</v>
      </c>
      <c r="S810" s="89"/>
      <c r="T810" s="118">
        <f>IFERROR(J810,"")</f>
        <v>0</v>
      </c>
    </row>
    <row r="811" spans="1:20" ht="18" customHeight="1">
      <c r="A811" s="167" t="s">
        <v>29</v>
      </c>
      <c r="B811" s="167"/>
      <c r="C811" s="167"/>
      <c r="D811" s="167"/>
      <c r="E811" s="16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60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68" t="s">
        <v>52</v>
      </c>
      <c r="B824" s="168"/>
      <c r="C824" s="168"/>
      <c r="D824" s="168"/>
      <c r="E824" s="16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53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68" t="s">
        <v>59</v>
      </c>
      <c r="B837" s="168"/>
      <c r="C837" s="168"/>
      <c r="D837" s="168"/>
      <c r="E837" s="16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53</v>
      </c>
      <c r="S837" s="131"/>
      <c r="T837" s="132">
        <f>IFERROR(J837,"")</f>
        <v>0</v>
      </c>
    </row>
    <row r="838" spans="1:20" ht="18" customHeight="1">
      <c r="A838" s="167" t="s">
        <v>29</v>
      </c>
      <c r="B838" s="167"/>
      <c r="C838" s="167"/>
      <c r="D838" s="167"/>
      <c r="E838" s="16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60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tabSelected="1" zoomScale="60" zoomScaleNormal="60" workbookViewId="0">
      <pane ySplit="1" topLeftCell="A21" activePane="bottomLeft" state="frozen"/>
      <selection pane="bottomLeft" activeCell="R44" sqref="R44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30</v>
      </c>
      <c r="C1" s="72" t="s">
        <v>19</v>
      </c>
      <c r="D1" s="71" t="s">
        <v>31</v>
      </c>
      <c r="E1" s="71" t="s">
        <v>32</v>
      </c>
      <c r="F1" s="105" t="s">
        <v>64</v>
      </c>
      <c r="G1" s="72" t="s">
        <v>33</v>
      </c>
      <c r="H1" s="105" t="s">
        <v>65</v>
      </c>
      <c r="I1" s="105" t="s">
        <v>66</v>
      </c>
      <c r="J1" s="105" t="s">
        <v>67</v>
      </c>
      <c r="K1" s="72" t="s">
        <v>34</v>
      </c>
      <c r="L1" s="72" t="s">
        <v>35</v>
      </c>
      <c r="M1" s="72" t="s">
        <v>36</v>
      </c>
      <c r="N1" s="72" t="s">
        <v>37</v>
      </c>
      <c r="O1" s="72" t="s">
        <v>38</v>
      </c>
      <c r="P1" s="72" t="s">
        <v>39</v>
      </c>
      <c r="Q1" s="73" t="s">
        <v>40</v>
      </c>
      <c r="R1" s="72" t="s">
        <v>26</v>
      </c>
      <c r="S1" s="72" t="s">
        <v>41</v>
      </c>
      <c r="T1" s="72" t="s">
        <v>67</v>
      </c>
    </row>
    <row r="2" spans="1:20" ht="15" customHeight="1">
      <c r="A2" s="74">
        <v>46266</v>
      </c>
      <c r="B2" s="75">
        <v>0.33333333333333298</v>
      </c>
      <c r="C2" s="76" t="s">
        <v>42</v>
      </c>
      <c r="D2" s="77" t="s">
        <v>68</v>
      </c>
      <c r="E2" s="106" t="s">
        <v>69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70</v>
      </c>
      <c r="M2" s="76"/>
      <c r="N2" s="76" t="s">
        <v>71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42</v>
      </c>
      <c r="D3" s="77" t="s">
        <v>68</v>
      </c>
      <c r="E3" s="106" t="s">
        <v>69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61</v>
      </c>
      <c r="M3" s="85" t="s">
        <v>90</v>
      </c>
      <c r="N3" s="85" t="s">
        <v>78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42</v>
      </c>
      <c r="D4" s="77" t="s">
        <v>68</v>
      </c>
      <c r="E4" s="106" t="s">
        <v>69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61</v>
      </c>
      <c r="M4" s="76" t="s">
        <v>91</v>
      </c>
      <c r="N4" s="76" t="s">
        <v>92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42</v>
      </c>
      <c r="D5" s="77" t="s">
        <v>68</v>
      </c>
      <c r="E5" s="106" t="s">
        <v>69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61</v>
      </c>
      <c r="M5" s="85" t="s">
        <v>90</v>
      </c>
      <c r="N5" s="85" t="s">
        <v>93</v>
      </c>
      <c r="O5" s="80">
        <v>0.56527777777777777</v>
      </c>
      <c r="P5" s="80" t="s">
        <v>94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42</v>
      </c>
      <c r="D6" s="77" t="s">
        <v>68</v>
      </c>
      <c r="E6" s="106" t="s">
        <v>69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49</v>
      </c>
      <c r="M6" s="85" t="s">
        <v>82</v>
      </c>
      <c r="N6" s="85" t="s">
        <v>95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42</v>
      </c>
      <c r="D7" s="77" t="s">
        <v>68</v>
      </c>
      <c r="E7" s="106" t="s">
        <v>69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49</v>
      </c>
      <c r="M7" s="85"/>
      <c r="N7" s="85" t="s">
        <v>50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42</v>
      </c>
      <c r="D8" s="77" t="s">
        <v>68</v>
      </c>
      <c r="E8" s="106" t="s">
        <v>69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42</v>
      </c>
      <c r="D9" s="77" t="s">
        <v>68</v>
      </c>
      <c r="E9" s="106" t="s">
        <v>69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42</v>
      </c>
      <c r="D10" s="77" t="s">
        <v>68</v>
      </c>
      <c r="E10" s="106" t="s">
        <v>69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42</v>
      </c>
      <c r="D11" s="77" t="s">
        <v>68</v>
      </c>
      <c r="E11" s="106" t="s">
        <v>69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42</v>
      </c>
      <c r="D12" s="77" t="s">
        <v>68</v>
      </c>
      <c r="E12" s="106" t="s">
        <v>69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42</v>
      </c>
      <c r="D13" s="77" t="s">
        <v>68</v>
      </c>
      <c r="E13" s="106" t="s">
        <v>69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68" t="s">
        <v>52</v>
      </c>
      <c r="B14" s="168"/>
      <c r="C14" s="168"/>
      <c r="D14" s="168"/>
      <c r="E14" s="168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53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54</v>
      </c>
      <c r="D15" s="90" t="s">
        <v>43</v>
      </c>
      <c r="E15" s="119" t="s">
        <v>69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45</v>
      </c>
      <c r="M15" s="85" t="s">
        <v>82</v>
      </c>
      <c r="N15" s="85" t="s">
        <v>73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54</v>
      </c>
      <c r="D16" s="90" t="s">
        <v>43</v>
      </c>
      <c r="E16" s="119" t="s">
        <v>69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45</v>
      </c>
      <c r="M16" s="76" t="s">
        <v>72</v>
      </c>
      <c r="N16" s="76" t="s">
        <v>58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54</v>
      </c>
      <c r="D17" s="90" t="s">
        <v>43</v>
      </c>
      <c r="E17" s="119" t="s">
        <v>69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45</v>
      </c>
      <c r="M17" s="85" t="s">
        <v>76</v>
      </c>
      <c r="N17" s="85" t="s">
        <v>58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54</v>
      </c>
      <c r="D18" s="90" t="s">
        <v>43</v>
      </c>
      <c r="E18" s="119" t="s">
        <v>69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54</v>
      </c>
      <c r="D19" s="90" t="s">
        <v>43</v>
      </c>
      <c r="E19" s="119" t="s">
        <v>69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54</v>
      </c>
      <c r="D20" s="90" t="s">
        <v>43</v>
      </c>
      <c r="E20" s="119" t="s">
        <v>69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54</v>
      </c>
      <c r="D21" s="90" t="s">
        <v>43</v>
      </c>
      <c r="E21" s="119" t="s">
        <v>69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54</v>
      </c>
      <c r="D22" s="90" t="s">
        <v>43</v>
      </c>
      <c r="E22" s="119" t="s">
        <v>69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54</v>
      </c>
      <c r="D23" s="90" t="s">
        <v>43</v>
      </c>
      <c r="E23" s="119" t="s">
        <v>69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54</v>
      </c>
      <c r="D24" s="90" t="s">
        <v>43</v>
      </c>
      <c r="E24" s="119" t="s">
        <v>69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54</v>
      </c>
      <c r="D25" s="90" t="s">
        <v>43</v>
      </c>
      <c r="E25" s="119" t="s">
        <v>69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54</v>
      </c>
      <c r="D26" s="90" t="s">
        <v>43</v>
      </c>
      <c r="E26" s="119" t="s">
        <v>69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68" t="s">
        <v>59</v>
      </c>
      <c r="B27" s="168"/>
      <c r="C27" s="168"/>
      <c r="D27" s="168"/>
      <c r="E27" s="168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53</v>
      </c>
      <c r="S27" s="89">
        <v>163270</v>
      </c>
      <c r="T27" s="118">
        <f>IFERROR(J27,"")</f>
        <v>68.573399999999992</v>
      </c>
    </row>
    <row r="28" spans="1:20" ht="18" customHeight="1">
      <c r="A28" s="167" t="s">
        <v>29</v>
      </c>
      <c r="B28" s="167"/>
      <c r="C28" s="167"/>
      <c r="D28" s="167"/>
      <c r="E28" s="167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60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86</v>
      </c>
      <c r="D29" s="77" t="s">
        <v>43</v>
      </c>
      <c r="E29" s="106" t="s">
        <v>69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45</v>
      </c>
      <c r="M29" s="85" t="s">
        <v>76</v>
      </c>
      <c r="N29" s="85" t="s">
        <v>58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86</v>
      </c>
      <c r="D30" s="77" t="s">
        <v>43</v>
      </c>
      <c r="E30" s="106" t="s">
        <v>69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61</v>
      </c>
      <c r="M30" s="85" t="s">
        <v>90</v>
      </c>
      <c r="N30" s="85" t="s">
        <v>78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86</v>
      </c>
      <c r="D31" s="77" t="s">
        <v>43</v>
      </c>
      <c r="E31" s="106" t="s">
        <v>69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61</v>
      </c>
      <c r="M31" s="85"/>
      <c r="N31" s="85" t="s">
        <v>62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86</v>
      </c>
      <c r="D32" s="77" t="s">
        <v>43</v>
      </c>
      <c r="E32" s="106" t="s">
        <v>69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86</v>
      </c>
      <c r="D33" s="77" t="s">
        <v>43</v>
      </c>
      <c r="E33" s="106" t="s">
        <v>69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86</v>
      </c>
      <c r="D34" s="77" t="s">
        <v>43</v>
      </c>
      <c r="E34" s="106" t="s">
        <v>69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86</v>
      </c>
      <c r="D35" s="77" t="s">
        <v>43</v>
      </c>
      <c r="E35" s="106" t="s">
        <v>69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86</v>
      </c>
      <c r="D36" s="77" t="s">
        <v>43</v>
      </c>
      <c r="E36" s="106" t="s">
        <v>69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86</v>
      </c>
      <c r="D37" s="77" t="s">
        <v>43</v>
      </c>
      <c r="E37" s="106" t="s">
        <v>69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86</v>
      </c>
      <c r="D38" s="77" t="s">
        <v>43</v>
      </c>
      <c r="E38" s="106" t="s">
        <v>69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86</v>
      </c>
      <c r="D39" s="77" t="s">
        <v>43</v>
      </c>
      <c r="E39" s="106" t="s">
        <v>69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86</v>
      </c>
      <c r="D40" s="77" t="s">
        <v>43</v>
      </c>
      <c r="E40" s="106" t="s">
        <v>69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68" t="s">
        <v>52</v>
      </c>
      <c r="B41" s="168"/>
      <c r="C41" s="168"/>
      <c r="D41" s="168"/>
      <c r="E41" s="168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53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/>
      <c r="D42" s="90"/>
      <c r="E42" s="119"/>
      <c r="F42" s="120" t="str">
        <f>IFERROR(IF($D42="","",VLOOKUP($D42,Cadastro!$C$4:$E$20,3,FALSE())),"")</f>
        <v/>
      </c>
      <c r="G42" s="108">
        <v>10</v>
      </c>
      <c r="H42" s="120">
        <f>IFERROR(IF($G42="","",$G42*$S$54/$G$54/Cadastro!$E$33),"")</f>
        <v>0</v>
      </c>
      <c r="I42" s="121" t="str">
        <f>IFERROR(IF($D42="","",VLOOKUP($D42,Cadastro!$C$4:$G$20,5,FALSE())),"")</f>
        <v/>
      </c>
      <c r="J42" s="122" t="str">
        <f t="shared" ref="J42:J53" si="12">IFERROR(IF($H42="","",$H42*$F42*$I42),"")</f>
        <v/>
      </c>
      <c r="K42" s="84" t="str">
        <f t="shared" ref="K42:K53" si="13">IF(G42="","",IF(E42="PC 17",G42*4.2,IF(E42="PC 19",G42*5,IF(E42="CB",G42*24,""))))</f>
        <v/>
      </c>
      <c r="L42" s="76" t="s">
        <v>49</v>
      </c>
      <c r="M42" s="76"/>
      <c r="N42" s="76" t="s">
        <v>50</v>
      </c>
      <c r="O42" s="80" t="s">
        <v>96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/>
      <c r="D43" s="90"/>
      <c r="E43" s="119"/>
      <c r="F43" s="107" t="str">
        <f>IFERROR(IF($D43="","",VLOOKUP($D43,Cadastro!$C$4:$E$20,3,FALSE())),"")</f>
        <v/>
      </c>
      <c r="G43" s="108"/>
      <c r="H43" s="107" t="str">
        <f>IFERROR(IF($G43="","",$G43*$S$54/$G$54/Cadastro!$E$33),"")</f>
        <v/>
      </c>
      <c r="I43" s="109" t="str">
        <f>IFERROR(IF($D43="","",VLOOKUP($D43,Cadastro!$C$4:$G$20,5,FALSE())),"")</f>
        <v/>
      </c>
      <c r="J43" s="110" t="str">
        <f t="shared" si="12"/>
        <v/>
      </c>
      <c r="K43" s="79" t="str">
        <f t="shared" si="13"/>
        <v/>
      </c>
      <c r="L43" s="85" t="s">
        <v>49</v>
      </c>
      <c r="M43" s="85"/>
      <c r="N43" s="85" t="s">
        <v>50</v>
      </c>
      <c r="O43" s="80">
        <v>0.84027777777777779</v>
      </c>
      <c r="P43" s="80"/>
      <c r="Q43" s="86">
        <f t="shared" ca="1" si="14"/>
        <v>3.5817592586681712E-2</v>
      </c>
      <c r="R43" s="78" t="s">
        <v>97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/>
      <c r="D44" s="90"/>
      <c r="E44" s="119"/>
      <c r="F44" s="107" t="str">
        <f>IFERROR(IF($D44="","",VLOOKUP($D44,Cadastro!$C$4:$E$20,3,FALSE())),"")</f>
        <v/>
      </c>
      <c r="G44" s="108"/>
      <c r="H44" s="107" t="str">
        <f>IFERROR(IF($G44="","",$G44*$S$54/$G$54/Cadastro!$E$33),"")</f>
        <v/>
      </c>
      <c r="I44" s="109" t="str">
        <f>IFERROR(IF($D44="","",VLOOKUP($D44,Cadastro!$C$4:$G$20,5,FALSE())),"")</f>
        <v/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1" t="str">
        <f t="shared" ca="1" si="14"/>
        <v/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/>
      <c r="D45" s="90"/>
      <c r="E45" s="119"/>
      <c r="F45" s="107" t="str">
        <f>IFERROR(IF($D45="","",VLOOKUP($D45,Cadastro!$C$4:$E$20,3,FALSE())),"")</f>
        <v/>
      </c>
      <c r="G45" s="108"/>
      <c r="H45" s="107" t="str">
        <f>IFERROR(IF($G45="","",$G45*$S$54/$G$54/Cadastro!$E$33),"")</f>
        <v/>
      </c>
      <c r="I45" s="109" t="str">
        <f>IFERROR(IF($D45="","",VLOOKUP($D45,Cadastro!$C$4:$G$20,5,FALSE())),"")</f>
        <v/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6" t="str">
        <f t="shared" ca="1" si="14"/>
        <v/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/>
      <c r="D46" s="90"/>
      <c r="E46" s="119"/>
      <c r="F46" s="107" t="str">
        <f>IFERROR(IF($D46="","",VLOOKUP($D46,Cadastro!$C$4:$E$20,3,FALSE())),"")</f>
        <v/>
      </c>
      <c r="G46" s="108"/>
      <c r="H46" s="107" t="str">
        <f>IFERROR(IF($G46="","",$G46*$S$54/$G$54/Cadastro!$E$33),"")</f>
        <v/>
      </c>
      <c r="I46" s="109" t="str">
        <f>IFERROR(IF($D46="","",VLOOKUP($D46,Cadastro!$C$4:$G$20,5,FALSE())),"")</f>
        <v/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/>
      <c r="D47" s="90"/>
      <c r="E47" s="119"/>
      <c r="F47" s="107" t="str">
        <f>IFERROR(IF($D47="","",VLOOKUP($D47,Cadastro!$C$4:$E$20,3,FALSE())),"")</f>
        <v/>
      </c>
      <c r="G47" s="108"/>
      <c r="H47" s="107" t="str">
        <f>IFERROR(IF($G47="","",$G47*$S$54/$G$54/Cadastro!$E$33),"")</f>
        <v/>
      </c>
      <c r="I47" s="109" t="str">
        <f>IFERROR(IF($D47="","",VLOOKUP($D47,Cadastro!$C$4:$G$20,5,FALSE())),"")</f>
        <v/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/>
      <c r="D48" s="90"/>
      <c r="E48" s="119"/>
      <c r="F48" s="107" t="str">
        <f>IFERROR(IF($D48="","",VLOOKUP($D48,Cadastro!$C$4:$E$20,3,FALSE())),"")</f>
        <v/>
      </c>
      <c r="G48" s="108"/>
      <c r="H48" s="107" t="str">
        <f>IFERROR(IF($G48="","",$G48*$S$54/$G$54/Cadastro!$E$33),"")</f>
        <v/>
      </c>
      <c r="I48" s="109" t="str">
        <f>IFERROR(IF($D48="","",VLOOKUP($D48,Cadastro!$C$4:$G$20,5,FALSE())),"")</f>
        <v/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/>
      <c r="D49" s="90"/>
      <c r="E49" s="119"/>
      <c r="F49" s="107" t="str">
        <f>IFERROR(IF($D49="","",VLOOKUP($D49,Cadastro!$C$4:$E$20,3,FALSE())),"")</f>
        <v/>
      </c>
      <c r="G49" s="108"/>
      <c r="H49" s="107" t="str">
        <f>IFERROR(IF($G49="","",$G49*$S$54/$G$54/Cadastro!$E$33),"")</f>
        <v/>
      </c>
      <c r="I49" s="109" t="str">
        <f>IFERROR(IF($D49="","",VLOOKUP($D49,Cadastro!$C$4:$G$20,5,FALSE())),"")</f>
        <v/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/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 t="str">
        <f t="shared" si="13"/>
        <v/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/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 t="shared" si="13"/>
        <v/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/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 t="shared" si="13"/>
        <v/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/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 t="shared" si="13"/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68" t="s">
        <v>59</v>
      </c>
      <c r="B54" s="168"/>
      <c r="C54" s="168"/>
      <c r="D54" s="168"/>
      <c r="E54" s="168"/>
      <c r="F54" s="124"/>
      <c r="G54" s="115">
        <f>SUM(G42:G53)</f>
        <v>10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0</v>
      </c>
      <c r="L54" s="87"/>
      <c r="M54" s="87"/>
      <c r="N54" s="87"/>
      <c r="O54" s="87"/>
      <c r="P54" s="87"/>
      <c r="Q54" s="88">
        <f ca="1">IFERROR(SUM(Q42:Q53),"")</f>
        <v>3.5817592586681712E-2</v>
      </c>
      <c r="R54" s="2" t="s">
        <v>53</v>
      </c>
      <c r="S54" s="89"/>
      <c r="T54" s="118">
        <f>IFERROR(J54,"")</f>
        <v>0</v>
      </c>
    </row>
    <row r="55" spans="1:20" ht="18" customHeight="1">
      <c r="A55" s="167" t="s">
        <v>29</v>
      </c>
      <c r="B55" s="167"/>
      <c r="C55" s="167"/>
      <c r="D55" s="167"/>
      <c r="E55" s="167"/>
      <c r="F55" s="127"/>
      <c r="G55" s="128">
        <f>G41+G54</f>
        <v>72</v>
      </c>
      <c r="H55" s="127">
        <f>IFERROR(H41+H54,"")</f>
        <v>268.59000000000003</v>
      </c>
      <c r="I55" s="129"/>
      <c r="J55" s="130">
        <f>IFERROR(J41+J54,"")</f>
        <v>112.80779999999999</v>
      </c>
      <c r="K55" s="1">
        <f>K41+K54</f>
        <v>260.40000000000003</v>
      </c>
      <c r="L55" s="91"/>
      <c r="M55" s="91"/>
      <c r="N55" s="91"/>
      <c r="O55" s="91"/>
      <c r="P55" s="91"/>
      <c r="Q55" s="92">
        <f ca="1">IFERROR(Q41+Q54,"")</f>
        <v>0.29553981480890396</v>
      </c>
      <c r="R55" s="1" t="s">
        <v>60</v>
      </c>
      <c r="S55" s="31">
        <f>IFERROR(S41+S54,"")</f>
        <v>268590</v>
      </c>
      <c r="T55" s="32">
        <f>IFERROR(J55,"")</f>
        <v>112.80779999999999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76"/>
      <c r="O56" s="80"/>
      <c r="P56" s="80"/>
      <c r="Q56" s="81" t="str">
        <f t="shared" ref="Q56:Q67" ca="1" si="18">IFERROR(IF(O56="","",IF(P56="",MOD(NOW()-O56,1),IF(P56&gt;=O56,P56-O56,P56+1-O56))),"")</f>
        <v/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76"/>
      <c r="O57" s="80"/>
      <c r="P57" s="80"/>
      <c r="Q57" s="86" t="str">
        <f t="shared" ca="1" si="18"/>
        <v/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68" t="s">
        <v>52</v>
      </c>
      <c r="B68" s="168"/>
      <c r="C68" s="168"/>
      <c r="D68" s="168"/>
      <c r="E68" s="168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87"/>
      <c r="P68" s="87"/>
      <c r="Q68" s="88">
        <f ca="1">IFERROR(SUM(Q56:Q67),"")</f>
        <v>0</v>
      </c>
      <c r="R68" s="2" t="s">
        <v>53</v>
      </c>
      <c r="S68" s="89"/>
      <c r="T68" s="118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82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68" t="s">
        <v>59</v>
      </c>
      <c r="B81" s="168"/>
      <c r="C81" s="168"/>
      <c r="D81" s="168"/>
      <c r="E81" s="168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53</v>
      </c>
      <c r="S81" s="89"/>
      <c r="T81" s="118">
        <f>IFERROR(J81,"")</f>
        <v>0</v>
      </c>
    </row>
    <row r="82" spans="1:20" ht="18" customHeight="1">
      <c r="A82" s="167" t="s">
        <v>29</v>
      </c>
      <c r="B82" s="167"/>
      <c r="C82" s="167"/>
      <c r="D82" s="167"/>
      <c r="E82" s="167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91"/>
      <c r="P82" s="91"/>
      <c r="Q82" s="92">
        <f ca="1">IFERROR(Q68+Q81,"")</f>
        <v>0</v>
      </c>
      <c r="R82" s="1" t="s">
        <v>60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6">IFERROR(IF(O83="","",IF(P83="",MOD(NOW()-O83,1),IF(P83&gt;=O83,P83-O83,P83+1-O83))),"")</f>
        <v/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1" t="str">
        <f t="shared" ca="1" si="26"/>
        <v/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68" t="s">
        <v>52</v>
      </c>
      <c r="B95" s="168"/>
      <c r="C95" s="168"/>
      <c r="D95" s="168"/>
      <c r="E95" s="168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53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0">IFERROR(IF(O96="","",IF(P96="",MOD(NOW()-O96,1),IF(P96&gt;=O96,P96-O96,P96+1-O96))),"")</f>
        <v/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6" t="str">
        <f t="shared" ca="1" si="30"/>
        <v/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1" t="str">
        <f t="shared" ca="1" si="30"/>
        <v/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6" t="str">
        <f t="shared" ca="1" si="30"/>
        <v/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68" t="s">
        <v>59</v>
      </c>
      <c r="B108" s="168"/>
      <c r="C108" s="168"/>
      <c r="D108" s="168"/>
      <c r="E108" s="168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53</v>
      </c>
      <c r="S108" s="89"/>
      <c r="T108" s="118">
        <f>IFERROR(J108,"")</f>
        <v>0</v>
      </c>
    </row>
    <row r="109" spans="1:20" ht="18" customHeight="1">
      <c r="A109" s="167" t="s">
        <v>29</v>
      </c>
      <c r="B109" s="167"/>
      <c r="C109" s="167"/>
      <c r="D109" s="167"/>
      <c r="E109" s="167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60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68" t="s">
        <v>52</v>
      </c>
      <c r="B122" s="168"/>
      <c r="C122" s="168"/>
      <c r="D122" s="168"/>
      <c r="E122" s="168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53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 t="shared" ref="K123:K134" si="37"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8">IFERROR(IF(O123="","",IF(P123="",MOD(NOW()-O123,1),IF(P123&gt;=O123,P123-O123,P123+1-O123))),"")</f>
        <v/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 t="shared" si="37"/>
        <v/>
      </c>
      <c r="L124" s="76"/>
      <c r="M124" s="76"/>
      <c r="N124" s="76"/>
      <c r="O124" s="80"/>
      <c r="P124" s="80"/>
      <c r="Q124" s="81" t="str">
        <f t="shared" ca="1" si="38"/>
        <v/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 t="shared" si="37"/>
        <v/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 t="shared" si="37"/>
        <v/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si="37"/>
        <v/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68" t="s">
        <v>59</v>
      </c>
      <c r="B135" s="168"/>
      <c r="C135" s="168"/>
      <c r="D135" s="168"/>
      <c r="E135" s="168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53</v>
      </c>
      <c r="S135" s="89"/>
      <c r="T135" s="118">
        <f>IFERROR(J135,"")</f>
        <v>0</v>
      </c>
    </row>
    <row r="136" spans="1:20" ht="18" customHeight="1">
      <c r="A136" s="167" t="s">
        <v>29</v>
      </c>
      <c r="B136" s="167"/>
      <c r="C136" s="167"/>
      <c r="D136" s="167"/>
      <c r="E136" s="167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60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68" t="s">
        <v>52</v>
      </c>
      <c r="B149" s="168"/>
      <c r="C149" s="168"/>
      <c r="D149" s="168"/>
      <c r="E149" s="168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53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68" t="s">
        <v>59</v>
      </c>
      <c r="B162" s="168"/>
      <c r="C162" s="168"/>
      <c r="D162" s="168"/>
      <c r="E162" s="16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53</v>
      </c>
      <c r="S162" s="89"/>
      <c r="T162" s="118">
        <f>IFERROR(J162,"")</f>
        <v>0</v>
      </c>
    </row>
    <row r="163" spans="1:20" ht="18" customHeight="1">
      <c r="A163" s="167" t="s">
        <v>29</v>
      </c>
      <c r="B163" s="167"/>
      <c r="C163" s="167"/>
      <c r="D163" s="167"/>
      <c r="E163" s="16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60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68" t="s">
        <v>52</v>
      </c>
      <c r="B176" s="168"/>
      <c r="C176" s="168"/>
      <c r="D176" s="168"/>
      <c r="E176" s="16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53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68" t="s">
        <v>59</v>
      </c>
      <c r="B189" s="168"/>
      <c r="C189" s="168"/>
      <c r="D189" s="168"/>
      <c r="E189" s="16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53</v>
      </c>
      <c r="S189" s="89"/>
      <c r="T189" s="118">
        <f>IFERROR(J189,"")</f>
        <v>0</v>
      </c>
    </row>
    <row r="190" spans="1:20" ht="18" customHeight="1">
      <c r="A190" s="167" t="s">
        <v>29</v>
      </c>
      <c r="B190" s="167"/>
      <c r="C190" s="167"/>
      <c r="D190" s="167"/>
      <c r="E190" s="16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60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68" t="s">
        <v>52</v>
      </c>
      <c r="B203" s="168"/>
      <c r="C203" s="168"/>
      <c r="D203" s="168"/>
      <c r="E203" s="16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53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68" t="s">
        <v>59</v>
      </c>
      <c r="B216" s="168"/>
      <c r="C216" s="168"/>
      <c r="D216" s="168"/>
      <c r="E216" s="16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53</v>
      </c>
      <c r="S216" s="89"/>
      <c r="T216" s="118">
        <f>IFERROR(J216,"")</f>
        <v>0</v>
      </c>
    </row>
    <row r="217" spans="1:20" ht="18" customHeight="1">
      <c r="A217" s="167" t="s">
        <v>29</v>
      </c>
      <c r="B217" s="167"/>
      <c r="C217" s="167"/>
      <c r="D217" s="167"/>
      <c r="E217" s="16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60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68" t="s">
        <v>52</v>
      </c>
      <c r="B230" s="168"/>
      <c r="C230" s="168"/>
      <c r="D230" s="168"/>
      <c r="E230" s="16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53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68" t="s">
        <v>59</v>
      </c>
      <c r="B243" s="168"/>
      <c r="C243" s="168"/>
      <c r="D243" s="168"/>
      <c r="E243" s="16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53</v>
      </c>
      <c r="S243" s="89"/>
      <c r="T243" s="118">
        <f>IFERROR(J243,"")</f>
        <v>0</v>
      </c>
    </row>
    <row r="244" spans="1:20" ht="18" customHeight="1">
      <c r="A244" s="167" t="s">
        <v>29</v>
      </c>
      <c r="B244" s="167"/>
      <c r="C244" s="167"/>
      <c r="D244" s="167"/>
      <c r="E244" s="16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60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68" t="s">
        <v>52</v>
      </c>
      <c r="B257" s="168"/>
      <c r="C257" s="168"/>
      <c r="D257" s="168"/>
      <c r="E257" s="16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53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68" t="s">
        <v>59</v>
      </c>
      <c r="B270" s="168"/>
      <c r="C270" s="168"/>
      <c r="D270" s="168"/>
      <c r="E270" s="16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53</v>
      </c>
      <c r="S270" s="89"/>
      <c r="T270" s="118">
        <f>IFERROR(J270,"")</f>
        <v>0</v>
      </c>
    </row>
    <row r="271" spans="1:20" ht="18" customHeight="1">
      <c r="A271" s="167" t="s">
        <v>29</v>
      </c>
      <c r="B271" s="167"/>
      <c r="C271" s="167"/>
      <c r="D271" s="167"/>
      <c r="E271" s="16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60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68" t="s">
        <v>52</v>
      </c>
      <c r="B284" s="168"/>
      <c r="C284" s="168"/>
      <c r="D284" s="168"/>
      <c r="E284" s="16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53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68" t="s">
        <v>59</v>
      </c>
      <c r="B297" s="168"/>
      <c r="C297" s="168"/>
      <c r="D297" s="168"/>
      <c r="E297" s="16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53</v>
      </c>
      <c r="S297" s="89"/>
      <c r="T297" s="118">
        <f>IFERROR(J297,"")</f>
        <v>0</v>
      </c>
    </row>
    <row r="298" spans="1:20" ht="18" customHeight="1">
      <c r="A298" s="167" t="s">
        <v>29</v>
      </c>
      <c r="B298" s="167"/>
      <c r="C298" s="167"/>
      <c r="D298" s="167"/>
      <c r="E298" s="16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60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68" t="s">
        <v>52</v>
      </c>
      <c r="B311" s="168"/>
      <c r="C311" s="168"/>
      <c r="D311" s="168"/>
      <c r="E311" s="16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53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68" t="s">
        <v>59</v>
      </c>
      <c r="B324" s="168"/>
      <c r="C324" s="168"/>
      <c r="D324" s="168"/>
      <c r="E324" s="16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53</v>
      </c>
      <c r="S324" s="89"/>
      <c r="T324" s="118">
        <f>IFERROR(J324,"")</f>
        <v>0</v>
      </c>
    </row>
    <row r="325" spans="1:20" ht="18" customHeight="1">
      <c r="A325" s="167" t="s">
        <v>29</v>
      </c>
      <c r="B325" s="167"/>
      <c r="C325" s="167"/>
      <c r="D325" s="167"/>
      <c r="E325" s="16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60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68" t="s">
        <v>52</v>
      </c>
      <c r="B338" s="168"/>
      <c r="C338" s="168"/>
      <c r="D338" s="168"/>
      <c r="E338" s="16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53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68" t="s">
        <v>59</v>
      </c>
      <c r="B351" s="168"/>
      <c r="C351" s="168"/>
      <c r="D351" s="168"/>
      <c r="E351" s="16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53</v>
      </c>
      <c r="S351" s="89"/>
      <c r="T351" s="118">
        <f>IFERROR(J351,"")</f>
        <v>0</v>
      </c>
    </row>
    <row r="352" spans="1:20" ht="18" customHeight="1">
      <c r="A352" s="167" t="s">
        <v>29</v>
      </c>
      <c r="B352" s="167"/>
      <c r="C352" s="167"/>
      <c r="D352" s="167"/>
      <c r="E352" s="16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60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68" t="s">
        <v>52</v>
      </c>
      <c r="B365" s="168"/>
      <c r="C365" s="168"/>
      <c r="D365" s="168"/>
      <c r="E365" s="16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53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68" t="s">
        <v>59</v>
      </c>
      <c r="B378" s="168"/>
      <c r="C378" s="168"/>
      <c r="D378" s="168"/>
      <c r="E378" s="16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53</v>
      </c>
      <c r="S378" s="89"/>
      <c r="T378" s="118">
        <f>IFERROR(J378,"")</f>
        <v>0</v>
      </c>
    </row>
    <row r="379" spans="1:20" ht="18" customHeight="1">
      <c r="A379" s="167" t="s">
        <v>29</v>
      </c>
      <c r="B379" s="167"/>
      <c r="C379" s="167"/>
      <c r="D379" s="167"/>
      <c r="E379" s="16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60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68" t="s">
        <v>52</v>
      </c>
      <c r="B392" s="168"/>
      <c r="C392" s="168"/>
      <c r="D392" s="168"/>
      <c r="E392" s="16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53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68" t="s">
        <v>59</v>
      </c>
      <c r="B405" s="168"/>
      <c r="C405" s="168"/>
      <c r="D405" s="168"/>
      <c r="E405" s="16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53</v>
      </c>
      <c r="S405" s="89"/>
      <c r="T405" s="118">
        <f>IFERROR(J405,"")</f>
        <v>0</v>
      </c>
    </row>
    <row r="406" spans="1:20" ht="18" customHeight="1">
      <c r="A406" s="167" t="s">
        <v>29</v>
      </c>
      <c r="B406" s="167"/>
      <c r="C406" s="167"/>
      <c r="D406" s="167"/>
      <c r="E406" s="16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60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68" t="s">
        <v>52</v>
      </c>
      <c r="B419" s="168"/>
      <c r="C419" s="168"/>
      <c r="D419" s="168"/>
      <c r="E419" s="16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53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68" t="s">
        <v>59</v>
      </c>
      <c r="B432" s="168"/>
      <c r="C432" s="168"/>
      <c r="D432" s="168"/>
      <c r="E432" s="16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53</v>
      </c>
      <c r="S432" s="89"/>
      <c r="T432" s="118">
        <f>IFERROR(J432,"")</f>
        <v>0</v>
      </c>
    </row>
    <row r="433" spans="1:20" ht="18" customHeight="1">
      <c r="A433" s="167" t="s">
        <v>29</v>
      </c>
      <c r="B433" s="167"/>
      <c r="C433" s="167"/>
      <c r="D433" s="167"/>
      <c r="E433" s="16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60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68" t="s">
        <v>52</v>
      </c>
      <c r="B446" s="168"/>
      <c r="C446" s="168"/>
      <c r="D446" s="168"/>
      <c r="E446" s="16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53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68" t="s">
        <v>59</v>
      </c>
      <c r="B459" s="168"/>
      <c r="C459" s="168"/>
      <c r="D459" s="168"/>
      <c r="E459" s="16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53</v>
      </c>
      <c r="S459" s="89"/>
      <c r="T459" s="118">
        <f>IFERROR(J459,"")</f>
        <v>0</v>
      </c>
    </row>
    <row r="460" spans="1:20" ht="18" customHeight="1">
      <c r="A460" s="167" t="s">
        <v>29</v>
      </c>
      <c r="B460" s="167"/>
      <c r="C460" s="167"/>
      <c r="D460" s="167"/>
      <c r="E460" s="16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60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68" t="s">
        <v>52</v>
      </c>
      <c r="B473" s="168"/>
      <c r="C473" s="168"/>
      <c r="D473" s="168"/>
      <c r="E473" s="16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53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68" t="s">
        <v>59</v>
      </c>
      <c r="B486" s="168"/>
      <c r="C486" s="168"/>
      <c r="D486" s="168"/>
      <c r="E486" s="16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53</v>
      </c>
      <c r="S486" s="89"/>
      <c r="T486" s="118">
        <f>IFERROR(J486,"")</f>
        <v>0</v>
      </c>
    </row>
    <row r="487" spans="1:20" ht="18" customHeight="1">
      <c r="A487" s="167" t="s">
        <v>29</v>
      </c>
      <c r="B487" s="167"/>
      <c r="C487" s="167"/>
      <c r="D487" s="167"/>
      <c r="E487" s="16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60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68" t="s">
        <v>52</v>
      </c>
      <c r="B500" s="168"/>
      <c r="C500" s="168"/>
      <c r="D500" s="168"/>
      <c r="E500" s="16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53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68" t="s">
        <v>59</v>
      </c>
      <c r="B513" s="168"/>
      <c r="C513" s="168"/>
      <c r="D513" s="168"/>
      <c r="E513" s="16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53</v>
      </c>
      <c r="S513" s="89"/>
      <c r="T513" s="118">
        <f>IFERROR(J513,"")</f>
        <v>0</v>
      </c>
    </row>
    <row r="514" spans="1:20" ht="18" customHeight="1">
      <c r="A514" s="167" t="s">
        <v>29</v>
      </c>
      <c r="B514" s="167"/>
      <c r="C514" s="167"/>
      <c r="D514" s="167"/>
      <c r="E514" s="16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60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68" t="s">
        <v>52</v>
      </c>
      <c r="B527" s="168"/>
      <c r="C527" s="168"/>
      <c r="D527" s="168"/>
      <c r="E527" s="16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53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68" t="s">
        <v>59</v>
      </c>
      <c r="B540" s="168"/>
      <c r="C540" s="168"/>
      <c r="D540" s="168"/>
      <c r="E540" s="16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53</v>
      </c>
      <c r="S540" s="89"/>
      <c r="T540" s="118">
        <f>IFERROR(J540,"")</f>
        <v>0</v>
      </c>
    </row>
    <row r="541" spans="1:20" ht="18" customHeight="1">
      <c r="A541" s="167" t="s">
        <v>29</v>
      </c>
      <c r="B541" s="167"/>
      <c r="C541" s="167"/>
      <c r="D541" s="167"/>
      <c r="E541" s="16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60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68" t="s">
        <v>52</v>
      </c>
      <c r="B554" s="168"/>
      <c r="C554" s="168"/>
      <c r="D554" s="168"/>
      <c r="E554" s="16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53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68" t="s">
        <v>59</v>
      </c>
      <c r="B567" s="168"/>
      <c r="C567" s="168"/>
      <c r="D567" s="168"/>
      <c r="E567" s="16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53</v>
      </c>
      <c r="S567" s="89"/>
      <c r="T567" s="118">
        <f>IFERROR(J567,"")</f>
        <v>0</v>
      </c>
    </row>
    <row r="568" spans="1:20" ht="18" customHeight="1">
      <c r="A568" s="167" t="s">
        <v>29</v>
      </c>
      <c r="B568" s="167"/>
      <c r="C568" s="167"/>
      <c r="D568" s="167"/>
      <c r="E568" s="16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60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68" t="s">
        <v>52</v>
      </c>
      <c r="B581" s="168"/>
      <c r="C581" s="168"/>
      <c r="D581" s="168"/>
      <c r="E581" s="16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53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68" t="s">
        <v>59</v>
      </c>
      <c r="B594" s="168"/>
      <c r="C594" s="168"/>
      <c r="D594" s="168"/>
      <c r="E594" s="16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53</v>
      </c>
      <c r="S594" s="89"/>
      <c r="T594" s="118">
        <f>IFERROR(J594,"")</f>
        <v>0</v>
      </c>
    </row>
    <row r="595" spans="1:20" ht="18" customHeight="1">
      <c r="A595" s="167" t="s">
        <v>29</v>
      </c>
      <c r="B595" s="167"/>
      <c r="C595" s="167"/>
      <c r="D595" s="167"/>
      <c r="E595" s="16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60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68" t="s">
        <v>52</v>
      </c>
      <c r="B608" s="168"/>
      <c r="C608" s="168"/>
      <c r="D608" s="168"/>
      <c r="E608" s="16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53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68" t="s">
        <v>59</v>
      </c>
      <c r="B621" s="168"/>
      <c r="C621" s="168"/>
      <c r="D621" s="168"/>
      <c r="E621" s="16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53</v>
      </c>
      <c r="S621" s="89"/>
      <c r="T621" s="118">
        <f>IFERROR(J621,"")</f>
        <v>0</v>
      </c>
    </row>
    <row r="622" spans="1:20" ht="18" customHeight="1">
      <c r="A622" s="167" t="s">
        <v>29</v>
      </c>
      <c r="B622" s="167"/>
      <c r="C622" s="167"/>
      <c r="D622" s="167"/>
      <c r="E622" s="16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60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68" t="s">
        <v>52</v>
      </c>
      <c r="B635" s="168"/>
      <c r="C635" s="168"/>
      <c r="D635" s="168"/>
      <c r="E635" s="16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53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68" t="s">
        <v>59</v>
      </c>
      <c r="B648" s="168"/>
      <c r="C648" s="168"/>
      <c r="D648" s="168"/>
      <c r="E648" s="16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53</v>
      </c>
      <c r="S648" s="89"/>
      <c r="T648" s="118">
        <f>IFERROR(J648,"")</f>
        <v>0</v>
      </c>
    </row>
    <row r="649" spans="1:20" ht="18" customHeight="1">
      <c r="A649" s="167" t="s">
        <v>29</v>
      </c>
      <c r="B649" s="167"/>
      <c r="C649" s="167"/>
      <c r="D649" s="167"/>
      <c r="E649" s="16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60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68" t="s">
        <v>52</v>
      </c>
      <c r="B662" s="168"/>
      <c r="C662" s="168"/>
      <c r="D662" s="168"/>
      <c r="E662" s="16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53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68" t="s">
        <v>59</v>
      </c>
      <c r="B675" s="168"/>
      <c r="C675" s="168"/>
      <c r="D675" s="168"/>
      <c r="E675" s="16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53</v>
      </c>
      <c r="S675" s="89"/>
      <c r="T675" s="118">
        <f>IFERROR(J675,"")</f>
        <v>0</v>
      </c>
    </row>
    <row r="676" spans="1:20" ht="18" customHeight="1">
      <c r="A676" s="167" t="s">
        <v>29</v>
      </c>
      <c r="B676" s="167"/>
      <c r="C676" s="167"/>
      <c r="D676" s="167"/>
      <c r="E676" s="16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60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68" t="s">
        <v>52</v>
      </c>
      <c r="B689" s="168"/>
      <c r="C689" s="168"/>
      <c r="D689" s="168"/>
      <c r="E689" s="16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53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68" t="s">
        <v>59</v>
      </c>
      <c r="B702" s="168"/>
      <c r="C702" s="168"/>
      <c r="D702" s="168"/>
      <c r="E702" s="16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53</v>
      </c>
      <c r="S702" s="89"/>
      <c r="T702" s="118">
        <f>IFERROR(J702,"")</f>
        <v>0</v>
      </c>
    </row>
    <row r="703" spans="1:20" ht="18" customHeight="1">
      <c r="A703" s="167" t="s">
        <v>29</v>
      </c>
      <c r="B703" s="167"/>
      <c r="C703" s="167"/>
      <c r="D703" s="167"/>
      <c r="E703" s="16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60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68" t="s">
        <v>52</v>
      </c>
      <c r="B716" s="168"/>
      <c r="C716" s="168"/>
      <c r="D716" s="168"/>
      <c r="E716" s="16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53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68" t="s">
        <v>59</v>
      </c>
      <c r="B729" s="168"/>
      <c r="C729" s="168"/>
      <c r="D729" s="168"/>
      <c r="E729" s="16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53</v>
      </c>
      <c r="S729" s="89"/>
      <c r="T729" s="118">
        <f>IFERROR(J729,"")</f>
        <v>0</v>
      </c>
    </row>
    <row r="730" spans="1:20" ht="18" customHeight="1">
      <c r="A730" s="167" t="s">
        <v>29</v>
      </c>
      <c r="B730" s="167"/>
      <c r="C730" s="167"/>
      <c r="D730" s="167"/>
      <c r="E730" s="16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60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68" t="s">
        <v>52</v>
      </c>
      <c r="B743" s="168"/>
      <c r="C743" s="168"/>
      <c r="D743" s="168"/>
      <c r="E743" s="16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53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68" t="s">
        <v>59</v>
      </c>
      <c r="B756" s="168"/>
      <c r="C756" s="168"/>
      <c r="D756" s="168"/>
      <c r="E756" s="16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53</v>
      </c>
      <c r="S756" s="89"/>
      <c r="T756" s="118">
        <f>IFERROR(J756,"")</f>
        <v>0</v>
      </c>
    </row>
    <row r="757" spans="1:20" ht="18" customHeight="1">
      <c r="A757" s="167" t="s">
        <v>29</v>
      </c>
      <c r="B757" s="167"/>
      <c r="C757" s="167"/>
      <c r="D757" s="167"/>
      <c r="E757" s="16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60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68" t="s">
        <v>52</v>
      </c>
      <c r="B770" s="168"/>
      <c r="C770" s="168"/>
      <c r="D770" s="168"/>
      <c r="E770" s="16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53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68" t="s">
        <v>59</v>
      </c>
      <c r="B783" s="168"/>
      <c r="C783" s="168"/>
      <c r="D783" s="168"/>
      <c r="E783" s="16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53</v>
      </c>
      <c r="S783" s="89"/>
      <c r="T783" s="118">
        <f>IFERROR(J783,"")</f>
        <v>0</v>
      </c>
    </row>
    <row r="784" spans="1:20" ht="18" customHeight="1">
      <c r="A784" s="167" t="s">
        <v>29</v>
      </c>
      <c r="B784" s="167"/>
      <c r="C784" s="167"/>
      <c r="D784" s="167"/>
      <c r="E784" s="16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60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68" t="s">
        <v>52</v>
      </c>
      <c r="B797" s="168"/>
      <c r="C797" s="168"/>
      <c r="D797" s="168"/>
      <c r="E797" s="16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53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68" t="s">
        <v>59</v>
      </c>
      <c r="B810" s="168"/>
      <c r="C810" s="168"/>
      <c r="D810" s="168"/>
      <c r="E810" s="16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53</v>
      </c>
      <c r="S810" s="89"/>
      <c r="T810" s="118">
        <f>IFERROR(J810,"")</f>
        <v>0</v>
      </c>
    </row>
    <row r="811" spans="1:20" ht="18" customHeight="1">
      <c r="A811" s="167" t="s">
        <v>29</v>
      </c>
      <c r="B811" s="167"/>
      <c r="C811" s="167"/>
      <c r="D811" s="167"/>
      <c r="E811" s="16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60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68" t="s">
        <v>52</v>
      </c>
      <c r="B824" s="168"/>
      <c r="C824" s="168"/>
      <c r="D824" s="168"/>
      <c r="E824" s="16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53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68" t="s">
        <v>59</v>
      </c>
      <c r="B837" s="168"/>
      <c r="C837" s="168"/>
      <c r="D837" s="168"/>
      <c r="E837" s="16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53</v>
      </c>
      <c r="S837" s="89"/>
      <c r="T837" s="118">
        <f>IFERROR(J837,"")</f>
        <v>0</v>
      </c>
    </row>
    <row r="838" spans="1:20" ht="18" customHeight="1">
      <c r="A838" s="167" t="s">
        <v>29</v>
      </c>
      <c r="B838" s="167"/>
      <c r="C838" s="167"/>
      <c r="D838" s="167"/>
      <c r="E838" s="16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60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29:F256 F259:F261 E260:E261 E263:F380 E382:F492 F493:F514 E494:E838 E15:F2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35" activePane="bottomLeft" state="frozen"/>
      <selection pane="bottomLeft" activeCell="P43" sqref="P43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30</v>
      </c>
      <c r="C1" s="72" t="s">
        <v>19</v>
      </c>
      <c r="D1" s="71" t="s">
        <v>31</v>
      </c>
      <c r="E1" s="71" t="s">
        <v>32</v>
      </c>
      <c r="F1" s="105" t="s">
        <v>64</v>
      </c>
      <c r="G1" s="72" t="s">
        <v>33</v>
      </c>
      <c r="H1" s="105" t="s">
        <v>65</v>
      </c>
      <c r="I1" s="105" t="s">
        <v>66</v>
      </c>
      <c r="J1" s="105" t="s">
        <v>67</v>
      </c>
      <c r="K1" s="72" t="s">
        <v>34</v>
      </c>
      <c r="L1" s="72" t="s">
        <v>35</v>
      </c>
      <c r="M1" s="72" t="s">
        <v>36</v>
      </c>
      <c r="N1" s="72" t="s">
        <v>37</v>
      </c>
      <c r="O1" s="72" t="s">
        <v>38</v>
      </c>
      <c r="P1" s="72" t="s">
        <v>39</v>
      </c>
      <c r="Q1" s="73" t="s">
        <v>40</v>
      </c>
      <c r="R1" s="72" t="s">
        <v>26</v>
      </c>
      <c r="S1" s="72" t="s">
        <v>41</v>
      </c>
      <c r="T1" s="72" t="s">
        <v>67</v>
      </c>
    </row>
    <row r="2" spans="1:20" ht="15" customHeight="1">
      <c r="A2" s="74">
        <v>46266</v>
      </c>
      <c r="B2" s="75">
        <v>0.33333333333333298</v>
      </c>
      <c r="C2" s="76" t="s">
        <v>42</v>
      </c>
      <c r="D2" s="77" t="s">
        <v>68</v>
      </c>
      <c r="E2" s="106" t="s">
        <v>69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49</v>
      </c>
      <c r="M2" s="76"/>
      <c r="N2" s="76" t="s">
        <v>50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98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42</v>
      </c>
      <c r="D3" s="77" t="s">
        <v>68</v>
      </c>
      <c r="E3" s="106" t="s">
        <v>69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61</v>
      </c>
      <c r="M3" s="85" t="s">
        <v>99</v>
      </c>
      <c r="N3" s="85" t="s">
        <v>78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100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42</v>
      </c>
      <c r="D4" s="77" t="s">
        <v>68</v>
      </c>
      <c r="E4" s="106" t="s">
        <v>69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75</v>
      </c>
      <c r="M4" s="76" t="s">
        <v>99</v>
      </c>
      <c r="N4" s="76" t="s">
        <v>101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42</v>
      </c>
      <c r="D5" s="77" t="s">
        <v>68</v>
      </c>
      <c r="E5" s="106" t="s">
        <v>69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49</v>
      </c>
      <c r="M5" s="85"/>
      <c r="N5" s="85" t="s">
        <v>50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42</v>
      </c>
      <c r="D6" s="77" t="s">
        <v>68</v>
      </c>
      <c r="E6" s="106" t="s">
        <v>69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45</v>
      </c>
      <c r="M6" s="76" t="s">
        <v>102</v>
      </c>
      <c r="N6" s="76" t="s">
        <v>103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104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42</v>
      </c>
      <c r="D7" s="77" t="s">
        <v>68</v>
      </c>
      <c r="E7" s="106" t="s">
        <v>69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61</v>
      </c>
      <c r="M7" s="85"/>
      <c r="N7" s="85" t="s">
        <v>92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105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42</v>
      </c>
      <c r="D8" s="77" t="s">
        <v>68</v>
      </c>
      <c r="E8" s="106" t="s">
        <v>69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49</v>
      </c>
      <c r="M8" s="76"/>
      <c r="N8" s="76" t="s">
        <v>50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42</v>
      </c>
      <c r="D9" s="77" t="s">
        <v>68</v>
      </c>
      <c r="E9" s="106" t="s">
        <v>69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42</v>
      </c>
      <c r="D10" s="77" t="s">
        <v>68</v>
      </c>
      <c r="E10" s="106" t="s">
        <v>69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42</v>
      </c>
      <c r="D11" s="77" t="s">
        <v>68</v>
      </c>
      <c r="E11" s="106" t="s">
        <v>69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42</v>
      </c>
      <c r="D12" s="77" t="s">
        <v>68</v>
      </c>
      <c r="E12" s="106" t="s">
        <v>69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42</v>
      </c>
      <c r="D13" s="77" t="s">
        <v>68</v>
      </c>
      <c r="E13" s="106" t="s">
        <v>69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68" t="s">
        <v>52</v>
      </c>
      <c r="B14" s="168"/>
      <c r="C14" s="168"/>
      <c r="D14" s="168"/>
      <c r="E14" s="168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53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54</v>
      </c>
      <c r="D15" s="90" t="s">
        <v>68</v>
      </c>
      <c r="E15" s="119" t="s">
        <v>44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75</v>
      </c>
      <c r="M15" s="85" t="s">
        <v>99</v>
      </c>
      <c r="N15" s="85" t="s">
        <v>106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54</v>
      </c>
      <c r="D16" s="90" t="s">
        <v>68</v>
      </c>
      <c r="E16" s="119" t="s">
        <v>69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61</v>
      </c>
      <c r="M16" s="76" t="s">
        <v>91</v>
      </c>
      <c r="N16" s="76" t="s">
        <v>92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54</v>
      </c>
      <c r="D17" s="90" t="s">
        <v>68</v>
      </c>
      <c r="E17" s="119" t="s">
        <v>69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75</v>
      </c>
      <c r="M17" s="85" t="s">
        <v>107</v>
      </c>
      <c r="N17" s="85" t="s">
        <v>77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54</v>
      </c>
      <c r="D18" s="90" t="s">
        <v>68</v>
      </c>
      <c r="E18" s="119" t="s">
        <v>69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54</v>
      </c>
      <c r="D19" s="90" t="s">
        <v>68</v>
      </c>
      <c r="E19" s="119" t="s">
        <v>69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54</v>
      </c>
      <c r="D20" s="90" t="s">
        <v>68</v>
      </c>
      <c r="E20" s="119" t="s">
        <v>69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54</v>
      </c>
      <c r="D21" s="90" t="s">
        <v>68</v>
      </c>
      <c r="E21" s="119" t="s">
        <v>69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54</v>
      </c>
      <c r="D22" s="90" t="s">
        <v>68</v>
      </c>
      <c r="E22" s="119" t="s">
        <v>69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54</v>
      </c>
      <c r="D23" s="90" t="s">
        <v>68</v>
      </c>
      <c r="E23" s="119" t="s">
        <v>69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54</v>
      </c>
      <c r="D24" s="90" t="s">
        <v>68</v>
      </c>
      <c r="E24" s="119" t="s">
        <v>69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54</v>
      </c>
      <c r="D25" s="90" t="s">
        <v>43</v>
      </c>
      <c r="E25" s="119" t="s">
        <v>69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54</v>
      </c>
      <c r="D26" s="90" t="s">
        <v>68</v>
      </c>
      <c r="E26" s="119" t="s">
        <v>69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68" t="s">
        <v>59</v>
      </c>
      <c r="B27" s="168"/>
      <c r="C27" s="168"/>
      <c r="D27" s="168"/>
      <c r="E27" s="168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53</v>
      </c>
      <c r="S27" s="89">
        <v>823200</v>
      </c>
      <c r="T27" s="118">
        <f>IFERROR(J27,"")</f>
        <v>193.75026086956518</v>
      </c>
    </row>
    <row r="28" spans="1:20" ht="18" customHeight="1">
      <c r="A28" s="167" t="s">
        <v>29</v>
      </c>
      <c r="B28" s="167"/>
      <c r="C28" s="167"/>
      <c r="D28" s="167"/>
      <c r="E28" s="167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60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42</v>
      </c>
      <c r="D29" s="77" t="s">
        <v>43</v>
      </c>
      <c r="E29" s="106" t="s">
        <v>69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45</v>
      </c>
      <c r="M29" s="85" t="s">
        <v>108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109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42</v>
      </c>
      <c r="D30" s="77" t="s">
        <v>43</v>
      </c>
      <c r="E30" s="106" t="s">
        <v>69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61</v>
      </c>
      <c r="M30" s="76" t="s">
        <v>91</v>
      </c>
      <c r="N30" s="76" t="s">
        <v>110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42</v>
      </c>
      <c r="D31" s="77" t="s">
        <v>43</v>
      </c>
      <c r="E31" s="106" t="s">
        <v>69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61</v>
      </c>
      <c r="M31" s="85" t="s">
        <v>91</v>
      </c>
      <c r="N31" s="85" t="s">
        <v>92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42</v>
      </c>
      <c r="D32" s="77" t="s">
        <v>43</v>
      </c>
      <c r="E32" s="106" t="s">
        <v>69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75</v>
      </c>
      <c r="M32" s="76" t="s">
        <v>107</v>
      </c>
      <c r="N32" s="76" t="s">
        <v>77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42</v>
      </c>
      <c r="D33" s="77" t="s">
        <v>43</v>
      </c>
      <c r="E33" s="106" t="s">
        <v>69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61</v>
      </c>
      <c r="M33" s="85"/>
      <c r="N33" s="85" t="s">
        <v>62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42</v>
      </c>
      <c r="D34" s="77" t="s">
        <v>43</v>
      </c>
      <c r="E34" s="106" t="s">
        <v>69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42</v>
      </c>
      <c r="D35" s="77" t="s">
        <v>43</v>
      </c>
      <c r="E35" s="106" t="s">
        <v>69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42</v>
      </c>
      <c r="D36" s="77" t="s">
        <v>43</v>
      </c>
      <c r="E36" s="106" t="s">
        <v>69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42</v>
      </c>
      <c r="D37" s="77" t="s">
        <v>43</v>
      </c>
      <c r="E37" s="106" t="s">
        <v>69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42</v>
      </c>
      <c r="D38" s="77" t="s">
        <v>43</v>
      </c>
      <c r="E38" s="106" t="s">
        <v>69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42</v>
      </c>
      <c r="D39" s="77" t="s">
        <v>43</v>
      </c>
      <c r="E39" s="106" t="s">
        <v>69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 t="str">
        <f>IF(G50="","",IF(E39="PC 17",G50*4.2,IF(E39="PC 19",G50*5,IF(E39="CB",G50*24,""))))</f>
        <v/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42</v>
      </c>
      <c r="D40" s="77" t="s">
        <v>43</v>
      </c>
      <c r="E40" s="106" t="s">
        <v>69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68" t="s">
        <v>52</v>
      </c>
      <c r="B41" s="168"/>
      <c r="C41" s="168"/>
      <c r="D41" s="168"/>
      <c r="E41" s="168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310.8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53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/>
      <c r="D42" s="90"/>
      <c r="E42" s="119"/>
      <c r="F42" s="120" t="str">
        <f>IFERROR(IF($D42="","",VLOOKUP($D42,Cadastro!$C$4:$E$20,3,FALSE())),"")</f>
        <v/>
      </c>
      <c r="G42" s="108">
        <v>3</v>
      </c>
      <c r="H42" s="120">
        <f>IFERROR(IF($G42="","",$G42*$S$54/$G$54/Cadastro!$E$33),"")</f>
        <v>0</v>
      </c>
      <c r="I42" s="121" t="str">
        <f>IFERROR(IF($D42="","",VLOOKUP($D42,Cadastro!$C$4:$G$20,5,FALSE())),"")</f>
        <v/>
      </c>
      <c r="J42" s="122" t="str">
        <f t="shared" ref="J42:J53" si="12">IFERROR(IF($H42="","",$H42*$F42*$I42),"")</f>
        <v/>
      </c>
      <c r="K42" s="84" t="str">
        <f t="shared" ref="K42:K49" si="13">IF(G42="","",IF(E42="PC 17",G42*4.2,IF(E42="PC 19",G42*5,IF(E42="CB",G42*24,""))))</f>
        <v/>
      </c>
      <c r="L42" s="76" t="s">
        <v>49</v>
      </c>
      <c r="M42" s="76"/>
      <c r="N42" s="76" t="s">
        <v>50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111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/>
      <c r="D43" s="90"/>
      <c r="E43" s="119"/>
      <c r="F43" s="107" t="str">
        <f>IFERROR(IF($D43="","",VLOOKUP($D43,Cadastro!$C$4:$E$20,3,FALSE())),"")</f>
        <v/>
      </c>
      <c r="G43" s="108"/>
      <c r="H43" s="107" t="str">
        <f>IFERROR(IF($G43="","",$G43*$S$54/$G$54/Cadastro!$E$33),"")</f>
        <v/>
      </c>
      <c r="I43" s="109" t="str">
        <f>IFERROR(IF($D43="","",VLOOKUP($D43,Cadastro!$C$4:$G$20,5,FALSE())),"")</f>
        <v/>
      </c>
      <c r="J43" s="110" t="str">
        <f t="shared" si="12"/>
        <v/>
      </c>
      <c r="K43" s="79" t="str">
        <f t="shared" si="13"/>
        <v/>
      </c>
      <c r="L43" s="85"/>
      <c r="M43" s="85"/>
      <c r="N43" s="85"/>
      <c r="O43" s="80"/>
      <c r="P43" s="80"/>
      <c r="Q43" s="86" t="str">
        <f t="shared" ca="1" si="14"/>
        <v/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/>
      <c r="D44" s="90"/>
      <c r="E44" s="119"/>
      <c r="F44" s="107" t="str">
        <f>IFERROR(IF($D44="","",VLOOKUP($D44,Cadastro!$C$4:$E$20,3,FALSE())),"")</f>
        <v/>
      </c>
      <c r="G44" s="108"/>
      <c r="H44" s="107" t="str">
        <f>IFERROR(IF($G44="","",$G44*$S$54/$G$54/Cadastro!$E$33),"")</f>
        <v/>
      </c>
      <c r="I44" s="109" t="str">
        <f>IFERROR(IF($D44="","",VLOOKUP($D44,Cadastro!$C$4:$G$20,5,FALSE())),"")</f>
        <v/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6" t="str">
        <f t="shared" ca="1" si="14"/>
        <v/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/>
      <c r="D45" s="90"/>
      <c r="E45" s="119"/>
      <c r="F45" s="107" t="str">
        <f>IFERROR(IF($D45="","",VLOOKUP($D45,Cadastro!$C$4:$E$20,3,FALSE())),"")</f>
        <v/>
      </c>
      <c r="G45" s="108"/>
      <c r="H45" s="107" t="str">
        <f>IFERROR(IF($G45="","",$G45*$S$54/$G$54/Cadastro!$E$33),"")</f>
        <v/>
      </c>
      <c r="I45" s="109" t="str">
        <f>IFERROR(IF($D45="","",VLOOKUP($D45,Cadastro!$C$4:$G$20,5,FALSE())),"")</f>
        <v/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6" t="str">
        <f t="shared" ca="1" si="14"/>
        <v/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/>
      <c r="D46" s="90"/>
      <c r="E46" s="119"/>
      <c r="F46" s="107" t="str">
        <f>IFERROR(IF($D46="","",VLOOKUP($D46,Cadastro!$C$4:$E$20,3,FALSE())),"")</f>
        <v/>
      </c>
      <c r="G46" s="108"/>
      <c r="H46" s="107" t="str">
        <f>IFERROR(IF($G46="","",$G46*$S$54/$G$54/Cadastro!$E$33),"")</f>
        <v/>
      </c>
      <c r="I46" s="109" t="str">
        <f>IFERROR(IF($D46="","",VLOOKUP($D46,Cadastro!$C$4:$G$20,5,FALSE())),"")</f>
        <v/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6" t="str">
        <f t="shared" ca="1" si="14"/>
        <v/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/>
      <c r="D47" s="90"/>
      <c r="E47" s="119"/>
      <c r="F47" s="107" t="str">
        <f>IFERROR(IF($D47="","",VLOOKUP($D47,Cadastro!$C$4:$E$20,3,FALSE())),"")</f>
        <v/>
      </c>
      <c r="G47" s="108"/>
      <c r="H47" s="107" t="str">
        <f>IFERROR(IF($G47="","",$G47*$S$54/$G$54/Cadastro!$E$33),"")</f>
        <v/>
      </c>
      <c r="I47" s="109" t="str">
        <f>IFERROR(IF($D47="","",VLOOKUP($D47,Cadastro!$C$4:$G$20,5,FALSE())),"")</f>
        <v/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/>
      <c r="D48" s="90"/>
      <c r="E48" s="119"/>
      <c r="F48" s="107" t="str">
        <f>IFERROR(IF($D48="","",VLOOKUP($D48,Cadastro!$C$4:$E$20,3,FALSE())),"")</f>
        <v/>
      </c>
      <c r="G48" s="108"/>
      <c r="H48" s="107" t="str">
        <f>IFERROR(IF($G48="","",$G48*$S$54/$G$54/Cadastro!$E$33),"")</f>
        <v/>
      </c>
      <c r="I48" s="109" t="str">
        <f>IFERROR(IF($D48="","",VLOOKUP($D48,Cadastro!$C$4:$G$20,5,FALSE())),"")</f>
        <v/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/>
      <c r="D49" s="90"/>
      <c r="E49" s="119"/>
      <c r="F49" s="107" t="str">
        <f>IFERROR(IF($D49="","",VLOOKUP($D49,Cadastro!$C$4:$E$20,3,FALSE())),"")</f>
        <v/>
      </c>
      <c r="G49" s="108"/>
      <c r="H49" s="107" t="str">
        <f>IFERROR(IF($G49="","",$G49*$S$54/$G$54/Cadastro!$E$33),"")</f>
        <v/>
      </c>
      <c r="I49" s="109" t="str">
        <f>IFERROR(IF($D49="","",VLOOKUP($D49,Cadastro!$C$4:$G$20,5,FALSE())),"")</f>
        <v/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/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/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>IF(G51="","",IF(E51="PC 17",G51*4.2,IF(E51="PC 19",G51*5,IF(E51="CB",G51*24,""))))</f>
        <v/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/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>IF(G52="","",IF(E52="PC 17",G52*4.2,IF(E52="PC 19",G52*5,IF(E52="CB",G52*24,""))))</f>
        <v/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/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68" t="s">
        <v>59</v>
      </c>
      <c r="B54" s="168"/>
      <c r="C54" s="168"/>
      <c r="D54" s="168"/>
      <c r="E54" s="168"/>
      <c r="F54" s="124"/>
      <c r="G54" s="115">
        <f>SUM(G42:G53)</f>
        <v>3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0</v>
      </c>
      <c r="L54" s="87"/>
      <c r="M54" s="87"/>
      <c r="N54" s="87"/>
      <c r="O54" s="154"/>
      <c r="P54" s="154"/>
      <c r="Q54" s="88">
        <f ca="1">IFERROR(SUM(Q42:Q53),"")</f>
        <v>6.944444444444442E-2</v>
      </c>
      <c r="R54" s="2" t="s">
        <v>53</v>
      </c>
      <c r="S54" s="89"/>
      <c r="T54" s="118">
        <f>IFERROR(J54,"")</f>
        <v>0</v>
      </c>
    </row>
    <row r="55" spans="1:20" ht="18" customHeight="1">
      <c r="A55" s="167" t="s">
        <v>29</v>
      </c>
      <c r="B55" s="167"/>
      <c r="C55" s="167"/>
      <c r="D55" s="167"/>
      <c r="E55" s="167"/>
      <c r="F55" s="127"/>
      <c r="G55" s="128">
        <f>G41+G54</f>
        <v>77</v>
      </c>
      <c r="H55" s="127">
        <f>IFERROR(H41+H54,"")</f>
        <v>343.25</v>
      </c>
      <c r="I55" s="129"/>
      <c r="J55" s="130">
        <f>IFERROR(J41+J54,"")</f>
        <v>144.16500000000002</v>
      </c>
      <c r="K55" s="1">
        <f>K41+K54</f>
        <v>310.8</v>
      </c>
      <c r="L55" s="91"/>
      <c r="M55" s="91"/>
      <c r="N55" s="91"/>
      <c r="O55" s="155"/>
      <c r="P55" s="155"/>
      <c r="Q55" s="92">
        <f ca="1">IFERROR(Q41+Q54,"")</f>
        <v>0.36666666666666675</v>
      </c>
      <c r="R55" s="1" t="s">
        <v>60</v>
      </c>
      <c r="S55" s="97">
        <f>IFERROR(S41+S54,"")</f>
        <v>343250</v>
      </c>
      <c r="T55" s="136">
        <f>IFERROR(J55,"")</f>
        <v>144.16500000000002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85"/>
      <c r="O56" s="80"/>
      <c r="P56" s="80"/>
      <c r="Q56" s="81" t="str">
        <f t="shared" ref="Q56:Q67" ca="1" si="18">IFERROR(IF(O56="","",IF(P56="",MOD(NOW()-O56,1),IF(P56&gt;=O56,P56-O56,P56+1-O56))),"")</f>
        <v/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85"/>
      <c r="O57" s="80"/>
      <c r="P57" s="80"/>
      <c r="Q57" s="86" t="str">
        <f t="shared" ca="1" si="18"/>
        <v/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68" t="s">
        <v>52</v>
      </c>
      <c r="B68" s="168"/>
      <c r="C68" s="168"/>
      <c r="D68" s="168"/>
      <c r="E68" s="168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154"/>
      <c r="P68" s="154"/>
      <c r="Q68" s="88">
        <f ca="1">IFERROR(SUM(Q56:Q67),"")</f>
        <v>0</v>
      </c>
      <c r="R68" s="2" t="s">
        <v>53</v>
      </c>
      <c r="S68" s="89"/>
      <c r="T68" s="118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153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68" t="s">
        <v>59</v>
      </c>
      <c r="B81" s="168"/>
      <c r="C81" s="168"/>
      <c r="D81" s="168"/>
      <c r="E81" s="168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154"/>
      <c r="P81" s="154"/>
      <c r="Q81" s="88">
        <f ca="1">IFERROR(SUM(Q69:Q80),"")</f>
        <v>0</v>
      </c>
      <c r="R81" s="2" t="s">
        <v>53</v>
      </c>
      <c r="S81" s="89"/>
      <c r="T81" s="118">
        <f>IFERROR(J81,"")</f>
        <v>0</v>
      </c>
    </row>
    <row r="82" spans="1:20" ht="18" customHeight="1">
      <c r="A82" s="167" t="s">
        <v>29</v>
      </c>
      <c r="B82" s="167"/>
      <c r="C82" s="167"/>
      <c r="D82" s="167"/>
      <c r="E82" s="167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155"/>
      <c r="P82" s="155"/>
      <c r="Q82" s="92">
        <f ca="1">IFERROR(Q68+Q81,"")</f>
        <v>0</v>
      </c>
      <c r="R82" s="1" t="s">
        <v>60</v>
      </c>
      <c r="S82" s="97">
        <f>IFERROR(S68+S81,"")</f>
        <v>0</v>
      </c>
      <c r="T82" s="136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1" t="str">
        <f t="shared" ref="Q83:Q94" ca="1" si="26">IFERROR(IF(O83="","",IF(P83="",MOD(NOW()-O83,1),IF(P83&gt;=O83,P83-O83,P83+1-O83))),"")</f>
        <v/>
      </c>
      <c r="R83" s="78"/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6" t="str">
        <f t="shared" ca="1" si="26"/>
        <v/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68" t="s">
        <v>52</v>
      </c>
      <c r="B95" s="168"/>
      <c r="C95" s="168"/>
      <c r="D95" s="168"/>
      <c r="E95" s="168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154"/>
      <c r="P95" s="154"/>
      <c r="Q95" s="88">
        <f ca="1">IFERROR(SUM(Q83:Q94),"")</f>
        <v>0</v>
      </c>
      <c r="R95" s="2" t="s">
        <v>53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6" t="str">
        <f t="shared" ref="Q96:Q107" ca="1" si="30">IFERROR(IF(O96="","",IF(P96="",MOD(NOW()-O96,1),IF(P96&gt;=O96,P96-O96,P96+1-O96))),"")</f>
        <v/>
      </c>
      <c r="R96" s="78"/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1" t="str">
        <f t="shared" ca="1" si="30"/>
        <v/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68" t="s">
        <v>59</v>
      </c>
      <c r="B108" s="168"/>
      <c r="C108" s="168"/>
      <c r="D108" s="168"/>
      <c r="E108" s="168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154"/>
      <c r="P108" s="154"/>
      <c r="Q108" s="88">
        <f ca="1">IFERROR(SUM(Q96:Q107),"")</f>
        <v>0</v>
      </c>
      <c r="R108" s="2" t="s">
        <v>53</v>
      </c>
      <c r="S108" s="89"/>
      <c r="T108" s="118">
        <f>IFERROR(J108,"")</f>
        <v>0</v>
      </c>
    </row>
    <row r="109" spans="1:20" ht="18" customHeight="1">
      <c r="A109" s="167" t="s">
        <v>29</v>
      </c>
      <c r="B109" s="167"/>
      <c r="C109" s="167"/>
      <c r="D109" s="167"/>
      <c r="E109" s="167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155"/>
      <c r="P109" s="155"/>
      <c r="Q109" s="92">
        <f ca="1">IFERROR(Q95+Q108,"")</f>
        <v>0</v>
      </c>
      <c r="R109" s="1" t="s">
        <v>60</v>
      </c>
      <c r="S109" s="97">
        <f>IFERROR(S95+S108,"")</f>
        <v>0</v>
      </c>
      <c r="T109" s="136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85"/>
      <c r="O112" s="80"/>
      <c r="P112" s="80"/>
      <c r="Q112" s="81" t="str">
        <f t="shared" ca="1" si="34"/>
        <v/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76"/>
      <c r="M113" s="85"/>
      <c r="N113" s="85"/>
      <c r="O113" s="80"/>
      <c r="P113" s="80"/>
      <c r="Q113" s="86" t="str">
        <f t="shared" ca="1" si="34"/>
        <v/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68" t="s">
        <v>52</v>
      </c>
      <c r="B122" s="168"/>
      <c r="C122" s="168"/>
      <c r="D122" s="168"/>
      <c r="E122" s="168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154"/>
      <c r="P122" s="154"/>
      <c r="Q122" s="88">
        <f ca="1">IFERROR(SUM(Q110:Q121),"")</f>
        <v>0</v>
      </c>
      <c r="R122" s="2" t="s">
        <v>53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7">IFERROR(IF(O123="","",IF(P123="",MOD(NOW()-O123,1),IF(P123&gt;=O123,P123-O123,P123+1-O123))),"")</f>
        <v/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>IF(G124="","",IF(E124="PC 17",G124*4.2,IF(E124="PC 19",G124*5,IF(E124="CB",G124*24,""))))</f>
        <v/>
      </c>
      <c r="L124" s="76"/>
      <c r="M124" s="76"/>
      <c r="N124" s="76"/>
      <c r="O124" s="80"/>
      <c r="P124" s="80"/>
      <c r="Q124" s="81" t="str">
        <f t="shared" ca="1" si="37"/>
        <v/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>IF(G125="","",IF(E125="PC 17",G125*4.2,IF(E125="PC 19",G125*5,IF(E125="CB",G125*24,""))))</f>
        <v/>
      </c>
      <c r="L125" s="85"/>
      <c r="M125" s="85"/>
      <c r="N125" s="85"/>
      <c r="O125" s="80"/>
      <c r="P125" s="80"/>
      <c r="Q125" s="86" t="str">
        <f t="shared" ca="1" si="37"/>
        <v/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/>
      <c r="L126" s="76"/>
      <c r="M126" s="76"/>
      <c r="N126" s="76"/>
      <c r="O126" s="80"/>
      <c r="P126" s="80"/>
      <c r="Q126" s="81" t="str">
        <f t="shared" ca="1" si="37"/>
        <v/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ref="K127:K134" si="39">IF(G127="","",IF(E127="PC 17",G127*4.2,IF(E127="PC 19",G127*5,IF(E127="CB",G127*24,""))))</f>
        <v/>
      </c>
      <c r="L127" s="85"/>
      <c r="M127" s="85"/>
      <c r="N127" s="85"/>
      <c r="O127" s="80"/>
      <c r="P127" s="80"/>
      <c r="Q127" s="86" t="str">
        <f t="shared" ca="1" si="37"/>
        <v/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9"/>
        <v/>
      </c>
      <c r="L128" s="76"/>
      <c r="M128" s="76"/>
      <c r="N128" s="76"/>
      <c r="O128" s="80"/>
      <c r="P128" s="80"/>
      <c r="Q128" s="81" t="str">
        <f t="shared" ca="1" si="37"/>
        <v/>
      </c>
      <c r="R128" s="78"/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9"/>
        <v/>
      </c>
      <c r="L129" s="85"/>
      <c r="M129" s="85"/>
      <c r="N129" s="85"/>
      <c r="O129" s="80"/>
      <c r="P129" s="80"/>
      <c r="Q129" s="86" t="str">
        <f t="shared" ca="1" si="37"/>
        <v/>
      </c>
      <c r="R129" s="78"/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9"/>
        <v/>
      </c>
      <c r="L130" s="76"/>
      <c r="M130" s="76"/>
      <c r="N130" s="76"/>
      <c r="O130" s="80"/>
      <c r="P130" s="80"/>
      <c r="Q130" s="81" t="str">
        <f t="shared" ca="1" si="37"/>
        <v/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3"/>
    </row>
    <row r="135" spans="1:22" ht="15.75" customHeight="1">
      <c r="A135" s="168" t="s">
        <v>59</v>
      </c>
      <c r="B135" s="168"/>
      <c r="C135" s="168"/>
      <c r="D135" s="168"/>
      <c r="E135" s="168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154"/>
      <c r="P135" s="154"/>
      <c r="Q135" s="88">
        <f ca="1">IFERROR(SUM(Q123:Q134),"")</f>
        <v>0</v>
      </c>
      <c r="R135" s="2" t="s">
        <v>53</v>
      </c>
      <c r="S135" s="89"/>
      <c r="T135" s="118">
        <f>IFERROR(J135,"")</f>
        <v>0</v>
      </c>
    </row>
    <row r="136" spans="1:22" ht="18" customHeight="1">
      <c r="A136" s="167" t="s">
        <v>29</v>
      </c>
      <c r="B136" s="167"/>
      <c r="C136" s="167"/>
      <c r="D136" s="167"/>
      <c r="E136" s="167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155"/>
      <c r="P136" s="155"/>
      <c r="Q136" s="92">
        <f ca="1">IFERROR(Q122+Q135,"")</f>
        <v>0</v>
      </c>
      <c r="R136" s="1" t="s">
        <v>60</v>
      </c>
      <c r="S136" s="97">
        <f>IFERROR(S122+S135,"")</f>
        <v>0</v>
      </c>
      <c r="T136" s="136">
        <f>IFERROR(J136,"")</f>
        <v>0</v>
      </c>
    </row>
    <row r="137" spans="1:22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52</v>
      </c>
      <c r="B149" s="139"/>
      <c r="C149" s="139"/>
      <c r="D149" s="139"/>
      <c r="E149" s="15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4"/>
      <c r="P149" s="154"/>
      <c r="Q149" s="88">
        <f ca="1">IFERROR(SUM(Q137:Q148),"")</f>
        <v>0</v>
      </c>
      <c r="R149" s="2" t="s">
        <v>53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68" t="s">
        <v>59</v>
      </c>
      <c r="B162" s="168"/>
      <c r="C162" s="168"/>
      <c r="D162" s="168"/>
      <c r="E162" s="16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53</v>
      </c>
      <c r="S162" s="89"/>
      <c r="T162" s="118">
        <f>IFERROR(J162,"")</f>
        <v>0</v>
      </c>
    </row>
    <row r="163" spans="1:20" ht="18" customHeight="1">
      <c r="A163" s="167" t="s">
        <v>29</v>
      </c>
      <c r="B163" s="167"/>
      <c r="C163" s="167"/>
      <c r="D163" s="167"/>
      <c r="E163" s="16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5"/>
      <c r="P163" s="155"/>
      <c r="Q163" s="92">
        <f ca="1">IFERROR(Q149+Q162,"")</f>
        <v>0</v>
      </c>
      <c r="R163" s="1" t="s">
        <v>60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68" t="s">
        <v>52</v>
      </c>
      <c r="B176" s="168"/>
      <c r="C176" s="168"/>
      <c r="D176" s="168"/>
      <c r="E176" s="16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53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68" t="s">
        <v>59</v>
      </c>
      <c r="B189" s="168"/>
      <c r="C189" s="168"/>
      <c r="D189" s="168"/>
      <c r="E189" s="16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53</v>
      </c>
      <c r="S189" s="89"/>
      <c r="T189" s="118">
        <f>IFERROR(J189,"")</f>
        <v>0</v>
      </c>
    </row>
    <row r="190" spans="1:20" ht="18" customHeight="1">
      <c r="A190" s="167" t="s">
        <v>29</v>
      </c>
      <c r="B190" s="167"/>
      <c r="C190" s="167"/>
      <c r="D190" s="167"/>
      <c r="E190" s="16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60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68" t="s">
        <v>52</v>
      </c>
      <c r="B203" s="168"/>
      <c r="C203" s="168"/>
      <c r="D203" s="168"/>
      <c r="E203" s="16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53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68" t="s">
        <v>59</v>
      </c>
      <c r="B216" s="168"/>
      <c r="C216" s="168"/>
      <c r="D216" s="168"/>
      <c r="E216" s="16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53</v>
      </c>
      <c r="S216" s="89"/>
      <c r="T216" s="118">
        <f>IFERROR(J216,"")</f>
        <v>0</v>
      </c>
    </row>
    <row r="217" spans="1:20" ht="18" customHeight="1">
      <c r="A217" s="167" t="s">
        <v>29</v>
      </c>
      <c r="B217" s="167"/>
      <c r="C217" s="167"/>
      <c r="D217" s="167"/>
      <c r="E217" s="16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60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68" t="s">
        <v>52</v>
      </c>
      <c r="B230" s="168"/>
      <c r="C230" s="168"/>
      <c r="D230" s="168"/>
      <c r="E230" s="16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53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68" t="s">
        <v>59</v>
      </c>
      <c r="B243" s="168"/>
      <c r="C243" s="168"/>
      <c r="D243" s="168"/>
      <c r="E243" s="16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53</v>
      </c>
      <c r="S243" s="89"/>
      <c r="T243" s="118">
        <f>IFERROR(J243,"")</f>
        <v>0</v>
      </c>
    </row>
    <row r="244" spans="1:20" ht="18" customHeight="1">
      <c r="A244" s="167" t="s">
        <v>29</v>
      </c>
      <c r="B244" s="167"/>
      <c r="C244" s="167"/>
      <c r="D244" s="167"/>
      <c r="E244" s="16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60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68" t="s">
        <v>52</v>
      </c>
      <c r="B257" s="168"/>
      <c r="C257" s="168"/>
      <c r="D257" s="168"/>
      <c r="E257" s="16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53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68" t="s">
        <v>59</v>
      </c>
      <c r="B270" s="168"/>
      <c r="C270" s="168"/>
      <c r="D270" s="168"/>
      <c r="E270" s="16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53</v>
      </c>
      <c r="S270" s="89"/>
      <c r="T270" s="118">
        <f>IFERROR(J270,"")</f>
        <v>0</v>
      </c>
    </row>
    <row r="271" spans="1:20" ht="18" customHeight="1">
      <c r="A271" s="167" t="s">
        <v>29</v>
      </c>
      <c r="B271" s="167"/>
      <c r="C271" s="167"/>
      <c r="D271" s="167"/>
      <c r="E271" s="16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60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68" t="s">
        <v>52</v>
      </c>
      <c r="B284" s="168"/>
      <c r="C284" s="168"/>
      <c r="D284" s="168"/>
      <c r="E284" s="16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53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68" t="s">
        <v>59</v>
      </c>
      <c r="B297" s="168"/>
      <c r="C297" s="168"/>
      <c r="D297" s="168"/>
      <c r="E297" s="16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53</v>
      </c>
      <c r="S297" s="89"/>
      <c r="T297" s="118">
        <f>IFERROR(J297,"")</f>
        <v>0</v>
      </c>
    </row>
    <row r="298" spans="1:20" ht="18" customHeight="1">
      <c r="A298" s="167" t="s">
        <v>29</v>
      </c>
      <c r="B298" s="167"/>
      <c r="C298" s="167"/>
      <c r="D298" s="167"/>
      <c r="E298" s="16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60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68" t="s">
        <v>52</v>
      </c>
      <c r="B311" s="168"/>
      <c r="C311" s="168"/>
      <c r="D311" s="168"/>
      <c r="E311" s="16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53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68" t="s">
        <v>59</v>
      </c>
      <c r="B324" s="168"/>
      <c r="C324" s="168"/>
      <c r="D324" s="168"/>
      <c r="E324" s="16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53</v>
      </c>
      <c r="S324" s="89"/>
      <c r="T324" s="118">
        <f>IFERROR(J324,"")</f>
        <v>0</v>
      </c>
    </row>
    <row r="325" spans="1:20" ht="18" customHeight="1">
      <c r="A325" s="167" t="s">
        <v>29</v>
      </c>
      <c r="B325" s="167"/>
      <c r="C325" s="167"/>
      <c r="D325" s="167"/>
      <c r="E325" s="16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60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68" t="s">
        <v>52</v>
      </c>
      <c r="B338" s="168"/>
      <c r="C338" s="168"/>
      <c r="D338" s="168"/>
      <c r="E338" s="16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53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68" t="s">
        <v>59</v>
      </c>
      <c r="B351" s="168"/>
      <c r="C351" s="168"/>
      <c r="D351" s="168"/>
      <c r="E351" s="16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53</v>
      </c>
      <c r="S351" s="89"/>
      <c r="T351" s="118">
        <f>IFERROR(J351,"")</f>
        <v>0</v>
      </c>
    </row>
    <row r="352" spans="1:20" ht="18" customHeight="1">
      <c r="A352" s="167" t="s">
        <v>29</v>
      </c>
      <c r="B352" s="167"/>
      <c r="C352" s="167"/>
      <c r="D352" s="167"/>
      <c r="E352" s="16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60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52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53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68" t="s">
        <v>59</v>
      </c>
      <c r="B378" s="168"/>
      <c r="C378" s="168"/>
      <c r="D378" s="168"/>
      <c r="E378" s="16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53</v>
      </c>
      <c r="S378" s="89"/>
      <c r="T378" s="118">
        <f>IFERROR(J378,"")</f>
        <v>0</v>
      </c>
    </row>
    <row r="379" spans="1:20" ht="18" customHeight="1">
      <c r="A379" s="167" t="s">
        <v>29</v>
      </c>
      <c r="B379" s="167"/>
      <c r="C379" s="167"/>
      <c r="D379" s="167"/>
      <c r="E379" s="16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60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68" t="s">
        <v>52</v>
      </c>
      <c r="B392" s="168"/>
      <c r="C392" s="168"/>
      <c r="D392" s="168"/>
      <c r="E392" s="16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53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68" t="s">
        <v>59</v>
      </c>
      <c r="B405" s="168"/>
      <c r="C405" s="168"/>
      <c r="D405" s="168"/>
      <c r="E405" s="16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53</v>
      </c>
      <c r="S405" s="89"/>
      <c r="T405" s="118">
        <f>IFERROR(J405,"")</f>
        <v>0</v>
      </c>
    </row>
    <row r="406" spans="1:20" ht="18" customHeight="1">
      <c r="A406" s="167" t="s">
        <v>29</v>
      </c>
      <c r="B406" s="167"/>
      <c r="C406" s="167"/>
      <c r="D406" s="167"/>
      <c r="E406" s="16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60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68" t="s">
        <v>52</v>
      </c>
      <c r="B419" s="168"/>
      <c r="C419" s="168"/>
      <c r="D419" s="168"/>
      <c r="E419" s="16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53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68" t="s">
        <v>59</v>
      </c>
      <c r="B432" s="168"/>
      <c r="C432" s="168"/>
      <c r="D432" s="168"/>
      <c r="E432" s="16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53</v>
      </c>
      <c r="S432" s="89"/>
      <c r="T432" s="118">
        <f>IFERROR(J432,"")</f>
        <v>0</v>
      </c>
    </row>
    <row r="433" spans="1:21" ht="18" customHeight="1">
      <c r="A433" s="167" t="s">
        <v>29</v>
      </c>
      <c r="B433" s="167"/>
      <c r="C433" s="167"/>
      <c r="D433" s="167"/>
      <c r="E433" s="16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60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68" t="s">
        <v>52</v>
      </c>
      <c r="B446" s="168"/>
      <c r="C446" s="168"/>
      <c r="D446" s="168"/>
      <c r="E446" s="16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53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68" t="s">
        <v>59</v>
      </c>
      <c r="B459" s="168"/>
      <c r="C459" s="168"/>
      <c r="D459" s="168"/>
      <c r="E459" s="16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53</v>
      </c>
      <c r="S459" s="89"/>
      <c r="T459" s="118">
        <f>IFERROR(J459,"")</f>
        <v>0</v>
      </c>
    </row>
    <row r="460" spans="1:20" ht="18" customHeight="1">
      <c r="A460" s="167" t="s">
        <v>29</v>
      </c>
      <c r="B460" s="167"/>
      <c r="C460" s="167"/>
      <c r="D460" s="167"/>
      <c r="E460" s="16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60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68" t="s">
        <v>52</v>
      </c>
      <c r="B473" s="168"/>
      <c r="C473" s="168"/>
      <c r="D473" s="168"/>
      <c r="E473" s="16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53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68" t="s">
        <v>59</v>
      </c>
      <c r="B486" s="168"/>
      <c r="C486" s="168"/>
      <c r="D486" s="168"/>
      <c r="E486" s="16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53</v>
      </c>
      <c r="S486" s="89"/>
      <c r="T486" s="118">
        <f>IFERROR(J486,"")</f>
        <v>0</v>
      </c>
    </row>
    <row r="487" spans="1:20" ht="18" customHeight="1">
      <c r="A487" s="167" t="s">
        <v>29</v>
      </c>
      <c r="B487" s="167"/>
      <c r="C487" s="167"/>
      <c r="D487" s="167"/>
      <c r="E487" s="16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60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68" t="s">
        <v>52</v>
      </c>
      <c r="B500" s="168"/>
      <c r="C500" s="168"/>
      <c r="D500" s="168"/>
      <c r="E500" s="16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53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68" t="s">
        <v>59</v>
      </c>
      <c r="B513" s="168"/>
      <c r="C513" s="168"/>
      <c r="D513" s="168"/>
      <c r="E513" s="16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53</v>
      </c>
      <c r="S513" s="89"/>
      <c r="T513" s="118">
        <f>IFERROR(J513,"")</f>
        <v>0</v>
      </c>
    </row>
    <row r="514" spans="1:20" ht="18" customHeight="1">
      <c r="A514" s="167" t="s">
        <v>29</v>
      </c>
      <c r="B514" s="167"/>
      <c r="C514" s="167"/>
      <c r="D514" s="167"/>
      <c r="E514" s="16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60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68" t="s">
        <v>52</v>
      </c>
      <c r="B527" s="168"/>
      <c r="C527" s="168"/>
      <c r="D527" s="168"/>
      <c r="E527" s="16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53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68" t="s">
        <v>59</v>
      </c>
      <c r="B540" s="168"/>
      <c r="C540" s="168"/>
      <c r="D540" s="168"/>
      <c r="E540" s="16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53</v>
      </c>
      <c r="S540" s="89"/>
      <c r="T540" s="118">
        <f>IFERROR(J540,"")</f>
        <v>0</v>
      </c>
    </row>
    <row r="541" spans="1:20" ht="18" customHeight="1">
      <c r="A541" s="167" t="s">
        <v>29</v>
      </c>
      <c r="B541" s="167"/>
      <c r="C541" s="167"/>
      <c r="D541" s="167"/>
      <c r="E541" s="16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60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68" t="s">
        <v>52</v>
      </c>
      <c r="B554" s="168"/>
      <c r="C554" s="168"/>
      <c r="D554" s="168"/>
      <c r="E554" s="16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53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68" t="s">
        <v>59</v>
      </c>
      <c r="B567" s="168"/>
      <c r="C567" s="168"/>
      <c r="D567" s="168"/>
      <c r="E567" s="16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53</v>
      </c>
      <c r="S567" s="89"/>
      <c r="T567" s="118">
        <f>IFERROR(J567,"")</f>
        <v>0</v>
      </c>
    </row>
    <row r="568" spans="1:20" ht="18" customHeight="1">
      <c r="A568" s="167" t="s">
        <v>29</v>
      </c>
      <c r="B568" s="167"/>
      <c r="C568" s="167"/>
      <c r="D568" s="167"/>
      <c r="E568" s="16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60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68" t="s">
        <v>52</v>
      </c>
      <c r="B581" s="168"/>
      <c r="C581" s="168"/>
      <c r="D581" s="168"/>
      <c r="E581" s="16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53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68" t="s">
        <v>59</v>
      </c>
      <c r="B594" s="168"/>
      <c r="C594" s="168"/>
      <c r="D594" s="168"/>
      <c r="E594" s="16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53</v>
      </c>
      <c r="S594" s="89"/>
      <c r="T594" s="118">
        <f>IFERROR(J594,"")</f>
        <v>0</v>
      </c>
    </row>
    <row r="595" spans="1:20" ht="18" customHeight="1">
      <c r="A595" s="167" t="s">
        <v>29</v>
      </c>
      <c r="B595" s="167"/>
      <c r="C595" s="167"/>
      <c r="D595" s="167"/>
      <c r="E595" s="16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60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68" t="s">
        <v>52</v>
      </c>
      <c r="B608" s="168"/>
      <c r="C608" s="168"/>
      <c r="D608" s="168"/>
      <c r="E608" s="16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53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68" t="s">
        <v>59</v>
      </c>
      <c r="B621" s="168"/>
      <c r="C621" s="168"/>
      <c r="D621" s="168"/>
      <c r="E621" s="16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53</v>
      </c>
      <c r="S621" s="89"/>
      <c r="T621" s="118">
        <f>IFERROR(J621,"")</f>
        <v>0</v>
      </c>
    </row>
    <row r="622" spans="1:20" ht="18" customHeight="1">
      <c r="A622" s="167" t="s">
        <v>29</v>
      </c>
      <c r="B622" s="167"/>
      <c r="C622" s="167"/>
      <c r="D622" s="167"/>
      <c r="E622" s="16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60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68" t="s">
        <v>52</v>
      </c>
      <c r="B635" s="168"/>
      <c r="C635" s="168"/>
      <c r="D635" s="168"/>
      <c r="E635" s="16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53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68" t="s">
        <v>59</v>
      </c>
      <c r="B648" s="168"/>
      <c r="C648" s="168"/>
      <c r="D648" s="168"/>
      <c r="E648" s="16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53</v>
      </c>
      <c r="S648" s="89"/>
      <c r="T648" s="118">
        <f>IFERROR(J648,"")</f>
        <v>0</v>
      </c>
    </row>
    <row r="649" spans="1:20" ht="18" customHeight="1">
      <c r="A649" s="167" t="s">
        <v>29</v>
      </c>
      <c r="B649" s="167"/>
      <c r="C649" s="167"/>
      <c r="D649" s="167"/>
      <c r="E649" s="16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60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68" t="s">
        <v>52</v>
      </c>
      <c r="B662" s="168"/>
      <c r="C662" s="168"/>
      <c r="D662" s="168"/>
      <c r="E662" s="16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53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68" t="s">
        <v>59</v>
      </c>
      <c r="B675" s="168"/>
      <c r="C675" s="168"/>
      <c r="D675" s="168"/>
      <c r="E675" s="16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53</v>
      </c>
      <c r="S675" s="89"/>
      <c r="T675" s="118">
        <f>IFERROR(J675,"")</f>
        <v>0</v>
      </c>
    </row>
    <row r="676" spans="1:20" ht="18" customHeight="1">
      <c r="A676" s="167" t="s">
        <v>29</v>
      </c>
      <c r="B676" s="167"/>
      <c r="C676" s="167"/>
      <c r="D676" s="167"/>
      <c r="E676" s="16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60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68" t="s">
        <v>52</v>
      </c>
      <c r="B689" s="168"/>
      <c r="C689" s="168"/>
      <c r="D689" s="168"/>
      <c r="E689" s="16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53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68" t="s">
        <v>59</v>
      </c>
      <c r="B702" s="168"/>
      <c r="C702" s="168"/>
      <c r="D702" s="168"/>
      <c r="E702" s="16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53</v>
      </c>
      <c r="S702" s="89"/>
      <c r="T702" s="118">
        <f>IFERROR(J702,"")</f>
        <v>0</v>
      </c>
    </row>
    <row r="703" spans="1:20" ht="18" customHeight="1">
      <c r="A703" s="167" t="s">
        <v>29</v>
      </c>
      <c r="B703" s="167"/>
      <c r="C703" s="167"/>
      <c r="D703" s="167"/>
      <c r="E703" s="16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60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68" t="s">
        <v>52</v>
      </c>
      <c r="B716" s="168"/>
      <c r="C716" s="168"/>
      <c r="D716" s="168"/>
      <c r="E716" s="16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53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68" t="s">
        <v>59</v>
      </c>
      <c r="B729" s="168"/>
      <c r="C729" s="168"/>
      <c r="D729" s="168"/>
      <c r="E729" s="16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53</v>
      </c>
      <c r="S729" s="89"/>
      <c r="T729" s="118">
        <f>IFERROR(J729,"")</f>
        <v>0</v>
      </c>
    </row>
    <row r="730" spans="1:20" ht="18" customHeight="1">
      <c r="A730" s="167" t="s">
        <v>29</v>
      </c>
      <c r="B730" s="167"/>
      <c r="C730" s="167"/>
      <c r="D730" s="167"/>
      <c r="E730" s="16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60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68" t="s">
        <v>52</v>
      </c>
      <c r="B743" s="168"/>
      <c r="C743" s="168"/>
      <c r="D743" s="168"/>
      <c r="E743" s="16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53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68" t="s">
        <v>59</v>
      </c>
      <c r="B756" s="168"/>
      <c r="C756" s="168"/>
      <c r="D756" s="168"/>
      <c r="E756" s="16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53</v>
      </c>
      <c r="S756" s="89"/>
      <c r="T756" s="118">
        <f>IFERROR(J756,"")</f>
        <v>0</v>
      </c>
    </row>
    <row r="757" spans="1:20" ht="18" customHeight="1">
      <c r="A757" s="167" t="s">
        <v>29</v>
      </c>
      <c r="B757" s="167"/>
      <c r="C757" s="167"/>
      <c r="D757" s="167"/>
      <c r="E757" s="16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60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68" t="s">
        <v>52</v>
      </c>
      <c r="B770" s="168"/>
      <c r="C770" s="168"/>
      <c r="D770" s="168"/>
      <c r="E770" s="16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53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68" t="s">
        <v>59</v>
      </c>
      <c r="B783" s="168"/>
      <c r="C783" s="168"/>
      <c r="D783" s="168"/>
      <c r="E783" s="16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53</v>
      </c>
      <c r="S783" s="89"/>
      <c r="T783" s="118">
        <f>IFERROR(J783,"")</f>
        <v>0</v>
      </c>
    </row>
    <row r="784" spans="1:20" ht="18" customHeight="1">
      <c r="A784" s="167" t="s">
        <v>29</v>
      </c>
      <c r="B784" s="167"/>
      <c r="C784" s="167"/>
      <c r="D784" s="167"/>
      <c r="E784" s="16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60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68" t="s">
        <v>52</v>
      </c>
      <c r="B797" s="168"/>
      <c r="C797" s="168"/>
      <c r="D797" s="168"/>
      <c r="E797" s="16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53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68" t="s">
        <v>59</v>
      </c>
      <c r="B810" s="168"/>
      <c r="C810" s="168"/>
      <c r="D810" s="168"/>
      <c r="E810" s="16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53</v>
      </c>
      <c r="S810" s="89"/>
      <c r="T810" s="118">
        <f>IFERROR(J810,"")</f>
        <v>0</v>
      </c>
    </row>
    <row r="811" spans="1:20" ht="18" customHeight="1">
      <c r="A811" s="167" t="s">
        <v>29</v>
      </c>
      <c r="B811" s="167"/>
      <c r="C811" s="167"/>
      <c r="D811" s="167"/>
      <c r="E811" s="16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60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68" t="s">
        <v>52</v>
      </c>
      <c r="B824" s="168"/>
      <c r="C824" s="168"/>
      <c r="D824" s="168"/>
      <c r="E824" s="16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53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68" t="s">
        <v>59</v>
      </c>
      <c r="B837" s="168"/>
      <c r="C837" s="168"/>
      <c r="D837" s="168"/>
      <c r="E837" s="16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53</v>
      </c>
      <c r="S837" s="89"/>
      <c r="T837" s="118">
        <f>IFERROR(J837,"")</f>
        <v>0</v>
      </c>
    </row>
    <row r="838" spans="1:20" ht="18" customHeight="1">
      <c r="A838" s="167" t="s">
        <v>29</v>
      </c>
      <c r="B838" s="167"/>
      <c r="C838" s="167"/>
      <c r="D838" s="167"/>
      <c r="E838" s="16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60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A2" sqref="A2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36</v>
      </c>
      <c r="B1" s="159" t="s">
        <v>112</v>
      </c>
      <c r="C1" s="159" t="s">
        <v>113</v>
      </c>
      <c r="D1" s="159" t="s">
        <v>114</v>
      </c>
      <c r="E1" s="159" t="s">
        <v>115</v>
      </c>
      <c r="F1" s="159" t="s">
        <v>116</v>
      </c>
      <c r="G1" s="159" t="s">
        <v>117</v>
      </c>
      <c r="H1" s="159" t="s">
        <v>118</v>
      </c>
      <c r="I1" s="159" t="s">
        <v>119</v>
      </c>
      <c r="J1" s="159" t="s">
        <v>120</v>
      </c>
      <c r="K1" s="159" t="s">
        <v>121</v>
      </c>
      <c r="L1" s="159" t="s">
        <v>122</v>
      </c>
      <c r="M1" s="159" t="s">
        <v>123</v>
      </c>
      <c r="N1" s="159" t="s">
        <v>124</v>
      </c>
      <c r="O1" s="159" t="s">
        <v>125</v>
      </c>
      <c r="P1" s="159" t="s">
        <v>126</v>
      </c>
      <c r="Q1" s="159" t="s">
        <v>127</v>
      </c>
      <c r="R1" s="159" t="s">
        <v>128</v>
      </c>
      <c r="S1" s="159" t="s">
        <v>129</v>
      </c>
    </row>
    <row r="2" spans="1:19">
      <c r="A2" s="151" t="s">
        <v>130</v>
      </c>
      <c r="B2" s="151" t="s">
        <v>131</v>
      </c>
      <c r="C2" s="164" t="s">
        <v>132</v>
      </c>
      <c r="D2" s="164" t="s">
        <v>133</v>
      </c>
      <c r="E2" s="165">
        <v>2.8472222222222223E-3</v>
      </c>
      <c r="F2" s="151" t="s">
        <v>134</v>
      </c>
      <c r="H2" s="151" t="s">
        <v>135</v>
      </c>
      <c r="I2" s="164" t="s">
        <v>136</v>
      </c>
      <c r="J2" s="164" t="s">
        <v>137</v>
      </c>
      <c r="K2" s="165">
        <v>4.9768518518518521E-4</v>
      </c>
      <c r="L2" s="151" t="s">
        <v>138</v>
      </c>
      <c r="N2" s="151" t="s">
        <v>139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130</v>
      </c>
      <c r="B3" s="151" t="s">
        <v>131</v>
      </c>
      <c r="C3" s="164" t="s">
        <v>140</v>
      </c>
      <c r="D3" s="164" t="s">
        <v>141</v>
      </c>
      <c r="E3" s="165">
        <v>1.724537037037037E-3</v>
      </c>
      <c r="F3" s="151" t="s">
        <v>134</v>
      </c>
      <c r="H3" s="151" t="s">
        <v>135</v>
      </c>
      <c r="I3" s="164" t="s">
        <v>142</v>
      </c>
      <c r="J3" s="164" t="s">
        <v>143</v>
      </c>
      <c r="K3" s="165">
        <v>6.2500000000000001E-4</v>
      </c>
      <c r="L3" s="151" t="s">
        <v>138</v>
      </c>
      <c r="N3" s="151" t="s">
        <v>139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130</v>
      </c>
      <c r="B4" s="151" t="s">
        <v>131</v>
      </c>
      <c r="C4" s="164" t="s">
        <v>144</v>
      </c>
      <c r="D4" s="164" t="s">
        <v>145</v>
      </c>
      <c r="E4" s="165">
        <v>1.9212962962962964E-3</v>
      </c>
      <c r="F4" s="151" t="s">
        <v>134</v>
      </c>
      <c r="H4" s="151" t="s">
        <v>135</v>
      </c>
      <c r="I4" s="164" t="s">
        <v>146</v>
      </c>
      <c r="J4" s="164" t="s">
        <v>147</v>
      </c>
      <c r="K4" s="165">
        <v>5.4398148148148144E-4</v>
      </c>
      <c r="L4" s="151" t="s">
        <v>138</v>
      </c>
      <c r="N4" s="151" t="s">
        <v>139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130</v>
      </c>
      <c r="B5" s="151" t="s">
        <v>131</v>
      </c>
      <c r="C5" s="164" t="s">
        <v>148</v>
      </c>
      <c r="D5" s="164" t="s">
        <v>149</v>
      </c>
      <c r="E5" s="165">
        <v>1.5046296296296296E-3</v>
      </c>
      <c r="F5" s="151" t="s">
        <v>134</v>
      </c>
      <c r="H5" s="151" t="s">
        <v>135</v>
      </c>
      <c r="I5" s="164" t="s">
        <v>150</v>
      </c>
      <c r="J5" s="164" t="s">
        <v>151</v>
      </c>
      <c r="K5" s="165">
        <v>6.018518518518519E-4</v>
      </c>
      <c r="L5" s="151" t="s">
        <v>138</v>
      </c>
      <c r="N5" s="151" t="s">
        <v>139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130</v>
      </c>
      <c r="B6" s="151" t="s">
        <v>131</v>
      </c>
      <c r="C6" s="164" t="s">
        <v>152</v>
      </c>
      <c r="D6" s="164" t="s">
        <v>153</v>
      </c>
      <c r="E6" s="165">
        <v>3.1481481481481482E-3</v>
      </c>
      <c r="F6" s="151" t="s">
        <v>134</v>
      </c>
      <c r="H6" s="151" t="s">
        <v>135</v>
      </c>
      <c r="I6" s="164" t="s">
        <v>154</v>
      </c>
      <c r="J6" s="164" t="s">
        <v>155</v>
      </c>
      <c r="K6" s="165">
        <v>8.1018518518518516E-4</v>
      </c>
      <c r="L6" s="151" t="s">
        <v>138</v>
      </c>
      <c r="N6" s="151" t="s">
        <v>139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130</v>
      </c>
      <c r="B7" s="151" t="s">
        <v>131</v>
      </c>
      <c r="C7" s="164" t="s">
        <v>156</v>
      </c>
      <c r="D7" s="164" t="s">
        <v>157</v>
      </c>
      <c r="E7" s="165">
        <v>2.1643518518518518E-3</v>
      </c>
      <c r="F7" s="151" t="s">
        <v>134</v>
      </c>
      <c r="H7" s="166" t="s">
        <v>135</v>
      </c>
      <c r="I7" s="164" t="s">
        <v>158</v>
      </c>
      <c r="J7" s="164" t="s">
        <v>159</v>
      </c>
      <c r="K7" s="165">
        <v>5.4398148148148144E-4</v>
      </c>
      <c r="L7" s="151" t="s">
        <v>138</v>
      </c>
      <c r="N7" s="151" t="s">
        <v>139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130</v>
      </c>
      <c r="B8" s="151" t="s">
        <v>131</v>
      </c>
      <c r="C8" s="164" t="s">
        <v>160</v>
      </c>
      <c r="D8" s="164" t="s">
        <v>161</v>
      </c>
      <c r="E8" s="165">
        <v>1.9675925925925924E-3</v>
      </c>
      <c r="F8" s="151" t="s">
        <v>134</v>
      </c>
      <c r="H8" s="151" t="s">
        <v>135</v>
      </c>
      <c r="I8" s="164" t="s">
        <v>162</v>
      </c>
      <c r="J8" s="164" t="s">
        <v>163</v>
      </c>
      <c r="K8" s="165">
        <v>5.6712962962962967E-4</v>
      </c>
      <c r="L8" s="151" t="s">
        <v>138</v>
      </c>
      <c r="N8" s="151" t="s">
        <v>139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130</v>
      </c>
      <c r="B9" s="151" t="s">
        <v>131</v>
      </c>
      <c r="C9" s="164" t="s">
        <v>164</v>
      </c>
      <c r="D9" s="164" t="s">
        <v>165</v>
      </c>
      <c r="E9" s="165">
        <v>2.0023148148148148E-3</v>
      </c>
      <c r="F9" s="151" t="s">
        <v>134</v>
      </c>
      <c r="H9" s="151" t="s">
        <v>135</v>
      </c>
      <c r="I9" s="164" t="s">
        <v>166</v>
      </c>
      <c r="J9" s="164" t="s">
        <v>167</v>
      </c>
      <c r="K9" s="165">
        <v>7.8703703703703705E-4</v>
      </c>
      <c r="L9" s="151" t="s">
        <v>138</v>
      </c>
      <c r="N9" s="151" t="s">
        <v>139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130</v>
      </c>
      <c r="B10" s="151" t="s">
        <v>131</v>
      </c>
      <c r="C10" s="164" t="s">
        <v>168</v>
      </c>
      <c r="D10" s="164" t="s">
        <v>169</v>
      </c>
      <c r="E10" s="165">
        <v>1.724537037037037E-3</v>
      </c>
      <c r="F10" s="151" t="s">
        <v>134</v>
      </c>
      <c r="H10" s="166" t="s">
        <v>135</v>
      </c>
      <c r="I10" s="164" t="s">
        <v>170</v>
      </c>
      <c r="J10" s="164" t="s">
        <v>171</v>
      </c>
      <c r="K10" s="165">
        <v>4.0509259259259258E-4</v>
      </c>
      <c r="L10" s="151" t="s">
        <v>138</v>
      </c>
      <c r="N10" s="151" t="s">
        <v>139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130</v>
      </c>
      <c r="B11" s="151" t="s">
        <v>131</v>
      </c>
      <c r="C11" s="164" t="s">
        <v>172</v>
      </c>
      <c r="D11" s="164" t="s">
        <v>173</v>
      </c>
      <c r="E11" s="165">
        <v>2.685185185185185E-3</v>
      </c>
      <c r="F11" s="151" t="s">
        <v>134</v>
      </c>
      <c r="H11" s="151" t="s">
        <v>135</v>
      </c>
      <c r="I11" s="164" t="s">
        <v>174</v>
      </c>
      <c r="J11" s="164" t="s">
        <v>175</v>
      </c>
      <c r="K11" s="165">
        <v>6.134259259259259E-4</v>
      </c>
      <c r="L11" s="151" t="s">
        <v>138</v>
      </c>
      <c r="N11" s="151" t="s">
        <v>139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130</v>
      </c>
      <c r="B12" s="151" t="s">
        <v>131</v>
      </c>
      <c r="C12" s="164" t="s">
        <v>176</v>
      </c>
      <c r="D12" s="164" t="s">
        <v>177</v>
      </c>
      <c r="E12" s="165">
        <v>2.2106481481481482E-3</v>
      </c>
      <c r="F12" s="151" t="s">
        <v>134</v>
      </c>
      <c r="H12" s="151" t="s">
        <v>135</v>
      </c>
      <c r="I12" s="164" t="s">
        <v>178</v>
      </c>
      <c r="J12" s="164" t="s">
        <v>179</v>
      </c>
      <c r="K12" s="165">
        <v>7.291666666666667E-4</v>
      </c>
      <c r="L12" s="151" t="s">
        <v>138</v>
      </c>
      <c r="N12" s="151" t="s">
        <v>139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130</v>
      </c>
      <c r="B13" s="151" t="s">
        <v>131</v>
      </c>
      <c r="C13" s="164" t="s">
        <v>180</v>
      </c>
      <c r="D13" s="164" t="s">
        <v>181</v>
      </c>
      <c r="E13" s="165">
        <v>2.6157407407407405E-3</v>
      </c>
      <c r="F13" s="151" t="s">
        <v>134</v>
      </c>
      <c r="H13" s="151" t="s">
        <v>135</v>
      </c>
      <c r="I13" s="164" t="s">
        <v>182</v>
      </c>
      <c r="J13" s="164" t="s">
        <v>183</v>
      </c>
      <c r="K13" s="165">
        <v>5.9027777777777778E-4</v>
      </c>
      <c r="L13" s="151" t="s">
        <v>138</v>
      </c>
      <c r="N13" s="151" t="s">
        <v>139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130</v>
      </c>
      <c r="B14" s="151" t="s">
        <v>131</v>
      </c>
      <c r="C14" s="164" t="s">
        <v>184</v>
      </c>
      <c r="D14" s="164" t="s">
        <v>185</v>
      </c>
      <c r="E14" s="165">
        <v>2.8124999999999999E-3</v>
      </c>
      <c r="F14" s="151" t="s">
        <v>134</v>
      </c>
      <c r="H14" s="151" t="s">
        <v>135</v>
      </c>
      <c r="I14" s="164" t="s">
        <v>186</v>
      </c>
      <c r="J14" s="164" t="s">
        <v>187</v>
      </c>
      <c r="K14" s="165">
        <v>6.5972222222222224E-4</v>
      </c>
      <c r="L14" s="151" t="s">
        <v>138</v>
      </c>
      <c r="N14" s="151" t="s">
        <v>139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130</v>
      </c>
      <c r="B15" s="151" t="s">
        <v>131</v>
      </c>
      <c r="C15" s="164" t="s">
        <v>188</v>
      </c>
      <c r="D15" s="164" t="s">
        <v>189</v>
      </c>
      <c r="E15" s="165">
        <v>2.0833333333333333E-3</v>
      </c>
      <c r="F15" s="151" t="s">
        <v>134</v>
      </c>
      <c r="H15" s="151" t="s">
        <v>135</v>
      </c>
      <c r="I15" s="164" t="s">
        <v>190</v>
      </c>
      <c r="J15" s="164" t="s">
        <v>191</v>
      </c>
      <c r="K15" s="165">
        <v>5.0925925925925921E-4</v>
      </c>
      <c r="L15" s="151" t="s">
        <v>138</v>
      </c>
      <c r="N15" s="151" t="s">
        <v>139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130</v>
      </c>
      <c r="B16" s="151" t="s">
        <v>131</v>
      </c>
      <c r="C16" s="164" t="s">
        <v>192</v>
      </c>
      <c r="D16" s="164" t="s">
        <v>193</v>
      </c>
      <c r="E16" s="165">
        <v>1.712962962962963E-3</v>
      </c>
      <c r="F16" s="151" t="s">
        <v>134</v>
      </c>
      <c r="H16" s="151" t="s">
        <v>135</v>
      </c>
      <c r="I16" s="164" t="s">
        <v>194</v>
      </c>
      <c r="J16" s="164" t="s">
        <v>195</v>
      </c>
      <c r="K16" s="165">
        <v>4.9768518518518521E-4</v>
      </c>
      <c r="L16" s="151" t="s">
        <v>138</v>
      </c>
      <c r="N16" s="151" t="s">
        <v>139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130</v>
      </c>
      <c r="B17" s="151" t="s">
        <v>131</v>
      </c>
      <c r="C17" s="164" t="s">
        <v>196</v>
      </c>
      <c r="D17" s="164" t="s">
        <v>197</v>
      </c>
      <c r="E17" s="165">
        <v>1.5393518518518519E-3</v>
      </c>
      <c r="F17" s="151" t="s">
        <v>134</v>
      </c>
      <c r="H17" s="151" t="s">
        <v>135</v>
      </c>
      <c r="I17" s="164" t="s">
        <v>198</v>
      </c>
      <c r="J17" s="164" t="s">
        <v>199</v>
      </c>
      <c r="K17" s="165">
        <v>7.291666666666667E-4</v>
      </c>
      <c r="L17" s="151" t="s">
        <v>138</v>
      </c>
      <c r="N17" s="151" t="s">
        <v>139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130</v>
      </c>
      <c r="B18" s="151" t="s">
        <v>131</v>
      </c>
      <c r="C18" s="164" t="s">
        <v>200</v>
      </c>
      <c r="D18" s="164" t="s">
        <v>201</v>
      </c>
      <c r="E18" s="165">
        <v>2.2337962962962962E-3</v>
      </c>
      <c r="F18" s="151" t="s">
        <v>134</v>
      </c>
      <c r="H18" s="151" t="s">
        <v>135</v>
      </c>
      <c r="I18" s="164" t="s">
        <v>202</v>
      </c>
      <c r="J18" s="164" t="s">
        <v>203</v>
      </c>
      <c r="K18" s="165">
        <v>3.8194444444444446E-4</v>
      </c>
      <c r="L18" s="151" t="s">
        <v>138</v>
      </c>
      <c r="N18" s="151" t="s">
        <v>139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130</v>
      </c>
      <c r="B19" s="151" t="s">
        <v>131</v>
      </c>
      <c r="C19" s="164" t="s">
        <v>204</v>
      </c>
      <c r="D19" s="164" t="s">
        <v>205</v>
      </c>
      <c r="E19" s="165">
        <v>2.0138888888888888E-3</v>
      </c>
      <c r="F19" s="151" t="s">
        <v>134</v>
      </c>
      <c r="H19" s="151" t="s">
        <v>135</v>
      </c>
      <c r="I19" s="164" t="s">
        <v>206</v>
      </c>
      <c r="J19" s="164" t="s">
        <v>207</v>
      </c>
      <c r="K19" s="165">
        <v>1.0879629629629629E-3</v>
      </c>
      <c r="L19" s="151" t="s">
        <v>138</v>
      </c>
      <c r="N19" s="151" t="s">
        <v>139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130</v>
      </c>
      <c r="B20" s="151" t="s">
        <v>131</v>
      </c>
      <c r="C20" s="164" t="s">
        <v>208</v>
      </c>
      <c r="D20" s="164" t="s">
        <v>209</v>
      </c>
      <c r="E20" s="165">
        <v>2.2222222222222222E-3</v>
      </c>
      <c r="F20" s="151" t="s">
        <v>134</v>
      </c>
      <c r="H20" s="151" t="s">
        <v>135</v>
      </c>
      <c r="I20" s="164" t="s">
        <v>210</v>
      </c>
      <c r="J20" s="164" t="s">
        <v>211</v>
      </c>
      <c r="K20" s="165">
        <v>4.9768518518518521E-4</v>
      </c>
      <c r="L20" s="151" t="s">
        <v>138</v>
      </c>
      <c r="N20" s="151" t="s">
        <v>139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130</v>
      </c>
      <c r="B21" s="151" t="s">
        <v>131</v>
      </c>
      <c r="C21" s="164" t="s">
        <v>212</v>
      </c>
      <c r="D21" s="164" t="s">
        <v>213</v>
      </c>
      <c r="E21" s="165">
        <v>3.7847222222222223E-3</v>
      </c>
      <c r="F21" s="151" t="s">
        <v>134</v>
      </c>
      <c r="H21" s="151" t="s">
        <v>135</v>
      </c>
      <c r="I21" s="164" t="s">
        <v>214</v>
      </c>
      <c r="J21" s="164" t="s">
        <v>215</v>
      </c>
      <c r="K21" s="165">
        <v>6.5972222222222224E-4</v>
      </c>
      <c r="L21" s="151" t="s">
        <v>138</v>
      </c>
      <c r="N21" s="151" t="s">
        <v>139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130</v>
      </c>
      <c r="B22" s="151" t="s">
        <v>131</v>
      </c>
      <c r="C22" s="164" t="s">
        <v>216</v>
      </c>
      <c r="D22" s="164" t="s">
        <v>217</v>
      </c>
      <c r="E22" s="165">
        <v>3.3680555555555556E-3</v>
      </c>
      <c r="F22" s="151" t="s">
        <v>134</v>
      </c>
      <c r="H22" s="151" t="s">
        <v>135</v>
      </c>
      <c r="I22" s="164" t="s">
        <v>218</v>
      </c>
      <c r="J22" s="164" t="s">
        <v>219</v>
      </c>
      <c r="K22" s="165">
        <v>3.1250000000000001E-4</v>
      </c>
      <c r="L22" s="151" t="s">
        <v>138</v>
      </c>
      <c r="N22" s="151" t="s">
        <v>139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130</v>
      </c>
      <c r="B23" s="151" t="s">
        <v>131</v>
      </c>
      <c r="C23" s="164" t="s">
        <v>220</v>
      </c>
      <c r="D23" s="164" t="s">
        <v>221</v>
      </c>
      <c r="E23" s="165">
        <v>8.4490740740740739E-4</v>
      </c>
      <c r="F23" s="151" t="s">
        <v>134</v>
      </c>
      <c r="H23" s="151" t="s">
        <v>135</v>
      </c>
      <c r="I23" s="164" t="s">
        <v>222</v>
      </c>
      <c r="J23" s="164" t="s">
        <v>223</v>
      </c>
      <c r="K23" s="165">
        <v>4.9768518518518521E-4</v>
      </c>
      <c r="L23" s="151" t="s">
        <v>138</v>
      </c>
      <c r="N23" s="151" t="s">
        <v>139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224</v>
      </c>
      <c r="B24" s="151" t="s">
        <v>225</v>
      </c>
      <c r="C24" s="164" t="s">
        <v>226</v>
      </c>
      <c r="D24" s="164" t="s">
        <v>227</v>
      </c>
      <c r="E24" s="165">
        <v>2.2337962962962962E-3</v>
      </c>
      <c r="F24" s="151" t="s">
        <v>134</v>
      </c>
      <c r="H24" s="151" t="s">
        <v>135</v>
      </c>
      <c r="I24" s="164" t="s">
        <v>228</v>
      </c>
      <c r="J24" s="164" t="s">
        <v>229</v>
      </c>
      <c r="K24" s="165">
        <v>5.0925925925925921E-4</v>
      </c>
      <c r="L24" s="151" t="s">
        <v>138</v>
      </c>
      <c r="N24" s="151" t="s">
        <v>139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224</v>
      </c>
      <c r="B25" s="151" t="s">
        <v>225</v>
      </c>
      <c r="C25" s="164" t="s">
        <v>230</v>
      </c>
      <c r="D25" s="164" t="s">
        <v>231</v>
      </c>
      <c r="E25" s="165">
        <v>1.6898148148148148E-3</v>
      </c>
      <c r="F25" s="151" t="s">
        <v>134</v>
      </c>
      <c r="H25" s="151" t="s">
        <v>232</v>
      </c>
      <c r="I25" s="164" t="s">
        <v>233</v>
      </c>
      <c r="J25" s="164" t="s">
        <v>234</v>
      </c>
      <c r="K25" s="165">
        <v>5.4398148148148144E-4</v>
      </c>
      <c r="L25" s="151" t="s">
        <v>235</v>
      </c>
      <c r="N25" s="151" t="s">
        <v>236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224</v>
      </c>
      <c r="B26" s="151" t="s">
        <v>225</v>
      </c>
      <c r="C26" s="164" t="s">
        <v>237</v>
      </c>
      <c r="D26" s="164" t="s">
        <v>238</v>
      </c>
      <c r="E26" s="165">
        <v>3.1944444444444446E-3</v>
      </c>
      <c r="F26" s="151" t="s">
        <v>134</v>
      </c>
      <c r="H26" s="151" t="s">
        <v>232</v>
      </c>
      <c r="I26" s="164" t="s">
        <v>239</v>
      </c>
      <c r="J26" s="164" t="s">
        <v>240</v>
      </c>
      <c r="K26" s="165">
        <v>5.9027777777777778E-4</v>
      </c>
      <c r="L26" s="151" t="s">
        <v>235</v>
      </c>
      <c r="N26" s="151" t="s">
        <v>236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224</v>
      </c>
      <c r="B27" s="151" t="s">
        <v>225</v>
      </c>
      <c r="C27" s="164" t="s">
        <v>241</v>
      </c>
      <c r="D27" s="164" t="s">
        <v>242</v>
      </c>
      <c r="E27" s="165">
        <v>3.7499999999999999E-3</v>
      </c>
      <c r="F27" s="151" t="s">
        <v>134</v>
      </c>
      <c r="H27" s="151" t="s">
        <v>43</v>
      </c>
      <c r="I27" s="164" t="s">
        <v>243</v>
      </c>
      <c r="J27" s="164" t="s">
        <v>244</v>
      </c>
      <c r="K27" s="165">
        <v>5.9027777777777778E-4</v>
      </c>
      <c r="L27" s="151" t="s">
        <v>245</v>
      </c>
      <c r="N27" s="151" t="s">
        <v>236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224</v>
      </c>
      <c r="B28" s="151" t="s">
        <v>225</v>
      </c>
      <c r="C28" s="164" t="s">
        <v>246</v>
      </c>
      <c r="D28" s="164" t="s">
        <v>247</v>
      </c>
      <c r="E28" s="165">
        <v>3.8078703703703703E-3</v>
      </c>
      <c r="F28" s="151" t="s">
        <v>134</v>
      </c>
      <c r="H28" s="151" t="s">
        <v>43</v>
      </c>
      <c r="I28" s="164" t="s">
        <v>248</v>
      </c>
      <c r="J28" s="164" t="s">
        <v>249</v>
      </c>
      <c r="K28" s="165">
        <v>5.7870370370370367E-4</v>
      </c>
      <c r="L28" s="151" t="s">
        <v>245</v>
      </c>
      <c r="N28" s="151" t="s">
        <v>236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224</v>
      </c>
      <c r="B29" s="151" t="s">
        <v>225</v>
      </c>
      <c r="C29" s="164" t="s">
        <v>250</v>
      </c>
      <c r="D29" s="164" t="s">
        <v>251</v>
      </c>
      <c r="E29" s="165">
        <v>1.3888888888888889E-3</v>
      </c>
      <c r="F29" s="151" t="s">
        <v>134</v>
      </c>
      <c r="H29" s="151" t="s">
        <v>135</v>
      </c>
      <c r="I29" s="164" t="s">
        <v>252</v>
      </c>
      <c r="J29" s="164" t="s">
        <v>253</v>
      </c>
      <c r="K29" s="165">
        <v>6.018518518518519E-4</v>
      </c>
      <c r="L29" s="151" t="s">
        <v>138</v>
      </c>
      <c r="N29" s="151" t="s">
        <v>139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224</v>
      </c>
      <c r="B30" s="151" t="s">
        <v>225</v>
      </c>
      <c r="C30" s="164" t="s">
        <v>254</v>
      </c>
      <c r="D30" s="164" t="s">
        <v>255</v>
      </c>
      <c r="E30" s="165">
        <v>1.1574074074074073E-3</v>
      </c>
      <c r="F30" s="151" t="s">
        <v>134</v>
      </c>
      <c r="H30" s="151" t="s">
        <v>135</v>
      </c>
      <c r="I30" s="164" t="s">
        <v>256</v>
      </c>
      <c r="J30" s="164" t="s">
        <v>257</v>
      </c>
      <c r="K30" s="165">
        <v>5.7870370370370367E-4</v>
      </c>
      <c r="L30" s="151" t="s">
        <v>138</v>
      </c>
      <c r="N30" s="151" t="s">
        <v>139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224</v>
      </c>
      <c r="B31" s="151" t="s">
        <v>225</v>
      </c>
      <c r="C31" s="164" t="s">
        <v>258</v>
      </c>
      <c r="D31" s="164" t="s">
        <v>259</v>
      </c>
      <c r="E31" s="165">
        <v>3.7152777777777778E-3</v>
      </c>
      <c r="F31" s="151" t="s">
        <v>134</v>
      </c>
      <c r="H31" s="151" t="s">
        <v>43</v>
      </c>
      <c r="I31" s="164" t="s">
        <v>260</v>
      </c>
      <c r="J31" s="164" t="s">
        <v>261</v>
      </c>
      <c r="K31" s="165">
        <v>6.134259259259259E-4</v>
      </c>
      <c r="L31" s="151" t="s">
        <v>245</v>
      </c>
      <c r="N31" s="151" t="s">
        <v>236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224</v>
      </c>
      <c r="B32" s="151" t="s">
        <v>225</v>
      </c>
      <c r="C32" s="164" t="s">
        <v>262</v>
      </c>
      <c r="D32" s="164" t="s">
        <v>263</v>
      </c>
      <c r="E32" s="165">
        <v>2.3032407407407407E-3</v>
      </c>
      <c r="F32" s="151" t="s">
        <v>134</v>
      </c>
      <c r="H32" s="151" t="s">
        <v>43</v>
      </c>
      <c r="I32" s="164" t="s">
        <v>264</v>
      </c>
      <c r="J32" s="164" t="s">
        <v>265</v>
      </c>
      <c r="K32" s="165">
        <v>5.7870370370370367E-4</v>
      </c>
      <c r="L32" s="151" t="s">
        <v>245</v>
      </c>
      <c r="N32" s="151" t="s">
        <v>236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224</v>
      </c>
      <c r="B33" s="151" t="s">
        <v>225</v>
      </c>
      <c r="C33" s="164" t="s">
        <v>266</v>
      </c>
      <c r="D33" s="164" t="s">
        <v>267</v>
      </c>
      <c r="E33" s="165">
        <v>2.0717592592592593E-3</v>
      </c>
      <c r="F33" s="151" t="s">
        <v>134</v>
      </c>
      <c r="H33" s="151" t="s">
        <v>43</v>
      </c>
      <c r="I33" s="164" t="s">
        <v>268</v>
      </c>
      <c r="J33" s="164" t="s">
        <v>269</v>
      </c>
      <c r="K33" s="165">
        <v>6.4814814814814813E-4</v>
      </c>
      <c r="L33" s="151" t="s">
        <v>245</v>
      </c>
      <c r="N33" s="151" t="s">
        <v>236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224</v>
      </c>
      <c r="B34" s="151" t="s">
        <v>225</v>
      </c>
      <c r="C34" s="164" t="s">
        <v>270</v>
      </c>
      <c r="D34" s="164" t="s">
        <v>271</v>
      </c>
      <c r="E34" s="165">
        <v>1.1805555555555556E-3</v>
      </c>
      <c r="F34" s="151" t="s">
        <v>134</v>
      </c>
      <c r="H34" s="151" t="s">
        <v>135</v>
      </c>
      <c r="I34" s="164" t="s">
        <v>272</v>
      </c>
      <c r="J34" s="164" t="s">
        <v>273</v>
      </c>
      <c r="K34" s="165">
        <v>7.8703703703703705E-4</v>
      </c>
      <c r="L34" s="151" t="s">
        <v>138</v>
      </c>
      <c r="N34" s="151" t="s">
        <v>139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224</v>
      </c>
      <c r="B35" s="151" t="s">
        <v>225</v>
      </c>
      <c r="C35" s="164" t="s">
        <v>274</v>
      </c>
      <c r="D35" s="164" t="s">
        <v>275</v>
      </c>
      <c r="E35" s="165">
        <v>1.5162037037037036E-3</v>
      </c>
      <c r="F35" s="151" t="s">
        <v>134</v>
      </c>
      <c r="H35" s="151" t="s">
        <v>135</v>
      </c>
      <c r="I35" s="164" t="s">
        <v>276</v>
      </c>
      <c r="J35" s="164" t="s">
        <v>277</v>
      </c>
      <c r="K35" s="165">
        <v>5.9027777777777778E-4</v>
      </c>
      <c r="L35" s="151" t="s">
        <v>138</v>
      </c>
      <c r="N35" s="151" t="s">
        <v>139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224</v>
      </c>
      <c r="B36" s="151" t="s">
        <v>225</v>
      </c>
      <c r="C36" s="164" t="s">
        <v>278</v>
      </c>
      <c r="D36" s="164" t="s">
        <v>279</v>
      </c>
      <c r="E36" s="165">
        <v>2.1412037037037038E-3</v>
      </c>
      <c r="F36" s="151" t="s">
        <v>134</v>
      </c>
      <c r="H36" s="151" t="s">
        <v>43</v>
      </c>
      <c r="I36" s="164" t="s">
        <v>280</v>
      </c>
      <c r="J36" s="164" t="s">
        <v>281</v>
      </c>
      <c r="K36" s="165">
        <v>6.2500000000000001E-4</v>
      </c>
      <c r="L36" s="151" t="s">
        <v>245</v>
      </c>
      <c r="N36" s="151" t="s">
        <v>236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224</v>
      </c>
      <c r="B37" s="151" t="s">
        <v>225</v>
      </c>
      <c r="C37" s="164" t="s">
        <v>282</v>
      </c>
      <c r="D37" s="164" t="s">
        <v>283</v>
      </c>
      <c r="E37" s="165">
        <v>1.4351851851851852E-3</v>
      </c>
      <c r="F37" s="151" t="s">
        <v>134</v>
      </c>
      <c r="H37" s="151" t="s">
        <v>135</v>
      </c>
      <c r="I37" s="164" t="s">
        <v>284</v>
      </c>
      <c r="J37" s="164" t="s">
        <v>285</v>
      </c>
      <c r="K37" s="165">
        <v>5.7870370370370367E-4</v>
      </c>
      <c r="L37" s="151" t="s">
        <v>138</v>
      </c>
      <c r="N37" s="151" t="s">
        <v>139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224</v>
      </c>
      <c r="B38" s="151" t="s">
        <v>225</v>
      </c>
      <c r="C38" s="164" t="s">
        <v>286</v>
      </c>
      <c r="D38" s="164" t="s">
        <v>287</v>
      </c>
      <c r="E38" s="165">
        <v>5.1736111111111115E-3</v>
      </c>
      <c r="F38" s="151" t="s">
        <v>134</v>
      </c>
      <c r="H38" s="151" t="s">
        <v>43</v>
      </c>
      <c r="I38" s="164" t="s">
        <v>288</v>
      </c>
      <c r="J38" s="164" t="s">
        <v>289</v>
      </c>
      <c r="K38" s="165">
        <v>6.2500000000000001E-4</v>
      </c>
      <c r="L38" s="151" t="s">
        <v>245</v>
      </c>
      <c r="N38" s="151" t="s">
        <v>236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224</v>
      </c>
      <c r="B39" s="151" t="s">
        <v>225</v>
      </c>
      <c r="C39" s="164" t="s">
        <v>290</v>
      </c>
      <c r="D39" s="164" t="s">
        <v>291</v>
      </c>
      <c r="E39" s="165">
        <v>1.25E-3</v>
      </c>
      <c r="F39" s="151" t="s">
        <v>134</v>
      </c>
      <c r="H39" s="151" t="s">
        <v>135</v>
      </c>
      <c r="I39" s="164" t="s">
        <v>292</v>
      </c>
      <c r="J39" s="164" t="s">
        <v>293</v>
      </c>
      <c r="K39" s="165">
        <v>7.8703703703703705E-4</v>
      </c>
      <c r="L39" s="151" t="s">
        <v>138</v>
      </c>
      <c r="N39" s="151" t="s">
        <v>139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224</v>
      </c>
      <c r="B40" s="151" t="s">
        <v>225</v>
      </c>
      <c r="C40" s="164" t="s">
        <v>294</v>
      </c>
      <c r="D40" s="164" t="s">
        <v>295</v>
      </c>
      <c r="E40" s="165">
        <v>1.4699074074074074E-3</v>
      </c>
      <c r="F40" s="151" t="s">
        <v>134</v>
      </c>
      <c r="H40" s="151" t="s">
        <v>135</v>
      </c>
      <c r="I40" s="164" t="s">
        <v>296</v>
      </c>
      <c r="J40" s="164" t="s">
        <v>297</v>
      </c>
      <c r="K40" s="165">
        <v>5.7870370370370367E-4</v>
      </c>
      <c r="L40" s="151" t="s">
        <v>138</v>
      </c>
      <c r="N40" s="151" t="s">
        <v>139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224</v>
      </c>
      <c r="B41" s="151" t="s">
        <v>225</v>
      </c>
      <c r="C41" s="164" t="s">
        <v>298</v>
      </c>
      <c r="D41" s="164" t="s">
        <v>299</v>
      </c>
      <c r="E41" s="165">
        <v>1.0879629629629629E-3</v>
      </c>
      <c r="F41" s="151" t="s">
        <v>134</v>
      </c>
      <c r="H41" s="151" t="s">
        <v>135</v>
      </c>
      <c r="I41" s="164" t="s">
        <v>300</v>
      </c>
      <c r="J41" s="164" t="s">
        <v>301</v>
      </c>
      <c r="K41" s="165">
        <v>8.4490740740740739E-4</v>
      </c>
      <c r="L41" s="151" t="s">
        <v>138</v>
      </c>
      <c r="N41" s="151" t="s">
        <v>139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224</v>
      </c>
      <c r="B42" s="151" t="s">
        <v>225</v>
      </c>
      <c r="C42" s="164" t="s">
        <v>302</v>
      </c>
      <c r="D42" s="164" t="s">
        <v>303</v>
      </c>
      <c r="E42" s="165">
        <v>1.1342592592592593E-3</v>
      </c>
      <c r="F42" s="151" t="s">
        <v>134</v>
      </c>
      <c r="H42" s="151" t="s">
        <v>135</v>
      </c>
      <c r="I42" s="164" t="s">
        <v>304</v>
      </c>
      <c r="J42" s="164" t="s">
        <v>305</v>
      </c>
      <c r="K42" s="165">
        <v>6.2500000000000001E-4</v>
      </c>
      <c r="L42" s="151" t="s">
        <v>138</v>
      </c>
      <c r="N42" s="151" t="s">
        <v>139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224</v>
      </c>
      <c r="B43" s="151" t="s">
        <v>225</v>
      </c>
      <c r="C43" s="164" t="s">
        <v>306</v>
      </c>
      <c r="D43" s="164" t="s">
        <v>307</v>
      </c>
      <c r="E43" s="165">
        <v>1.4004629629629629E-3</v>
      </c>
      <c r="F43" s="151" t="s">
        <v>134</v>
      </c>
      <c r="H43" s="151" t="s">
        <v>135</v>
      </c>
      <c r="I43" s="164" t="s">
        <v>200</v>
      </c>
      <c r="J43" s="164" t="s">
        <v>308</v>
      </c>
      <c r="K43" s="165">
        <v>5.6712962962962967E-4</v>
      </c>
      <c r="L43" s="151" t="s">
        <v>138</v>
      </c>
      <c r="N43" s="151" t="s">
        <v>139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224</v>
      </c>
      <c r="B44" s="151" t="s">
        <v>225</v>
      </c>
      <c r="C44" s="164" t="s">
        <v>309</v>
      </c>
      <c r="D44" s="164" t="s">
        <v>310</v>
      </c>
      <c r="E44" s="165">
        <v>2.7083333333333334E-3</v>
      </c>
      <c r="F44" s="151" t="s">
        <v>134</v>
      </c>
      <c r="H44" s="151" t="s">
        <v>43</v>
      </c>
      <c r="I44" s="164"/>
      <c r="J44" s="164" t="s">
        <v>311</v>
      </c>
      <c r="K44" s="165">
        <v>0</v>
      </c>
      <c r="L44" s="151" t="s">
        <v>245</v>
      </c>
      <c r="M44" s="151" t="s">
        <v>312</v>
      </c>
      <c r="N44" s="151" t="s">
        <v>236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224</v>
      </c>
      <c r="B45" s="151" t="s">
        <v>225</v>
      </c>
      <c r="C45" s="164" t="s">
        <v>313</v>
      </c>
      <c r="D45" s="164" t="s">
        <v>314</v>
      </c>
      <c r="E45" s="165">
        <v>1.0995370370370371E-3</v>
      </c>
      <c r="F45" s="151" t="s">
        <v>134</v>
      </c>
      <c r="H45" s="151" t="s">
        <v>135</v>
      </c>
      <c r="I45" s="164" t="s">
        <v>315</v>
      </c>
      <c r="J45" s="164" t="s">
        <v>316</v>
      </c>
      <c r="K45" s="165">
        <v>5.7870370370370367E-4</v>
      </c>
      <c r="L45" s="151" t="s">
        <v>138</v>
      </c>
      <c r="N45" s="151" t="s">
        <v>139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224</v>
      </c>
      <c r="B46" s="151" t="s">
        <v>225</v>
      </c>
      <c r="C46" s="164" t="s">
        <v>317</v>
      </c>
      <c r="D46" s="164" t="s">
        <v>318</v>
      </c>
      <c r="E46" s="165">
        <v>1.8287037037037037E-3</v>
      </c>
      <c r="F46" s="151" t="s">
        <v>134</v>
      </c>
      <c r="H46" s="151" t="s">
        <v>135</v>
      </c>
      <c r="I46" s="164" t="s">
        <v>319</v>
      </c>
      <c r="J46" s="164" t="s">
        <v>320</v>
      </c>
      <c r="K46" s="165">
        <v>5.7870370370370367E-4</v>
      </c>
      <c r="L46" s="151" t="s">
        <v>138</v>
      </c>
      <c r="N46" s="151" t="s">
        <v>139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224</v>
      </c>
      <c r="B47" s="151" t="s">
        <v>225</v>
      </c>
      <c r="C47" s="164" t="s">
        <v>321</v>
      </c>
      <c r="D47" s="164" t="s">
        <v>322</v>
      </c>
      <c r="E47" s="165">
        <v>2.3726851851851851E-3</v>
      </c>
      <c r="F47" s="151" t="s">
        <v>134</v>
      </c>
      <c r="H47" s="151" t="s">
        <v>135</v>
      </c>
      <c r="I47" s="164" t="s">
        <v>323</v>
      </c>
      <c r="J47" s="164" t="s">
        <v>324</v>
      </c>
      <c r="K47" s="165">
        <v>5.4398148148148144E-4</v>
      </c>
      <c r="L47" s="151" t="s">
        <v>138</v>
      </c>
      <c r="N47" s="151" t="s">
        <v>139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325</v>
      </c>
      <c r="B48" s="151" t="s">
        <v>326</v>
      </c>
      <c r="C48" s="164" t="s">
        <v>327</v>
      </c>
      <c r="D48" s="164" t="s">
        <v>328</v>
      </c>
      <c r="E48" s="165">
        <v>1.9675925925925924E-3</v>
      </c>
      <c r="F48" s="151" t="s">
        <v>329</v>
      </c>
      <c r="G48" s="151" t="s">
        <v>312</v>
      </c>
      <c r="H48" s="151" t="s">
        <v>330</v>
      </c>
      <c r="I48" s="164"/>
      <c r="J48" s="164" t="s">
        <v>331</v>
      </c>
      <c r="K48" s="165">
        <v>0</v>
      </c>
      <c r="L48" s="151" t="s">
        <v>329</v>
      </c>
      <c r="M48" s="151" t="s">
        <v>312</v>
      </c>
      <c r="N48" s="151" t="s">
        <v>332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325</v>
      </c>
      <c r="B49" s="151" t="s">
        <v>326</v>
      </c>
      <c r="C49" s="164" t="s">
        <v>333</v>
      </c>
      <c r="D49" s="164" t="s">
        <v>334</v>
      </c>
      <c r="E49" s="165">
        <v>2.3263888888888887E-3</v>
      </c>
      <c r="F49" s="151" t="s">
        <v>329</v>
      </c>
      <c r="G49" s="151" t="s">
        <v>312</v>
      </c>
      <c r="H49" s="151" t="s">
        <v>330</v>
      </c>
      <c r="I49" s="164" t="s">
        <v>335</v>
      </c>
      <c r="J49" s="164" t="s">
        <v>336</v>
      </c>
      <c r="K49" s="165">
        <v>8.3333333333333339E-4</v>
      </c>
      <c r="L49" s="151" t="s">
        <v>329</v>
      </c>
      <c r="M49" s="151" t="s">
        <v>312</v>
      </c>
      <c r="N49" s="151" t="s">
        <v>332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325</v>
      </c>
      <c r="B50" s="151" t="s">
        <v>326</v>
      </c>
      <c r="C50" s="164" t="s">
        <v>337</v>
      </c>
      <c r="D50" s="164" t="s">
        <v>338</v>
      </c>
      <c r="E50" s="165">
        <v>2.3379629629629631E-3</v>
      </c>
      <c r="F50" s="151" t="s">
        <v>329</v>
      </c>
      <c r="G50" s="151" t="s">
        <v>312</v>
      </c>
      <c r="H50" s="151" t="s">
        <v>330</v>
      </c>
      <c r="I50" s="164"/>
      <c r="J50" s="164" t="s">
        <v>339</v>
      </c>
      <c r="K50" s="165">
        <v>0</v>
      </c>
      <c r="L50" s="151" t="s">
        <v>329</v>
      </c>
      <c r="M50" s="151" t="s">
        <v>312</v>
      </c>
      <c r="N50" s="151" t="s">
        <v>332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325</v>
      </c>
      <c r="B51" s="151" t="s">
        <v>326</v>
      </c>
      <c r="C51" s="164" t="s">
        <v>340</v>
      </c>
      <c r="D51" s="164" t="s">
        <v>341</v>
      </c>
      <c r="E51" s="165">
        <v>1.9907407407407408E-3</v>
      </c>
      <c r="F51" s="151" t="s">
        <v>329</v>
      </c>
      <c r="G51" s="151" t="s">
        <v>312</v>
      </c>
      <c r="H51" s="151" t="s">
        <v>330</v>
      </c>
      <c r="I51" s="164" t="s">
        <v>342</v>
      </c>
      <c r="J51" s="164" t="s">
        <v>343</v>
      </c>
      <c r="K51" s="165">
        <v>1.4930555555555556E-3</v>
      </c>
      <c r="L51" s="151" t="s">
        <v>329</v>
      </c>
      <c r="M51" s="151" t="s">
        <v>312</v>
      </c>
      <c r="N51" s="151" t="s">
        <v>332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325</v>
      </c>
      <c r="B52" s="151" t="s">
        <v>326</v>
      </c>
      <c r="C52" s="164" t="s">
        <v>344</v>
      </c>
      <c r="D52" s="164" t="s">
        <v>345</v>
      </c>
      <c r="E52" s="165">
        <v>2.0949074074074073E-3</v>
      </c>
      <c r="F52" s="151" t="s">
        <v>329</v>
      </c>
      <c r="G52" s="151" t="s">
        <v>312</v>
      </c>
      <c r="H52" s="151" t="s">
        <v>330</v>
      </c>
      <c r="I52" s="164" t="s">
        <v>346</v>
      </c>
      <c r="J52" s="164" t="s">
        <v>347</v>
      </c>
      <c r="K52" s="165">
        <v>3.9351851851851852E-4</v>
      </c>
      <c r="L52" s="151" t="s">
        <v>329</v>
      </c>
      <c r="M52" s="151" t="s">
        <v>312</v>
      </c>
      <c r="N52" s="151" t="s">
        <v>332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325</v>
      </c>
      <c r="B53" s="151" t="s">
        <v>326</v>
      </c>
      <c r="C53" s="164" t="s">
        <v>348</v>
      </c>
      <c r="D53" s="164" t="s">
        <v>349</v>
      </c>
      <c r="E53" s="165">
        <v>2.1990740740740742E-3</v>
      </c>
      <c r="F53" s="151" t="s">
        <v>329</v>
      </c>
      <c r="G53" s="151" t="s">
        <v>312</v>
      </c>
      <c r="H53" s="151" t="s">
        <v>330</v>
      </c>
      <c r="I53" s="164" t="s">
        <v>350</v>
      </c>
      <c r="J53" s="164" t="s">
        <v>351</v>
      </c>
      <c r="K53" s="165">
        <v>3.8194444444444446E-4</v>
      </c>
      <c r="L53" s="151" t="s">
        <v>329</v>
      </c>
      <c r="M53" s="151" t="s">
        <v>312</v>
      </c>
      <c r="N53" s="151" t="s">
        <v>332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325</v>
      </c>
      <c r="B54" s="151" t="s">
        <v>326</v>
      </c>
      <c r="C54" s="164" t="s">
        <v>352</v>
      </c>
      <c r="D54" s="164" t="s">
        <v>353</v>
      </c>
      <c r="E54" s="165">
        <v>2.4189814814814816E-3</v>
      </c>
      <c r="F54" s="151" t="s">
        <v>329</v>
      </c>
      <c r="G54" s="151" t="s">
        <v>312</v>
      </c>
      <c r="H54" s="151" t="s">
        <v>330</v>
      </c>
      <c r="I54" s="164" t="s">
        <v>354</v>
      </c>
      <c r="J54" s="164" t="s">
        <v>355</v>
      </c>
      <c r="K54" s="165">
        <v>3.8194444444444446E-4</v>
      </c>
      <c r="L54" s="151" t="s">
        <v>329</v>
      </c>
      <c r="M54" s="151" t="s">
        <v>312</v>
      </c>
      <c r="N54" s="151" t="s">
        <v>332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325</v>
      </c>
      <c r="B55" s="151" t="s">
        <v>326</v>
      </c>
      <c r="C55" s="164" t="s">
        <v>356</v>
      </c>
      <c r="D55" s="164" t="s">
        <v>357</v>
      </c>
      <c r="E55" s="165">
        <v>1.9212962962962964E-3</v>
      </c>
      <c r="F55" s="151" t="s">
        <v>329</v>
      </c>
      <c r="G55" s="151" t="s">
        <v>312</v>
      </c>
      <c r="H55" s="151" t="s">
        <v>330</v>
      </c>
      <c r="I55" s="164" t="s">
        <v>358</v>
      </c>
      <c r="J55" s="164" t="s">
        <v>359</v>
      </c>
      <c r="K55" s="165">
        <v>4.0509259259259258E-4</v>
      </c>
      <c r="L55" s="151" t="s">
        <v>329</v>
      </c>
      <c r="M55" s="151" t="s">
        <v>312</v>
      </c>
      <c r="N55" s="151" t="s">
        <v>332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325</v>
      </c>
      <c r="B56" s="151" t="s">
        <v>326</v>
      </c>
      <c r="C56" s="164" t="s">
        <v>360</v>
      </c>
      <c r="D56" s="164" t="s">
        <v>361</v>
      </c>
      <c r="E56" s="165">
        <v>2.4652777777777776E-3</v>
      </c>
      <c r="F56" s="151" t="s">
        <v>329</v>
      </c>
      <c r="G56" s="151" t="s">
        <v>312</v>
      </c>
      <c r="H56" s="151" t="s">
        <v>330</v>
      </c>
      <c r="I56" s="164" t="s">
        <v>362</v>
      </c>
      <c r="J56" s="164" t="s">
        <v>363</v>
      </c>
      <c r="K56" s="165">
        <v>4.5138888888888887E-4</v>
      </c>
      <c r="L56" s="151" t="s">
        <v>329</v>
      </c>
      <c r="M56" s="151" t="s">
        <v>312</v>
      </c>
      <c r="N56" s="151" t="s">
        <v>332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325</v>
      </c>
      <c r="B57" s="151" t="s">
        <v>326</v>
      </c>
      <c r="C57" s="164" t="s">
        <v>364</v>
      </c>
      <c r="D57" s="164" t="s">
        <v>365</v>
      </c>
      <c r="E57" s="165">
        <v>1.7592592592592592E-3</v>
      </c>
      <c r="F57" s="151" t="s">
        <v>329</v>
      </c>
      <c r="G57" s="151" t="s">
        <v>312</v>
      </c>
      <c r="H57" s="151" t="s">
        <v>330</v>
      </c>
      <c r="I57" s="164" t="s">
        <v>366</v>
      </c>
      <c r="J57" s="164" t="s">
        <v>367</v>
      </c>
      <c r="K57" s="165">
        <v>4.3981481481481481E-4</v>
      </c>
      <c r="L57" s="151" t="s">
        <v>329</v>
      </c>
      <c r="M57" s="151" t="s">
        <v>312</v>
      </c>
      <c r="N57" s="151" t="s">
        <v>332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325</v>
      </c>
      <c r="B58" s="151" t="s">
        <v>326</v>
      </c>
      <c r="C58" s="164" t="s">
        <v>368</v>
      </c>
      <c r="D58" s="164" t="s">
        <v>369</v>
      </c>
      <c r="E58" s="165">
        <v>1.5625000000000001E-3</v>
      </c>
      <c r="F58" s="151" t="s">
        <v>329</v>
      </c>
      <c r="G58" s="151" t="s">
        <v>312</v>
      </c>
      <c r="H58" s="151" t="s">
        <v>330</v>
      </c>
      <c r="I58" s="164" t="s">
        <v>370</v>
      </c>
      <c r="J58" s="164" t="s">
        <v>371</v>
      </c>
      <c r="K58" s="165">
        <v>4.2824074074074075E-4</v>
      </c>
      <c r="L58" s="151" t="s">
        <v>329</v>
      </c>
      <c r="M58" s="151" t="s">
        <v>312</v>
      </c>
      <c r="N58" s="151" t="s">
        <v>332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325</v>
      </c>
      <c r="B59" s="151" t="s">
        <v>326</v>
      </c>
      <c r="C59" s="164" t="s">
        <v>372</v>
      </c>
      <c r="D59" s="164" t="s">
        <v>373</v>
      </c>
      <c r="E59" s="165">
        <v>1.8055555555555555E-3</v>
      </c>
      <c r="F59" s="151" t="s">
        <v>329</v>
      </c>
      <c r="G59" s="151" t="s">
        <v>312</v>
      </c>
      <c r="H59" s="151" t="s">
        <v>330</v>
      </c>
      <c r="I59" s="164" t="s">
        <v>374</v>
      </c>
      <c r="J59" s="164" t="s">
        <v>375</v>
      </c>
      <c r="K59" s="165">
        <v>4.0509259259259258E-4</v>
      </c>
      <c r="L59" s="151" t="s">
        <v>329</v>
      </c>
      <c r="M59" s="151" t="s">
        <v>312</v>
      </c>
      <c r="N59" s="151" t="s">
        <v>332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325</v>
      </c>
      <c r="B60" s="151" t="s">
        <v>326</v>
      </c>
      <c r="C60" s="164" t="s">
        <v>376</v>
      </c>
      <c r="D60" s="164" t="s">
        <v>377</v>
      </c>
      <c r="E60" s="165">
        <v>1.8865740740740742E-3</v>
      </c>
      <c r="F60" s="151" t="s">
        <v>329</v>
      </c>
      <c r="G60" s="151" t="s">
        <v>312</v>
      </c>
      <c r="H60" s="151" t="s">
        <v>330</v>
      </c>
      <c r="J60" s="164" t="s">
        <v>378</v>
      </c>
      <c r="K60" s="165">
        <v>0</v>
      </c>
      <c r="L60" s="151" t="s">
        <v>329</v>
      </c>
      <c r="M60" s="151" t="s">
        <v>312</v>
      </c>
      <c r="N60" s="151" t="s">
        <v>332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325</v>
      </c>
      <c r="B61" s="151" t="s">
        <v>326</v>
      </c>
      <c r="C61" s="164" t="s">
        <v>379</v>
      </c>
      <c r="D61" s="164" t="s">
        <v>380</v>
      </c>
      <c r="E61" s="165">
        <v>2.0949074074074073E-3</v>
      </c>
      <c r="F61" s="151" t="s">
        <v>329</v>
      </c>
      <c r="G61" s="151" t="s">
        <v>312</v>
      </c>
      <c r="H61" s="151" t="s">
        <v>330</v>
      </c>
      <c r="I61" s="164" t="s">
        <v>381</v>
      </c>
      <c r="J61" s="164" t="s">
        <v>382</v>
      </c>
      <c r="K61" s="165">
        <v>4.0509259259259258E-4</v>
      </c>
      <c r="L61" s="151" t="s">
        <v>329</v>
      </c>
      <c r="M61" s="151" t="s">
        <v>312</v>
      </c>
      <c r="N61" s="151" t="s">
        <v>332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325</v>
      </c>
      <c r="B62" s="151" t="s">
        <v>326</v>
      </c>
      <c r="C62" s="164" t="s">
        <v>383</v>
      </c>
      <c r="D62" s="164" t="s">
        <v>384</v>
      </c>
      <c r="E62" s="165">
        <v>2.1064814814814813E-3</v>
      </c>
      <c r="F62" s="151" t="s">
        <v>329</v>
      </c>
      <c r="G62" s="151" t="s">
        <v>312</v>
      </c>
      <c r="H62" s="151" t="s">
        <v>330</v>
      </c>
      <c r="I62" s="164" t="s">
        <v>385</v>
      </c>
      <c r="J62" s="164" t="s">
        <v>386</v>
      </c>
      <c r="K62" s="165">
        <v>4.2824074074074075E-4</v>
      </c>
      <c r="L62" s="151" t="s">
        <v>329</v>
      </c>
      <c r="M62" s="151" t="s">
        <v>312</v>
      </c>
      <c r="N62" s="151" t="s">
        <v>332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325</v>
      </c>
      <c r="B63" s="151" t="s">
        <v>326</v>
      </c>
      <c r="C63" s="164" t="s">
        <v>387</v>
      </c>
      <c r="D63" s="164" t="s">
        <v>388</v>
      </c>
      <c r="E63" s="165">
        <v>1.8865740740740742E-3</v>
      </c>
      <c r="F63" s="151" t="s">
        <v>329</v>
      </c>
      <c r="G63" s="151" t="s">
        <v>312</v>
      </c>
      <c r="H63" s="151" t="s">
        <v>330</v>
      </c>
      <c r="I63" s="164" t="s">
        <v>389</v>
      </c>
      <c r="J63" s="164" t="s">
        <v>390</v>
      </c>
      <c r="K63" s="165">
        <v>4.1666666666666669E-4</v>
      </c>
      <c r="L63" s="151" t="s">
        <v>329</v>
      </c>
      <c r="M63" s="151" t="s">
        <v>312</v>
      </c>
      <c r="N63" s="151" t="s">
        <v>332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325</v>
      </c>
      <c r="B64" s="151" t="s">
        <v>326</v>
      </c>
      <c r="C64" s="164" t="s">
        <v>391</v>
      </c>
      <c r="D64" s="164" t="s">
        <v>392</v>
      </c>
      <c r="E64" s="165">
        <v>1.8518518518518519E-3</v>
      </c>
      <c r="F64" s="151" t="s">
        <v>329</v>
      </c>
      <c r="G64" s="151" t="s">
        <v>312</v>
      </c>
      <c r="H64" s="151" t="s">
        <v>330</v>
      </c>
      <c r="I64" s="164" t="s">
        <v>393</v>
      </c>
      <c r="J64" s="164" t="s">
        <v>394</v>
      </c>
      <c r="K64" s="165">
        <v>4.0509259259259258E-4</v>
      </c>
      <c r="L64" s="151" t="s">
        <v>329</v>
      </c>
      <c r="M64" s="151" t="s">
        <v>312</v>
      </c>
      <c r="N64" s="151" t="s">
        <v>332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325</v>
      </c>
      <c r="B65" s="151" t="s">
        <v>326</v>
      </c>
      <c r="C65" s="164" t="s">
        <v>395</v>
      </c>
      <c r="D65" s="164" t="s">
        <v>396</v>
      </c>
      <c r="E65" s="165">
        <v>2.0023148148148148E-3</v>
      </c>
      <c r="F65" s="151" t="s">
        <v>329</v>
      </c>
      <c r="G65" s="151" t="s">
        <v>312</v>
      </c>
      <c r="H65" s="151" t="s">
        <v>330</v>
      </c>
      <c r="I65" s="164" t="s">
        <v>397</v>
      </c>
      <c r="J65" s="164" t="s">
        <v>398</v>
      </c>
      <c r="K65" s="165">
        <v>4.2824074074074075E-4</v>
      </c>
      <c r="L65" s="151" t="s">
        <v>329</v>
      </c>
      <c r="M65" s="151" t="s">
        <v>312</v>
      </c>
      <c r="N65" s="151" t="s">
        <v>332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325</v>
      </c>
      <c r="B66" s="151" t="s">
        <v>326</v>
      </c>
      <c r="C66" s="164" t="s">
        <v>399</v>
      </c>
      <c r="D66" s="164" t="s">
        <v>400</v>
      </c>
      <c r="E66" s="165">
        <v>2.4305555555555556E-3</v>
      </c>
      <c r="F66" s="151" t="s">
        <v>329</v>
      </c>
      <c r="G66" s="151" t="s">
        <v>312</v>
      </c>
      <c r="H66" s="151" t="s">
        <v>330</v>
      </c>
      <c r="I66" s="164" t="s">
        <v>401</v>
      </c>
      <c r="J66" s="164" t="s">
        <v>402</v>
      </c>
      <c r="K66" s="165">
        <v>4.3981481481481481E-4</v>
      </c>
      <c r="L66" s="151" t="s">
        <v>329</v>
      </c>
      <c r="M66" s="151" t="s">
        <v>312</v>
      </c>
      <c r="N66" s="151" t="s">
        <v>332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325</v>
      </c>
      <c r="B67" s="151" t="s">
        <v>326</v>
      </c>
      <c r="C67" s="164" t="s">
        <v>403</v>
      </c>
      <c r="D67" s="164" t="s">
        <v>404</v>
      </c>
      <c r="E67" s="165">
        <v>1.4699074074074074E-3</v>
      </c>
      <c r="F67" s="151" t="s">
        <v>329</v>
      </c>
      <c r="G67" s="151" t="s">
        <v>312</v>
      </c>
      <c r="H67" s="151" t="s">
        <v>330</v>
      </c>
      <c r="I67" s="164" t="s">
        <v>405</v>
      </c>
      <c r="J67" s="164" t="s">
        <v>406</v>
      </c>
      <c r="K67" s="165">
        <v>4.2824074074074075E-4</v>
      </c>
      <c r="L67" s="151" t="s">
        <v>329</v>
      </c>
      <c r="M67" s="151" t="s">
        <v>312</v>
      </c>
      <c r="N67" s="151" t="s">
        <v>332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325</v>
      </c>
      <c r="B68" s="151" t="s">
        <v>326</v>
      </c>
      <c r="C68" s="164" t="s">
        <v>407</v>
      </c>
      <c r="D68" s="164" t="s">
        <v>408</v>
      </c>
      <c r="E68" s="165">
        <v>1.736111111111111E-3</v>
      </c>
      <c r="F68" s="151" t="s">
        <v>329</v>
      </c>
      <c r="G68" s="151" t="s">
        <v>312</v>
      </c>
      <c r="H68" s="151" t="s">
        <v>330</v>
      </c>
      <c r="I68" s="164" t="s">
        <v>409</v>
      </c>
      <c r="J68" s="164" t="s">
        <v>410</v>
      </c>
      <c r="K68" s="165">
        <v>4.2824074074074075E-4</v>
      </c>
      <c r="L68" s="151" t="s">
        <v>329</v>
      </c>
      <c r="M68" s="151" t="s">
        <v>312</v>
      </c>
      <c r="N68" s="151" t="s">
        <v>332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325</v>
      </c>
      <c r="B69" s="151" t="s">
        <v>326</v>
      </c>
      <c r="C69" s="164" t="s">
        <v>411</v>
      </c>
      <c r="D69" s="164" t="s">
        <v>412</v>
      </c>
      <c r="E69" s="165">
        <v>1.4583333333333334E-3</v>
      </c>
      <c r="F69" s="151" t="s">
        <v>329</v>
      </c>
      <c r="G69" s="151" t="s">
        <v>312</v>
      </c>
      <c r="H69" s="151" t="s">
        <v>330</v>
      </c>
      <c r="I69" s="164" t="s">
        <v>413</v>
      </c>
      <c r="J69" s="164" t="s">
        <v>414</v>
      </c>
      <c r="K69" s="165">
        <v>4.2824074074074075E-4</v>
      </c>
      <c r="L69" s="151" t="s">
        <v>329</v>
      </c>
      <c r="M69" s="151" t="s">
        <v>312</v>
      </c>
      <c r="N69" s="151" t="s">
        <v>332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325</v>
      </c>
      <c r="B70" s="151" t="s">
        <v>326</v>
      </c>
      <c r="C70" s="164" t="s">
        <v>415</v>
      </c>
      <c r="D70" s="164" t="s">
        <v>416</v>
      </c>
      <c r="E70" s="165">
        <v>2.0486111111111113E-3</v>
      </c>
      <c r="F70" s="151" t="s">
        <v>329</v>
      </c>
      <c r="G70" s="151" t="s">
        <v>312</v>
      </c>
      <c r="H70" s="151" t="s">
        <v>330</v>
      </c>
      <c r="I70" s="164" t="s">
        <v>417</v>
      </c>
      <c r="J70" s="164" t="s">
        <v>418</v>
      </c>
      <c r="K70" s="165">
        <v>4.2824074074074075E-4</v>
      </c>
      <c r="L70" s="151" t="s">
        <v>329</v>
      </c>
      <c r="M70" s="151" t="s">
        <v>312</v>
      </c>
      <c r="N70" s="151" t="s">
        <v>332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325</v>
      </c>
      <c r="B71" s="151" t="s">
        <v>326</v>
      </c>
      <c r="C71" s="164" t="s">
        <v>419</v>
      </c>
      <c r="D71" s="164" t="s">
        <v>420</v>
      </c>
      <c r="E71" s="165">
        <v>2.0023148148148148E-3</v>
      </c>
      <c r="F71" s="151" t="s">
        <v>329</v>
      </c>
      <c r="G71" s="151" t="s">
        <v>312</v>
      </c>
      <c r="H71" s="151" t="s">
        <v>330</v>
      </c>
      <c r="I71" s="164" t="s">
        <v>421</v>
      </c>
      <c r="J71" s="164" t="s">
        <v>422</v>
      </c>
      <c r="K71" s="165">
        <v>4.0509259259259258E-4</v>
      </c>
      <c r="L71" s="151" t="s">
        <v>329</v>
      </c>
      <c r="M71" s="151" t="s">
        <v>312</v>
      </c>
      <c r="N71" s="151" t="s">
        <v>332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325</v>
      </c>
      <c r="B72" s="151" t="s">
        <v>326</v>
      </c>
      <c r="C72" s="164" t="s">
        <v>423</v>
      </c>
      <c r="D72" s="164" t="s">
        <v>424</v>
      </c>
      <c r="E72" s="165">
        <v>1.8749999999999999E-3</v>
      </c>
      <c r="F72" s="151" t="s">
        <v>329</v>
      </c>
      <c r="G72" s="151" t="s">
        <v>312</v>
      </c>
      <c r="H72" s="151" t="s">
        <v>330</v>
      </c>
      <c r="I72" s="164" t="s">
        <v>425</v>
      </c>
      <c r="J72" s="164" t="s">
        <v>426</v>
      </c>
      <c r="K72" s="165">
        <v>4.861111111111111E-4</v>
      </c>
      <c r="L72" s="151" t="s">
        <v>329</v>
      </c>
      <c r="M72" s="151" t="s">
        <v>312</v>
      </c>
      <c r="N72" s="151" t="s">
        <v>332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325</v>
      </c>
      <c r="B73" s="151" t="s">
        <v>326</v>
      </c>
      <c r="C73" s="164" t="s">
        <v>427</v>
      </c>
      <c r="D73" s="164" t="s">
        <v>428</v>
      </c>
      <c r="E73" s="165">
        <v>2.5115740740740741E-3</v>
      </c>
      <c r="F73" s="151" t="s">
        <v>329</v>
      </c>
      <c r="G73" s="151" t="s">
        <v>312</v>
      </c>
      <c r="H73" s="151" t="s">
        <v>330</v>
      </c>
      <c r="I73" s="164" t="s">
        <v>429</v>
      </c>
      <c r="J73" s="164" t="s">
        <v>430</v>
      </c>
      <c r="K73" s="165">
        <v>4.6296296296296294E-5</v>
      </c>
      <c r="L73" s="151" t="s">
        <v>329</v>
      </c>
      <c r="M73" s="151" t="s">
        <v>312</v>
      </c>
      <c r="N73" s="151" t="s">
        <v>332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325</v>
      </c>
      <c r="B74" s="151" t="s">
        <v>326</v>
      </c>
      <c r="C74" s="164" t="s">
        <v>431</v>
      </c>
      <c r="D74" s="164" t="s">
        <v>432</v>
      </c>
      <c r="E74" s="165">
        <v>5.2083333333333333E-4</v>
      </c>
      <c r="F74" s="151" t="s">
        <v>329</v>
      </c>
      <c r="G74" s="151" t="s">
        <v>312</v>
      </c>
      <c r="H74" s="151" t="s">
        <v>330</v>
      </c>
      <c r="I74" s="164" t="s">
        <v>433</v>
      </c>
      <c r="J74" s="164" t="s">
        <v>434</v>
      </c>
      <c r="K74" s="165">
        <v>4.5138888888888887E-4</v>
      </c>
      <c r="L74" s="151" t="s">
        <v>329</v>
      </c>
      <c r="M74" s="151" t="s">
        <v>312</v>
      </c>
      <c r="N74" s="151" t="s">
        <v>332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325</v>
      </c>
      <c r="B75" s="151" t="s">
        <v>326</v>
      </c>
      <c r="C75" s="164" t="s">
        <v>435</v>
      </c>
      <c r="D75" s="164" t="s">
        <v>436</v>
      </c>
      <c r="E75" s="165">
        <v>1.1458333333333333E-3</v>
      </c>
      <c r="F75" s="151" t="s">
        <v>329</v>
      </c>
      <c r="G75" s="151" t="s">
        <v>312</v>
      </c>
      <c r="H75" s="151" t="s">
        <v>330</v>
      </c>
      <c r="I75" s="164" t="s">
        <v>437</v>
      </c>
      <c r="J75" s="164" t="s">
        <v>438</v>
      </c>
      <c r="K75" s="165">
        <v>3.8194444444444446E-4</v>
      </c>
      <c r="L75" s="151" t="s">
        <v>329</v>
      </c>
      <c r="M75" s="151" t="s">
        <v>312</v>
      </c>
      <c r="N75" s="151" t="s">
        <v>332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325</v>
      </c>
      <c r="B76" s="151" t="s">
        <v>326</v>
      </c>
      <c r="C76" s="164" t="s">
        <v>439</v>
      </c>
      <c r="D76" s="164" t="s">
        <v>440</v>
      </c>
      <c r="E76" s="165">
        <v>2.1527777777777778E-3</v>
      </c>
      <c r="F76" s="151" t="s">
        <v>329</v>
      </c>
      <c r="G76" s="151" t="s">
        <v>312</v>
      </c>
      <c r="H76" s="151" t="s">
        <v>330</v>
      </c>
      <c r="I76" s="164" t="s">
        <v>441</v>
      </c>
      <c r="J76" s="164" t="s">
        <v>442</v>
      </c>
      <c r="K76" s="165">
        <v>4.0509259259259258E-4</v>
      </c>
      <c r="L76" s="151" t="s">
        <v>329</v>
      </c>
      <c r="M76" s="151" t="s">
        <v>312</v>
      </c>
      <c r="N76" s="151" t="s">
        <v>332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325</v>
      </c>
      <c r="B77" s="151" t="s">
        <v>326</v>
      </c>
      <c r="C77" s="164" t="s">
        <v>443</v>
      </c>
      <c r="D77" s="164" t="s">
        <v>444</v>
      </c>
      <c r="E77" s="165">
        <v>1.4814814814814814E-3</v>
      </c>
      <c r="F77" s="151" t="s">
        <v>329</v>
      </c>
      <c r="G77" s="151" t="s">
        <v>312</v>
      </c>
      <c r="H77" s="151" t="s">
        <v>330</v>
      </c>
      <c r="I77" s="164" t="s">
        <v>445</v>
      </c>
      <c r="J77" s="164" t="s">
        <v>446</v>
      </c>
      <c r="K77" s="165">
        <v>3.8194444444444446E-4</v>
      </c>
      <c r="L77" s="151" t="s">
        <v>329</v>
      </c>
      <c r="M77" s="151" t="s">
        <v>312</v>
      </c>
      <c r="N77" s="151" t="s">
        <v>332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325</v>
      </c>
      <c r="B78" s="151" t="s">
        <v>326</v>
      </c>
      <c r="C78" s="164" t="s">
        <v>447</v>
      </c>
      <c r="D78" s="164" t="s">
        <v>448</v>
      </c>
      <c r="E78" s="165">
        <v>1.4699074074074074E-3</v>
      </c>
      <c r="F78" s="151" t="s">
        <v>329</v>
      </c>
      <c r="G78" s="151" t="s">
        <v>312</v>
      </c>
      <c r="H78" s="151" t="s">
        <v>330</v>
      </c>
      <c r="I78" s="164" t="s">
        <v>449</v>
      </c>
      <c r="J78" s="164" t="s">
        <v>450</v>
      </c>
      <c r="K78" s="165">
        <v>1.5046296296296297E-4</v>
      </c>
      <c r="L78" s="151" t="s">
        <v>329</v>
      </c>
      <c r="M78" s="151" t="s">
        <v>312</v>
      </c>
      <c r="N78" s="151" t="s">
        <v>332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325</v>
      </c>
      <c r="B79" s="151" t="s">
        <v>326</v>
      </c>
      <c r="C79" s="164" t="s">
        <v>451</v>
      </c>
      <c r="D79" s="164" t="s">
        <v>452</v>
      </c>
      <c r="E79" s="165">
        <v>1.8981481481481482E-3</v>
      </c>
      <c r="F79" s="151" t="s">
        <v>329</v>
      </c>
      <c r="G79" s="151" t="s">
        <v>312</v>
      </c>
      <c r="H79" s="151" t="s">
        <v>330</v>
      </c>
      <c r="I79" s="164" t="s">
        <v>453</v>
      </c>
      <c r="J79" s="164" t="s">
        <v>454</v>
      </c>
      <c r="K79" s="165">
        <v>3.7037037037037035E-4</v>
      </c>
      <c r="L79" s="151" t="s">
        <v>329</v>
      </c>
      <c r="M79" s="151" t="s">
        <v>312</v>
      </c>
      <c r="N79" s="151" t="s">
        <v>332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325</v>
      </c>
      <c r="B80" s="151" t="s">
        <v>326</v>
      </c>
      <c r="C80" s="164" t="s">
        <v>455</v>
      </c>
      <c r="D80" s="164" t="s">
        <v>456</v>
      </c>
      <c r="E80" s="165">
        <v>1.8171296296296297E-3</v>
      </c>
      <c r="F80" s="151" t="s">
        <v>329</v>
      </c>
      <c r="G80" s="151" t="s">
        <v>312</v>
      </c>
      <c r="H80" s="151" t="s">
        <v>330</v>
      </c>
      <c r="I80" s="164" t="s">
        <v>457</v>
      </c>
      <c r="J80" s="164" t="s">
        <v>458</v>
      </c>
      <c r="K80" s="165">
        <v>3.8194444444444446E-4</v>
      </c>
      <c r="L80" s="151" t="s">
        <v>329</v>
      </c>
      <c r="M80" s="151" t="s">
        <v>312</v>
      </c>
      <c r="N80" s="151" t="s">
        <v>332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325</v>
      </c>
      <c r="B81" s="151" t="s">
        <v>326</v>
      </c>
      <c r="C81" s="164" t="s">
        <v>459</v>
      </c>
      <c r="D81" s="164" t="s">
        <v>460</v>
      </c>
      <c r="E81" s="165">
        <v>1.9675925925925924E-3</v>
      </c>
      <c r="F81" s="151" t="s">
        <v>329</v>
      </c>
      <c r="G81" s="151" t="s">
        <v>312</v>
      </c>
      <c r="H81" s="151" t="s">
        <v>330</v>
      </c>
      <c r="I81" s="164" t="s">
        <v>461</v>
      </c>
      <c r="J81" s="164" t="s">
        <v>462</v>
      </c>
      <c r="K81" s="165">
        <v>4.1666666666666669E-4</v>
      </c>
      <c r="L81" s="151" t="s">
        <v>329</v>
      </c>
      <c r="M81" s="151" t="s">
        <v>312</v>
      </c>
      <c r="N81" s="151" t="s">
        <v>332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325</v>
      </c>
      <c r="B82" s="151" t="s">
        <v>326</v>
      </c>
      <c r="C82" s="164" t="s">
        <v>463</v>
      </c>
      <c r="D82" s="164" t="s">
        <v>464</v>
      </c>
      <c r="E82" s="165">
        <v>1.6898148148148148E-3</v>
      </c>
      <c r="F82" s="151" t="s">
        <v>329</v>
      </c>
      <c r="G82" s="151" t="s">
        <v>312</v>
      </c>
      <c r="H82" s="151" t="s">
        <v>330</v>
      </c>
      <c r="I82" s="164" t="s">
        <v>465</v>
      </c>
      <c r="J82" s="164" t="s">
        <v>466</v>
      </c>
      <c r="K82" s="165">
        <v>4.1666666666666669E-4</v>
      </c>
      <c r="L82" s="151" t="s">
        <v>329</v>
      </c>
      <c r="M82" s="151" t="s">
        <v>312</v>
      </c>
      <c r="N82" s="151" t="s">
        <v>332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325</v>
      </c>
      <c r="B83" s="151" t="s">
        <v>326</v>
      </c>
      <c r="C83" s="164" t="s">
        <v>467</v>
      </c>
      <c r="D83" s="164" t="s">
        <v>468</v>
      </c>
      <c r="E83" s="165">
        <v>2.476851851851852E-3</v>
      </c>
      <c r="F83" s="151" t="s">
        <v>329</v>
      </c>
      <c r="G83" s="151" t="s">
        <v>312</v>
      </c>
      <c r="H83" s="151" t="s">
        <v>330</v>
      </c>
      <c r="I83" s="164" t="s">
        <v>469</v>
      </c>
      <c r="J83" s="164" t="s">
        <v>470</v>
      </c>
      <c r="K83" s="165">
        <v>3.9351851851851852E-4</v>
      </c>
      <c r="L83" s="151" t="s">
        <v>329</v>
      </c>
      <c r="M83" s="151" t="s">
        <v>312</v>
      </c>
      <c r="N83" s="151" t="s">
        <v>332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325</v>
      </c>
      <c r="B84" s="151" t="s">
        <v>326</v>
      </c>
      <c r="C84" s="164" t="s">
        <v>471</v>
      </c>
      <c r="D84" s="164" t="s">
        <v>472</v>
      </c>
      <c r="E84" s="165">
        <v>1.8981481481481482E-3</v>
      </c>
      <c r="F84" s="151" t="s">
        <v>329</v>
      </c>
      <c r="G84" s="151" t="s">
        <v>312</v>
      </c>
      <c r="H84" s="151" t="s">
        <v>330</v>
      </c>
      <c r="I84" s="164" t="s">
        <v>473</v>
      </c>
      <c r="J84" s="164" t="s">
        <v>474</v>
      </c>
      <c r="K84" s="165">
        <v>3.8194444444444446E-4</v>
      </c>
      <c r="L84" s="151" t="s">
        <v>329</v>
      </c>
      <c r="M84" s="151" t="s">
        <v>312</v>
      </c>
      <c r="N84" s="151" t="s">
        <v>332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325</v>
      </c>
      <c r="B85" s="151" t="s">
        <v>326</v>
      </c>
      <c r="C85" s="164" t="s">
        <v>475</v>
      </c>
      <c r="D85" s="164" t="s">
        <v>476</v>
      </c>
      <c r="E85" s="165">
        <v>1.9560185185185184E-3</v>
      </c>
      <c r="F85" s="151" t="s">
        <v>329</v>
      </c>
      <c r="G85" s="151" t="s">
        <v>312</v>
      </c>
      <c r="H85" s="151" t="s">
        <v>330</v>
      </c>
      <c r="I85" s="164" t="s">
        <v>477</v>
      </c>
      <c r="J85" s="164" t="s">
        <v>478</v>
      </c>
      <c r="K85" s="165">
        <v>4.0509259259259258E-4</v>
      </c>
      <c r="L85" s="151" t="s">
        <v>329</v>
      </c>
      <c r="M85" s="151" t="s">
        <v>312</v>
      </c>
      <c r="N85" s="151" t="s">
        <v>332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325</v>
      </c>
      <c r="B86" s="151" t="s">
        <v>326</v>
      </c>
      <c r="C86" s="164" t="s">
        <v>479</v>
      </c>
      <c r="D86" s="164" t="s">
        <v>480</v>
      </c>
      <c r="E86" s="165">
        <v>1.6203703703703703E-3</v>
      </c>
      <c r="F86" s="151" t="s">
        <v>329</v>
      </c>
      <c r="G86" s="151" t="s">
        <v>312</v>
      </c>
      <c r="H86" s="151" t="s">
        <v>330</v>
      </c>
      <c r="I86" s="164" t="s">
        <v>481</v>
      </c>
      <c r="J86" s="164" t="s">
        <v>482</v>
      </c>
      <c r="K86" s="165">
        <v>3.9351851851851852E-4</v>
      </c>
      <c r="L86" s="151" t="s">
        <v>329</v>
      </c>
      <c r="M86" s="151" t="s">
        <v>312</v>
      </c>
      <c r="N86" s="151" t="s">
        <v>332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325</v>
      </c>
      <c r="B87" s="151" t="s">
        <v>326</v>
      </c>
      <c r="C87" s="164" t="s">
        <v>483</v>
      </c>
      <c r="D87" s="164" t="s">
        <v>484</v>
      </c>
      <c r="E87" s="165">
        <v>1.8518518518518519E-3</v>
      </c>
      <c r="F87" s="151" t="s">
        <v>329</v>
      </c>
      <c r="G87" s="151" t="s">
        <v>312</v>
      </c>
      <c r="H87" s="151" t="s">
        <v>330</v>
      </c>
      <c r="I87" s="164" t="s">
        <v>485</v>
      </c>
      <c r="J87" s="164" t="s">
        <v>486</v>
      </c>
      <c r="K87" s="165">
        <v>1.1574074074074073E-3</v>
      </c>
      <c r="L87" s="151" t="s">
        <v>329</v>
      </c>
      <c r="M87" s="151" t="s">
        <v>312</v>
      </c>
      <c r="N87" s="151" t="s">
        <v>332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325</v>
      </c>
      <c r="B88" s="151" t="s">
        <v>326</v>
      </c>
      <c r="C88" s="164" t="s">
        <v>487</v>
      </c>
      <c r="D88" s="164" t="s">
        <v>488</v>
      </c>
      <c r="E88" s="165">
        <v>1.5046296296296296E-3</v>
      </c>
      <c r="F88" s="151" t="s">
        <v>329</v>
      </c>
      <c r="G88" s="151" t="s">
        <v>312</v>
      </c>
      <c r="H88" s="151" t="s">
        <v>330</v>
      </c>
      <c r="I88" s="164" t="s">
        <v>489</v>
      </c>
      <c r="J88" s="164" t="s">
        <v>490</v>
      </c>
      <c r="K88" s="165">
        <v>3.9351851851851852E-4</v>
      </c>
      <c r="L88" s="151" t="s">
        <v>329</v>
      </c>
      <c r="M88" s="151" t="s">
        <v>312</v>
      </c>
      <c r="N88" s="151" t="s">
        <v>332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325</v>
      </c>
      <c r="B89" s="151" t="s">
        <v>326</v>
      </c>
      <c r="C89" s="164" t="s">
        <v>491</v>
      </c>
      <c r="D89" s="164" t="s">
        <v>492</v>
      </c>
      <c r="E89" s="165">
        <v>1.5046296296296296E-3</v>
      </c>
      <c r="F89" s="151" t="s">
        <v>329</v>
      </c>
      <c r="G89" s="151" t="s">
        <v>312</v>
      </c>
      <c r="H89" s="151" t="s">
        <v>330</v>
      </c>
      <c r="I89" s="164" t="s">
        <v>493</v>
      </c>
      <c r="J89" s="164" t="s">
        <v>494</v>
      </c>
      <c r="K89" s="165">
        <v>5.3240740740740744E-4</v>
      </c>
      <c r="L89" s="151" t="s">
        <v>329</v>
      </c>
      <c r="M89" s="151" t="s">
        <v>312</v>
      </c>
      <c r="N89" s="151" t="s">
        <v>332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325</v>
      </c>
      <c r="B90" s="151" t="s">
        <v>326</v>
      </c>
      <c r="C90" s="164" t="s">
        <v>495</v>
      </c>
      <c r="D90" s="164" t="s">
        <v>496</v>
      </c>
      <c r="E90" s="165">
        <v>9.3749999999999997E-4</v>
      </c>
      <c r="F90" s="151" t="s">
        <v>329</v>
      </c>
      <c r="G90" s="151" t="s">
        <v>312</v>
      </c>
      <c r="H90" s="151" t="s">
        <v>330</v>
      </c>
      <c r="I90" s="164" t="s">
        <v>497</v>
      </c>
      <c r="J90" s="164" t="s">
        <v>498</v>
      </c>
      <c r="K90" s="165">
        <v>5.4398148148148144E-4</v>
      </c>
      <c r="L90" s="151" t="s">
        <v>329</v>
      </c>
      <c r="M90" s="151" t="s">
        <v>312</v>
      </c>
      <c r="N90" s="151" t="s">
        <v>332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325</v>
      </c>
      <c r="B91" s="151" t="s">
        <v>326</v>
      </c>
      <c r="C91" s="164" t="s">
        <v>499</v>
      </c>
      <c r="D91" s="164" t="s">
        <v>500</v>
      </c>
      <c r="E91" s="165">
        <v>1.1226851851851851E-3</v>
      </c>
      <c r="F91" s="151" t="s">
        <v>329</v>
      </c>
      <c r="G91" s="151" t="s">
        <v>312</v>
      </c>
      <c r="H91" s="151" t="s">
        <v>330</v>
      </c>
      <c r="I91" s="164" t="s">
        <v>501</v>
      </c>
      <c r="J91" s="164" t="s">
        <v>502</v>
      </c>
      <c r="K91" s="165">
        <v>3.9351851851851852E-4</v>
      </c>
      <c r="L91" s="151" t="s">
        <v>329</v>
      </c>
      <c r="M91" s="151" t="s">
        <v>312</v>
      </c>
      <c r="N91" s="151" t="s">
        <v>332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503</v>
      </c>
      <c r="B92" s="151" t="s">
        <v>504</v>
      </c>
      <c r="C92" s="164" t="s">
        <v>505</v>
      </c>
      <c r="D92" s="164" t="s">
        <v>506</v>
      </c>
      <c r="E92" s="165">
        <v>1.1111111111111111E-3</v>
      </c>
      <c r="F92" s="151" t="s">
        <v>134</v>
      </c>
      <c r="H92" s="151" t="s">
        <v>135</v>
      </c>
      <c r="I92" s="164" t="s">
        <v>507</v>
      </c>
      <c r="J92" s="164" t="s">
        <v>508</v>
      </c>
      <c r="K92" s="165">
        <v>4.0509259259259258E-4</v>
      </c>
      <c r="L92" s="151" t="s">
        <v>138</v>
      </c>
      <c r="N92" s="151" t="s">
        <v>139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503</v>
      </c>
      <c r="B93" s="151" t="s">
        <v>504</v>
      </c>
      <c r="C93" s="164" t="s">
        <v>509</v>
      </c>
      <c r="D93" s="164" t="s">
        <v>510</v>
      </c>
      <c r="E93" s="165">
        <v>1.8171296296296297E-3</v>
      </c>
      <c r="F93" s="151" t="s">
        <v>134</v>
      </c>
      <c r="H93" s="151" t="s">
        <v>135</v>
      </c>
      <c r="I93" s="164" t="s">
        <v>511</v>
      </c>
      <c r="J93" s="164" t="s">
        <v>512</v>
      </c>
      <c r="K93" s="165">
        <v>3.4722222222222224E-4</v>
      </c>
      <c r="L93" s="151" t="s">
        <v>138</v>
      </c>
      <c r="N93" s="151" t="s">
        <v>139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503</v>
      </c>
      <c r="B94" s="151" t="s">
        <v>504</v>
      </c>
      <c r="C94" s="164" t="s">
        <v>513</v>
      </c>
      <c r="D94" s="164" t="s">
        <v>514</v>
      </c>
      <c r="E94" s="165">
        <v>1.5509259259259259E-3</v>
      </c>
      <c r="F94" s="151" t="s">
        <v>134</v>
      </c>
      <c r="H94" s="151" t="s">
        <v>135</v>
      </c>
      <c r="I94" s="164" t="s">
        <v>515</v>
      </c>
      <c r="J94" s="164" t="s">
        <v>516</v>
      </c>
      <c r="K94" s="165">
        <v>3.9351851851851852E-4</v>
      </c>
      <c r="L94" s="151" t="s">
        <v>138</v>
      </c>
      <c r="N94" s="151" t="s">
        <v>139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503</v>
      </c>
      <c r="B95" s="151" t="s">
        <v>504</v>
      </c>
      <c r="C95" s="164" t="s">
        <v>517</v>
      </c>
      <c r="D95" s="164" t="s">
        <v>518</v>
      </c>
      <c r="E95" s="165">
        <v>3.8773148148148148E-3</v>
      </c>
      <c r="F95" s="151" t="s">
        <v>134</v>
      </c>
      <c r="H95" s="151" t="s">
        <v>43</v>
      </c>
      <c r="I95" s="164" t="s">
        <v>519</v>
      </c>
      <c r="J95" s="164" t="s">
        <v>520</v>
      </c>
      <c r="K95" s="165">
        <v>3.3564814814814812E-4</v>
      </c>
      <c r="L95" s="151" t="s">
        <v>245</v>
      </c>
      <c r="N95" s="151" t="s">
        <v>236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503</v>
      </c>
      <c r="B96" s="151" t="s">
        <v>504</v>
      </c>
      <c r="C96" s="164" t="s">
        <v>521</v>
      </c>
      <c r="D96" s="164" t="s">
        <v>522</v>
      </c>
      <c r="E96" s="165">
        <v>6.6319444444444446E-3</v>
      </c>
      <c r="F96" s="151" t="s">
        <v>134</v>
      </c>
      <c r="H96" s="151" t="s">
        <v>43</v>
      </c>
      <c r="I96" s="164" t="s">
        <v>523</v>
      </c>
      <c r="J96" s="164" t="s">
        <v>524</v>
      </c>
      <c r="K96" s="165">
        <v>4.0509259259259258E-4</v>
      </c>
      <c r="L96" s="151" t="s">
        <v>245</v>
      </c>
      <c r="N96" s="151" t="s">
        <v>236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503</v>
      </c>
      <c r="B97" s="151" t="s">
        <v>504</v>
      </c>
      <c r="C97" s="164" t="s">
        <v>525</v>
      </c>
      <c r="D97" s="164" t="s">
        <v>526</v>
      </c>
      <c r="E97" s="165">
        <v>1.4930555555555556E-3</v>
      </c>
      <c r="F97" s="151" t="s">
        <v>134</v>
      </c>
      <c r="H97" s="151" t="s">
        <v>135</v>
      </c>
      <c r="I97" s="164" t="s">
        <v>527</v>
      </c>
      <c r="J97" s="164" t="s">
        <v>528</v>
      </c>
      <c r="K97" s="165">
        <v>3.9351851851851852E-4</v>
      </c>
      <c r="L97" s="151" t="s">
        <v>138</v>
      </c>
      <c r="N97" s="151" t="s">
        <v>139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503</v>
      </c>
      <c r="B98" s="151" t="s">
        <v>504</v>
      </c>
      <c r="C98" s="164" t="s">
        <v>529</v>
      </c>
      <c r="D98" s="164" t="s">
        <v>530</v>
      </c>
      <c r="E98" s="165">
        <v>1.2847222222222223E-3</v>
      </c>
      <c r="F98" s="151" t="s">
        <v>134</v>
      </c>
      <c r="H98" s="151" t="s">
        <v>135</v>
      </c>
      <c r="I98" s="164" t="s">
        <v>531</v>
      </c>
      <c r="J98" s="164" t="s">
        <v>532</v>
      </c>
      <c r="K98" s="165">
        <v>5.2083333333333333E-4</v>
      </c>
      <c r="L98" s="151" t="s">
        <v>138</v>
      </c>
      <c r="N98" s="151" t="s">
        <v>139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503</v>
      </c>
      <c r="B99" s="151" t="s">
        <v>504</v>
      </c>
      <c r="C99" s="164" t="s">
        <v>533</v>
      </c>
      <c r="D99" s="164" t="s">
        <v>534</v>
      </c>
      <c r="E99" s="165">
        <v>1.0995370370370371E-3</v>
      </c>
      <c r="F99" s="151" t="s">
        <v>134</v>
      </c>
      <c r="H99" s="151" t="s">
        <v>135</v>
      </c>
      <c r="I99" s="164" t="s">
        <v>535</v>
      </c>
      <c r="J99" s="164" t="s">
        <v>536</v>
      </c>
      <c r="K99" s="165">
        <v>4.6296296296296298E-4</v>
      </c>
      <c r="L99" s="151" t="s">
        <v>138</v>
      </c>
      <c r="N99" s="151" t="s">
        <v>139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503</v>
      </c>
      <c r="B100" s="151" t="s">
        <v>504</v>
      </c>
      <c r="C100" s="164" t="s">
        <v>537</v>
      </c>
      <c r="D100" s="164" t="s">
        <v>538</v>
      </c>
      <c r="E100" s="165">
        <v>1.2268518518518518E-3</v>
      </c>
      <c r="F100" s="151" t="s">
        <v>134</v>
      </c>
      <c r="H100" s="151" t="s">
        <v>135</v>
      </c>
      <c r="I100" s="164" t="s">
        <v>539</v>
      </c>
      <c r="J100" s="164" t="s">
        <v>540</v>
      </c>
      <c r="K100" s="165">
        <v>4.7453703703703704E-4</v>
      </c>
      <c r="L100" s="151" t="s">
        <v>138</v>
      </c>
      <c r="N100" s="151" t="s">
        <v>139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503</v>
      </c>
      <c r="B101" s="151" t="s">
        <v>504</v>
      </c>
      <c r="C101" s="164" t="s">
        <v>541</v>
      </c>
      <c r="D101" s="164" t="s">
        <v>542</v>
      </c>
      <c r="E101" s="165">
        <v>1.261574074074074E-3</v>
      </c>
      <c r="F101" s="151" t="s">
        <v>134</v>
      </c>
      <c r="H101" s="151" t="s">
        <v>135</v>
      </c>
      <c r="I101" s="164" t="s">
        <v>543</v>
      </c>
      <c r="J101" s="164" t="s">
        <v>544</v>
      </c>
      <c r="K101" s="165">
        <v>4.2824074074074075E-4</v>
      </c>
      <c r="L101" s="151" t="s">
        <v>138</v>
      </c>
      <c r="N101" s="151" t="s">
        <v>139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503</v>
      </c>
      <c r="B102" s="151" t="s">
        <v>504</v>
      </c>
      <c r="C102" s="164" t="s">
        <v>545</v>
      </c>
      <c r="D102" s="164" t="s">
        <v>546</v>
      </c>
      <c r="E102" s="165">
        <v>2.4537037037037036E-3</v>
      </c>
      <c r="F102" s="151" t="s">
        <v>134</v>
      </c>
      <c r="H102" s="151" t="s">
        <v>43</v>
      </c>
      <c r="I102" s="164" t="s">
        <v>547</v>
      </c>
      <c r="J102" s="164" t="s">
        <v>548</v>
      </c>
      <c r="K102" s="165">
        <v>4.0509259259259258E-4</v>
      </c>
      <c r="L102" s="151" t="s">
        <v>245</v>
      </c>
      <c r="N102" s="151" t="s">
        <v>236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503</v>
      </c>
      <c r="B103" s="151" t="s">
        <v>504</v>
      </c>
      <c r="C103" s="164" t="s">
        <v>549</v>
      </c>
      <c r="D103" s="164" t="s">
        <v>550</v>
      </c>
      <c r="E103" s="165">
        <v>7.6851851851851855E-3</v>
      </c>
      <c r="F103" s="151" t="s">
        <v>134</v>
      </c>
      <c r="H103" s="151" t="s">
        <v>43</v>
      </c>
      <c r="I103" s="164" t="s">
        <v>551</v>
      </c>
      <c r="J103" s="164" t="s">
        <v>552</v>
      </c>
      <c r="K103" s="165">
        <v>3.4722222222222224E-4</v>
      </c>
      <c r="L103" s="151" t="s">
        <v>245</v>
      </c>
      <c r="N103" s="151" t="s">
        <v>236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553</v>
      </c>
      <c r="B104" s="151" t="s">
        <v>554</v>
      </c>
      <c r="C104" s="164" t="s">
        <v>555</v>
      </c>
      <c r="D104" s="164" t="s">
        <v>556</v>
      </c>
      <c r="E104" s="165">
        <v>1.8171296296296297E-3</v>
      </c>
      <c r="F104" s="151" t="s">
        <v>134</v>
      </c>
      <c r="H104" s="151" t="s">
        <v>135</v>
      </c>
      <c r="I104" s="164" t="s">
        <v>557</v>
      </c>
      <c r="J104" s="164" t="s">
        <v>558</v>
      </c>
      <c r="K104" s="165">
        <v>1.2037037037037038E-3</v>
      </c>
      <c r="L104" s="151" t="s">
        <v>138</v>
      </c>
      <c r="N104" s="151" t="s">
        <v>139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553</v>
      </c>
      <c r="B105" s="151" t="s">
        <v>554</v>
      </c>
      <c r="C105" s="164" t="s">
        <v>559</v>
      </c>
      <c r="D105" s="164" t="s">
        <v>560</v>
      </c>
      <c r="E105" s="165">
        <v>1.9791666666666668E-3</v>
      </c>
      <c r="F105" s="151" t="s">
        <v>134</v>
      </c>
      <c r="H105" s="151" t="s">
        <v>561</v>
      </c>
      <c r="I105" s="164" t="s">
        <v>562</v>
      </c>
      <c r="J105" s="164" t="s">
        <v>563</v>
      </c>
      <c r="K105" s="165">
        <v>7.1759259259259259E-4</v>
      </c>
      <c r="L105" s="151" t="s">
        <v>235</v>
      </c>
      <c r="N105" s="151" t="s">
        <v>236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553</v>
      </c>
      <c r="B106" s="151" t="s">
        <v>554</v>
      </c>
      <c r="C106" s="164" t="s">
        <v>564</v>
      </c>
      <c r="D106" s="164" t="s">
        <v>565</v>
      </c>
      <c r="E106" s="165">
        <v>1.2037037037037038E-3</v>
      </c>
      <c r="F106" s="151" t="s">
        <v>134</v>
      </c>
      <c r="H106" s="151" t="s">
        <v>135</v>
      </c>
      <c r="I106" s="164" t="s">
        <v>566</v>
      </c>
      <c r="J106" s="164" t="s">
        <v>567</v>
      </c>
      <c r="K106" s="165">
        <v>8.9120370370370373E-4</v>
      </c>
      <c r="L106" s="151" t="s">
        <v>138</v>
      </c>
      <c r="N106" s="151" t="s">
        <v>139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553</v>
      </c>
      <c r="B107" s="151" t="s">
        <v>554</v>
      </c>
      <c r="C107" s="164" t="s">
        <v>568</v>
      </c>
      <c r="D107" s="164" t="s">
        <v>569</v>
      </c>
      <c r="E107" s="165">
        <v>1.1458333333333333E-3</v>
      </c>
      <c r="F107" s="151" t="s">
        <v>134</v>
      </c>
      <c r="H107" s="151" t="s">
        <v>135</v>
      </c>
      <c r="I107" s="164" t="s">
        <v>570</v>
      </c>
      <c r="J107" s="164" t="s">
        <v>571</v>
      </c>
      <c r="K107" s="165">
        <v>7.1759259259259259E-4</v>
      </c>
      <c r="L107" s="151" t="s">
        <v>138</v>
      </c>
      <c r="N107" s="151" t="s">
        <v>139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553</v>
      </c>
      <c r="B108" s="151" t="s">
        <v>554</v>
      </c>
      <c r="C108" s="164" t="s">
        <v>572</v>
      </c>
      <c r="D108" s="164" t="s">
        <v>573</v>
      </c>
      <c r="E108" s="165">
        <v>1.2847222222222223E-3</v>
      </c>
      <c r="F108" s="151" t="s">
        <v>134</v>
      </c>
      <c r="H108" s="151" t="s">
        <v>135</v>
      </c>
      <c r="I108" s="164" t="s">
        <v>574</v>
      </c>
      <c r="J108" s="164" t="s">
        <v>575</v>
      </c>
      <c r="K108" s="165">
        <v>6.018518518518519E-4</v>
      </c>
      <c r="L108" s="151" t="s">
        <v>138</v>
      </c>
      <c r="N108" s="151" t="s">
        <v>139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553</v>
      </c>
      <c r="B109" s="151" t="s">
        <v>554</v>
      </c>
      <c r="C109" s="164" t="s">
        <v>576</v>
      </c>
      <c r="D109" s="164" t="s">
        <v>577</v>
      </c>
      <c r="E109" s="165">
        <v>1.5162037037037036E-3</v>
      </c>
      <c r="F109" s="151" t="s">
        <v>134</v>
      </c>
      <c r="H109" s="151" t="s">
        <v>135</v>
      </c>
      <c r="I109" s="164" t="s">
        <v>578</v>
      </c>
      <c r="J109" s="164" t="s">
        <v>579</v>
      </c>
      <c r="K109" s="165">
        <v>9.3749999999999997E-4</v>
      </c>
      <c r="L109" s="151" t="s">
        <v>138</v>
      </c>
      <c r="N109" s="151" t="s">
        <v>139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553</v>
      </c>
      <c r="B110" s="151" t="s">
        <v>554</v>
      </c>
      <c r="C110" s="164" t="s">
        <v>580</v>
      </c>
      <c r="D110" s="164" t="s">
        <v>581</v>
      </c>
      <c r="E110" s="165">
        <v>1.3194444444444445E-3</v>
      </c>
      <c r="F110" s="151" t="s">
        <v>134</v>
      </c>
      <c r="H110" s="151" t="s">
        <v>135</v>
      </c>
      <c r="I110" s="164" t="s">
        <v>582</v>
      </c>
      <c r="J110" s="164" t="s">
        <v>583</v>
      </c>
      <c r="K110" s="165">
        <v>1.0185185185185184E-3</v>
      </c>
      <c r="L110" s="151" t="s">
        <v>138</v>
      </c>
      <c r="N110" s="151" t="s">
        <v>139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553</v>
      </c>
      <c r="B111" s="151" t="s">
        <v>554</v>
      </c>
      <c r="C111" s="164" t="s">
        <v>584</v>
      </c>
      <c r="D111" s="164" t="s">
        <v>585</v>
      </c>
      <c r="E111" s="165">
        <v>1.5856481481481481E-3</v>
      </c>
      <c r="F111" s="151" t="s">
        <v>134</v>
      </c>
      <c r="H111" s="151" t="s">
        <v>135</v>
      </c>
      <c r="I111" s="164" t="s">
        <v>586</v>
      </c>
      <c r="J111" s="164" t="s">
        <v>587</v>
      </c>
      <c r="K111" s="165">
        <v>7.291666666666667E-4</v>
      </c>
      <c r="L111" s="151" t="s">
        <v>138</v>
      </c>
      <c r="N111" s="151" t="s">
        <v>139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553</v>
      </c>
      <c r="B112" s="151" t="s">
        <v>554</v>
      </c>
      <c r="C112" s="164" t="s">
        <v>588</v>
      </c>
      <c r="D112" s="164" t="s">
        <v>589</v>
      </c>
      <c r="E112" s="165">
        <v>1.2962962962962963E-3</v>
      </c>
      <c r="F112" s="151" t="s">
        <v>134</v>
      </c>
      <c r="H112" s="151" t="s">
        <v>135</v>
      </c>
      <c r="I112" s="164" t="s">
        <v>590</v>
      </c>
      <c r="J112" s="164" t="s">
        <v>591</v>
      </c>
      <c r="K112" s="165">
        <v>8.1018518518518516E-4</v>
      </c>
      <c r="L112" s="166" t="s">
        <v>138</v>
      </c>
      <c r="N112" s="151" t="s">
        <v>139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592</v>
      </c>
      <c r="B113" s="151" t="s">
        <v>504</v>
      </c>
      <c r="C113" s="164" t="s">
        <v>593</v>
      </c>
      <c r="D113" s="164" t="s">
        <v>594</v>
      </c>
      <c r="E113" s="165">
        <v>1.4699074074074074E-3</v>
      </c>
      <c r="F113" s="151" t="s">
        <v>134</v>
      </c>
      <c r="H113" s="151" t="s">
        <v>43</v>
      </c>
      <c r="I113" s="164" t="s">
        <v>595</v>
      </c>
      <c r="J113" s="164" t="s">
        <v>596</v>
      </c>
      <c r="K113" s="165">
        <v>3.9351851851851852E-4</v>
      </c>
      <c r="L113" s="151" t="s">
        <v>245</v>
      </c>
      <c r="N113" s="151" t="s">
        <v>236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592</v>
      </c>
      <c r="B114" s="151" t="s">
        <v>504</v>
      </c>
      <c r="C114" s="164" t="s">
        <v>597</v>
      </c>
      <c r="D114" s="164" t="s">
        <v>598</v>
      </c>
      <c r="E114" s="165">
        <v>1.6435185185185185E-3</v>
      </c>
      <c r="F114" s="151" t="s">
        <v>134</v>
      </c>
      <c r="H114" s="151" t="s">
        <v>43</v>
      </c>
      <c r="I114" s="164" t="s">
        <v>599</v>
      </c>
      <c r="J114" s="164" t="s">
        <v>600</v>
      </c>
      <c r="K114" s="165">
        <v>4.5138888888888887E-4</v>
      </c>
      <c r="L114" s="151" t="s">
        <v>245</v>
      </c>
      <c r="N114" s="151" t="s">
        <v>236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592</v>
      </c>
      <c r="B115" s="151" t="s">
        <v>131</v>
      </c>
      <c r="C115" s="164" t="s">
        <v>601</v>
      </c>
      <c r="D115" s="164" t="s">
        <v>602</v>
      </c>
      <c r="E115" s="165">
        <v>1.4930555555555556E-3</v>
      </c>
      <c r="F115" s="151" t="s">
        <v>134</v>
      </c>
      <c r="H115" s="151" t="s">
        <v>135</v>
      </c>
      <c r="I115" s="164" t="s">
        <v>603</v>
      </c>
      <c r="J115" s="164" t="s">
        <v>604</v>
      </c>
      <c r="K115" s="165">
        <v>3.3564814814814812E-4</v>
      </c>
      <c r="L115" s="151" t="s">
        <v>138</v>
      </c>
      <c r="N115" s="151" t="s">
        <v>139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592</v>
      </c>
      <c r="B116" s="151" t="s">
        <v>131</v>
      </c>
      <c r="C116" s="164" t="s">
        <v>605</v>
      </c>
      <c r="D116" s="164" t="s">
        <v>606</v>
      </c>
      <c r="E116" s="165">
        <v>2.1527777777777778E-3</v>
      </c>
      <c r="F116" s="151" t="s">
        <v>134</v>
      </c>
      <c r="H116" s="151" t="s">
        <v>135</v>
      </c>
      <c r="I116" s="164" t="s">
        <v>607</v>
      </c>
      <c r="J116" s="164" t="s">
        <v>608</v>
      </c>
      <c r="K116" s="165">
        <v>3.0092592592592595E-4</v>
      </c>
      <c r="L116" s="151" t="s">
        <v>138</v>
      </c>
      <c r="N116" s="151" t="s">
        <v>139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592</v>
      </c>
      <c r="B117" s="151" t="s">
        <v>131</v>
      </c>
      <c r="C117" s="164" t="s">
        <v>609</v>
      </c>
      <c r="D117" s="164" t="s">
        <v>610</v>
      </c>
      <c r="E117" s="165">
        <v>1.4120370370370369E-3</v>
      </c>
      <c r="F117" s="151" t="s">
        <v>134</v>
      </c>
      <c r="H117" s="151" t="s">
        <v>135</v>
      </c>
      <c r="I117" s="164" t="s">
        <v>611</v>
      </c>
      <c r="J117" s="164" t="s">
        <v>612</v>
      </c>
      <c r="K117" s="165">
        <v>8.2175925925925927E-4</v>
      </c>
      <c r="L117" s="151" t="s">
        <v>138</v>
      </c>
      <c r="N117" s="151" t="s">
        <v>139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613</v>
      </c>
      <c r="B118" s="151" t="s">
        <v>614</v>
      </c>
      <c r="C118" s="164" t="s">
        <v>615</v>
      </c>
      <c r="D118" s="164" t="s">
        <v>616</v>
      </c>
      <c r="E118" s="165">
        <v>2.1990740740740742E-3</v>
      </c>
      <c r="F118" s="151" t="s">
        <v>329</v>
      </c>
      <c r="G118" s="151" t="s">
        <v>617</v>
      </c>
      <c r="H118" s="151" t="s">
        <v>330</v>
      </c>
      <c r="I118" s="164" t="s">
        <v>618</v>
      </c>
      <c r="J118" s="164" t="s">
        <v>619</v>
      </c>
      <c r="K118" s="165">
        <v>4.1666666666666669E-4</v>
      </c>
      <c r="L118" s="151" t="s">
        <v>329</v>
      </c>
      <c r="M118" s="151" t="s">
        <v>617</v>
      </c>
      <c r="N118" s="151" t="s">
        <v>332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613</v>
      </c>
      <c r="B119" s="151" t="s">
        <v>614</v>
      </c>
      <c r="C119" s="164" t="s">
        <v>620</v>
      </c>
      <c r="D119" s="164" t="s">
        <v>621</v>
      </c>
      <c r="E119" s="165">
        <v>1.4814814814814814E-3</v>
      </c>
      <c r="F119" s="151" t="s">
        <v>329</v>
      </c>
      <c r="G119" s="151" t="s">
        <v>617</v>
      </c>
      <c r="H119" s="151" t="s">
        <v>330</v>
      </c>
      <c r="I119" s="164" t="s">
        <v>622</v>
      </c>
      <c r="J119" s="164" t="s">
        <v>623</v>
      </c>
      <c r="K119" s="165">
        <v>2.7777777777777778E-4</v>
      </c>
      <c r="L119" s="151" t="s">
        <v>329</v>
      </c>
      <c r="M119" s="151" t="s">
        <v>617</v>
      </c>
      <c r="N119" s="151" t="s">
        <v>332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613</v>
      </c>
      <c r="B120" s="151" t="s">
        <v>614</v>
      </c>
      <c r="C120" s="164" t="s">
        <v>624</v>
      </c>
      <c r="D120" s="164" t="s">
        <v>625</v>
      </c>
      <c r="E120" s="165">
        <v>2.0601851851851853E-3</v>
      </c>
      <c r="F120" s="151" t="s">
        <v>329</v>
      </c>
      <c r="G120" s="151" t="s">
        <v>617</v>
      </c>
      <c r="H120" s="151" t="s">
        <v>330</v>
      </c>
      <c r="I120" s="164" t="s">
        <v>626</v>
      </c>
      <c r="J120" s="164" t="s">
        <v>627</v>
      </c>
      <c r="K120" s="165">
        <v>2.7777777777777778E-4</v>
      </c>
      <c r="L120" s="151" t="s">
        <v>329</v>
      </c>
      <c r="M120" s="151" t="s">
        <v>617</v>
      </c>
      <c r="N120" s="151" t="s">
        <v>332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613</v>
      </c>
      <c r="B121" s="151" t="s">
        <v>614</v>
      </c>
      <c r="C121" s="164" t="s">
        <v>628</v>
      </c>
      <c r="D121" s="164" t="s">
        <v>629</v>
      </c>
      <c r="E121" s="165">
        <v>2.1527777777777778E-3</v>
      </c>
      <c r="F121" s="151" t="s">
        <v>329</v>
      </c>
      <c r="G121" s="151" t="s">
        <v>617</v>
      </c>
      <c r="H121" s="151" t="s">
        <v>330</v>
      </c>
      <c r="I121" s="164" t="s">
        <v>630</v>
      </c>
      <c r="J121" s="164" t="s">
        <v>631</v>
      </c>
      <c r="K121" s="165">
        <v>8.2175925925925927E-4</v>
      </c>
      <c r="L121" s="151" t="s">
        <v>329</v>
      </c>
      <c r="M121" s="151" t="s">
        <v>617</v>
      </c>
      <c r="N121" s="151" t="s">
        <v>332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613</v>
      </c>
      <c r="B122" s="151" t="s">
        <v>614</v>
      </c>
      <c r="C122" s="164" t="s">
        <v>632</v>
      </c>
      <c r="D122" s="164" t="s">
        <v>633</v>
      </c>
      <c r="E122" s="165">
        <v>2.1759259259259258E-3</v>
      </c>
      <c r="F122" s="151" t="s">
        <v>329</v>
      </c>
      <c r="G122" s="151" t="s">
        <v>617</v>
      </c>
      <c r="H122" s="151" t="s">
        <v>330</v>
      </c>
      <c r="I122" s="164" t="s">
        <v>634</v>
      </c>
      <c r="J122" s="164" t="s">
        <v>635</v>
      </c>
      <c r="K122" s="165">
        <v>3.1250000000000001E-4</v>
      </c>
      <c r="L122" s="151" t="s">
        <v>329</v>
      </c>
      <c r="M122" s="151" t="s">
        <v>617</v>
      </c>
      <c r="N122" s="151" t="s">
        <v>332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>
      <c r="A123" s="151" t="s">
        <v>613</v>
      </c>
      <c r="B123" s="151" t="s">
        <v>614</v>
      </c>
      <c r="C123" s="164" t="s">
        <v>636</v>
      </c>
      <c r="D123" s="164" t="s">
        <v>637</v>
      </c>
      <c r="E123" s="165">
        <v>2.5115740740740741E-3</v>
      </c>
      <c r="F123" s="151" t="s">
        <v>329</v>
      </c>
      <c r="G123" s="151" t="s">
        <v>617</v>
      </c>
      <c r="H123" s="151" t="s">
        <v>330</v>
      </c>
      <c r="I123" s="164" t="s">
        <v>638</v>
      </c>
      <c r="J123" s="164" t="s">
        <v>639</v>
      </c>
      <c r="K123" s="165">
        <v>3.4722222222222222E-5</v>
      </c>
      <c r="L123" s="151" t="s">
        <v>329</v>
      </c>
      <c r="M123" s="151" t="s">
        <v>617</v>
      </c>
      <c r="N123" s="151" t="s">
        <v>332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613</v>
      </c>
      <c r="B124" s="151" t="s">
        <v>614</v>
      </c>
      <c r="C124" s="164" t="s">
        <v>640</v>
      </c>
      <c r="D124" s="164" t="s">
        <v>641</v>
      </c>
      <c r="E124" s="165">
        <v>2.5347222222222221E-3</v>
      </c>
      <c r="F124" s="151" t="s">
        <v>329</v>
      </c>
      <c r="G124" s="151" t="s">
        <v>617</v>
      </c>
      <c r="H124" s="151" t="s">
        <v>330</v>
      </c>
      <c r="I124" s="164" t="s">
        <v>642</v>
      </c>
      <c r="J124" s="164" t="s">
        <v>643</v>
      </c>
      <c r="K124" s="165">
        <v>3.0092592592592595E-4</v>
      </c>
      <c r="L124" s="151" t="s">
        <v>329</v>
      </c>
      <c r="M124" s="151" t="s">
        <v>617</v>
      </c>
      <c r="N124" s="151" t="s">
        <v>332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613</v>
      </c>
      <c r="B125" s="151" t="s">
        <v>614</v>
      </c>
      <c r="C125" s="164" t="s">
        <v>644</v>
      </c>
      <c r="D125" s="164" t="s">
        <v>645</v>
      </c>
      <c r="E125" s="165">
        <v>2.5115740740740741E-3</v>
      </c>
      <c r="F125" s="151" t="s">
        <v>329</v>
      </c>
      <c r="G125" s="151" t="s">
        <v>617</v>
      </c>
      <c r="H125" s="151" t="s">
        <v>330</v>
      </c>
      <c r="I125" s="164" t="s">
        <v>646</v>
      </c>
      <c r="J125" s="164" t="s">
        <v>647</v>
      </c>
      <c r="K125" s="165">
        <v>4.2824074074074075E-4</v>
      </c>
      <c r="L125" s="151" t="s">
        <v>329</v>
      </c>
      <c r="M125" s="151" t="s">
        <v>617</v>
      </c>
      <c r="N125" s="151" t="s">
        <v>332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613</v>
      </c>
      <c r="B126" s="151" t="s">
        <v>614</v>
      </c>
      <c r="C126" s="164" t="s">
        <v>648</v>
      </c>
      <c r="D126" s="164" t="s">
        <v>248</v>
      </c>
      <c r="E126" s="165">
        <v>2.0138888888888888E-3</v>
      </c>
      <c r="F126" s="151" t="s">
        <v>329</v>
      </c>
      <c r="G126" s="151" t="s">
        <v>617</v>
      </c>
      <c r="H126" s="151" t="s">
        <v>330</v>
      </c>
      <c r="I126" s="164" t="s">
        <v>649</v>
      </c>
      <c r="J126" s="164" t="s">
        <v>650</v>
      </c>
      <c r="K126" s="165">
        <v>2.199074074074074E-4</v>
      </c>
      <c r="L126" s="151" t="s">
        <v>329</v>
      </c>
      <c r="M126" s="151" t="s">
        <v>617</v>
      </c>
      <c r="N126" s="151" t="s">
        <v>332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613</v>
      </c>
      <c r="B127" s="151" t="s">
        <v>614</v>
      </c>
      <c r="C127" s="164" t="s">
        <v>651</v>
      </c>
      <c r="D127" s="164" t="s">
        <v>652</v>
      </c>
      <c r="E127" s="165">
        <v>1.7824074074074075E-3</v>
      </c>
      <c r="F127" s="151" t="s">
        <v>329</v>
      </c>
      <c r="G127" s="151" t="s">
        <v>617</v>
      </c>
      <c r="H127" s="151" t="s">
        <v>330</v>
      </c>
      <c r="I127" s="164" t="s">
        <v>653</v>
      </c>
      <c r="J127" s="164" t="s">
        <v>654</v>
      </c>
      <c r="K127" s="165">
        <v>2.8935185185185184E-4</v>
      </c>
      <c r="L127" s="151" t="s">
        <v>329</v>
      </c>
      <c r="M127" s="151" t="s">
        <v>617</v>
      </c>
      <c r="N127" s="151" t="s">
        <v>332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613</v>
      </c>
      <c r="B128" s="151" t="s">
        <v>614</v>
      </c>
      <c r="C128" s="164" t="s">
        <v>655</v>
      </c>
      <c r="D128" s="164" t="s">
        <v>656</v>
      </c>
      <c r="E128" s="165">
        <v>2.1412037037037038E-3</v>
      </c>
      <c r="F128" s="151" t="s">
        <v>329</v>
      </c>
      <c r="G128" s="151" t="s">
        <v>617</v>
      </c>
      <c r="H128" s="151" t="s">
        <v>330</v>
      </c>
      <c r="I128" s="164" t="s">
        <v>657</v>
      </c>
      <c r="J128" s="164" t="s">
        <v>658</v>
      </c>
      <c r="K128" s="165">
        <v>3.4722222222222224E-4</v>
      </c>
      <c r="L128" s="151" t="s">
        <v>329</v>
      </c>
      <c r="M128" s="151" t="s">
        <v>617</v>
      </c>
      <c r="N128" s="151" t="s">
        <v>332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613</v>
      </c>
      <c r="B129" s="151" t="s">
        <v>614</v>
      </c>
      <c r="C129" s="164" t="s">
        <v>659</v>
      </c>
      <c r="D129" s="164" t="s">
        <v>522</v>
      </c>
      <c r="E129" s="165">
        <v>1.7592592592592592E-3</v>
      </c>
      <c r="F129" s="151" t="s">
        <v>329</v>
      </c>
      <c r="G129" s="151" t="s">
        <v>617</v>
      </c>
      <c r="H129" s="151" t="s">
        <v>330</v>
      </c>
      <c r="I129" s="164" t="s">
        <v>660</v>
      </c>
      <c r="J129" s="164" t="s">
        <v>661</v>
      </c>
      <c r="K129" s="165">
        <v>3.0092592592592595E-4</v>
      </c>
      <c r="L129" s="151" t="s">
        <v>329</v>
      </c>
      <c r="M129" s="151" t="s">
        <v>617</v>
      </c>
      <c r="N129" s="151" t="s">
        <v>332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613</v>
      </c>
      <c r="B130" s="151" t="s">
        <v>614</v>
      </c>
      <c r="C130" s="164" t="s">
        <v>662</v>
      </c>
      <c r="D130" s="164" t="s">
        <v>663</v>
      </c>
      <c r="E130" s="165">
        <v>1.7708333333333332E-3</v>
      </c>
      <c r="F130" s="151" t="s">
        <v>329</v>
      </c>
      <c r="G130" s="151" t="s">
        <v>617</v>
      </c>
      <c r="H130" s="151" t="s">
        <v>330</v>
      </c>
      <c r="I130" s="164" t="s">
        <v>664</v>
      </c>
      <c r="J130" s="164" t="s">
        <v>665</v>
      </c>
      <c r="K130" s="165">
        <v>3.0092592592592595E-4</v>
      </c>
      <c r="L130" s="151" t="s">
        <v>329</v>
      </c>
      <c r="M130" s="151" t="s">
        <v>617</v>
      </c>
      <c r="N130" s="151" t="s">
        <v>332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613</v>
      </c>
      <c r="B131" s="151" t="s">
        <v>614</v>
      </c>
      <c r="C131" s="164" t="s">
        <v>666</v>
      </c>
      <c r="D131" s="164" t="s">
        <v>667</v>
      </c>
      <c r="E131" s="165">
        <v>1.8402777777777777E-3</v>
      </c>
      <c r="F131" s="151" t="s">
        <v>329</v>
      </c>
      <c r="G131" s="151" t="s">
        <v>617</v>
      </c>
      <c r="H131" s="151" t="s">
        <v>330</v>
      </c>
      <c r="I131" s="164" t="s">
        <v>668</v>
      </c>
      <c r="J131" s="164" t="s">
        <v>669</v>
      </c>
      <c r="K131" s="165">
        <v>3.8194444444444446E-4</v>
      </c>
      <c r="L131" s="151" t="s">
        <v>329</v>
      </c>
      <c r="M131" s="151" t="s">
        <v>617</v>
      </c>
      <c r="N131" s="151" t="s">
        <v>332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613</v>
      </c>
      <c r="B132" s="151" t="s">
        <v>614</v>
      </c>
      <c r="C132" s="164" t="s">
        <v>670</v>
      </c>
      <c r="D132" s="164" t="s">
        <v>671</v>
      </c>
      <c r="E132" s="165">
        <v>2.0949074074074073E-3</v>
      </c>
      <c r="F132" s="151" t="s">
        <v>329</v>
      </c>
      <c r="G132" s="151" t="s">
        <v>617</v>
      </c>
      <c r="H132" s="151" t="s">
        <v>330</v>
      </c>
      <c r="I132" s="164" t="s">
        <v>672</v>
      </c>
      <c r="J132" s="164" t="s">
        <v>673</v>
      </c>
      <c r="K132" s="165">
        <v>3.2407407407407406E-4</v>
      </c>
      <c r="L132" s="151" t="s">
        <v>329</v>
      </c>
      <c r="M132" s="151" t="s">
        <v>617</v>
      </c>
      <c r="N132" s="151" t="s">
        <v>332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613</v>
      </c>
      <c r="B133" s="151" t="s">
        <v>614</v>
      </c>
      <c r="C133" s="164" t="s">
        <v>674</v>
      </c>
      <c r="D133" s="164" t="s">
        <v>675</v>
      </c>
      <c r="E133" s="165">
        <v>1.9212962962962964E-3</v>
      </c>
      <c r="F133" s="151" t="s">
        <v>329</v>
      </c>
      <c r="G133" s="151" t="s">
        <v>617</v>
      </c>
      <c r="H133" s="151" t="s">
        <v>330</v>
      </c>
      <c r="I133" s="164" t="s">
        <v>676</v>
      </c>
      <c r="J133" s="164" t="s">
        <v>677</v>
      </c>
      <c r="K133" s="165">
        <v>4.0509259259259258E-4</v>
      </c>
      <c r="L133" s="151" t="s">
        <v>329</v>
      </c>
      <c r="M133" s="151" t="s">
        <v>617</v>
      </c>
      <c r="N133" s="151" t="s">
        <v>332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613</v>
      </c>
      <c r="B134" s="151" t="s">
        <v>614</v>
      </c>
      <c r="C134" s="164" t="s">
        <v>678</v>
      </c>
      <c r="D134" s="164" t="s">
        <v>679</v>
      </c>
      <c r="E134" s="165">
        <v>1.8981481481481482E-3</v>
      </c>
      <c r="F134" s="151" t="s">
        <v>329</v>
      </c>
      <c r="G134" s="151" t="s">
        <v>617</v>
      </c>
      <c r="H134" s="151" t="s">
        <v>330</v>
      </c>
      <c r="I134" s="164" t="s">
        <v>680</v>
      </c>
      <c r="J134" s="164" t="s">
        <v>681</v>
      </c>
      <c r="K134" s="165">
        <v>3.5879629629629629E-4</v>
      </c>
      <c r="L134" s="151" t="s">
        <v>329</v>
      </c>
      <c r="M134" s="151" t="s">
        <v>617</v>
      </c>
      <c r="N134" s="151" t="s">
        <v>332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613</v>
      </c>
      <c r="B135" s="151" t="s">
        <v>614</v>
      </c>
      <c r="C135" s="164" t="s">
        <v>682</v>
      </c>
      <c r="D135" s="164" t="s">
        <v>683</v>
      </c>
      <c r="E135" s="165">
        <v>1.8287037037037037E-3</v>
      </c>
      <c r="F135" s="151" t="s">
        <v>329</v>
      </c>
      <c r="G135" s="151" t="s">
        <v>617</v>
      </c>
      <c r="H135" s="151" t="s">
        <v>330</v>
      </c>
      <c r="I135" s="164" t="s">
        <v>684</v>
      </c>
      <c r="J135" s="164" t="s">
        <v>685</v>
      </c>
      <c r="K135" s="165">
        <v>3.2407407407407406E-4</v>
      </c>
      <c r="L135" s="151" t="s">
        <v>329</v>
      </c>
      <c r="M135" s="151" t="s">
        <v>617</v>
      </c>
      <c r="N135" s="151" t="s">
        <v>332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613</v>
      </c>
      <c r="B136" s="151" t="s">
        <v>614</v>
      </c>
      <c r="C136" s="164" t="s">
        <v>686</v>
      </c>
      <c r="D136" s="164" t="s">
        <v>687</v>
      </c>
      <c r="E136" s="165">
        <v>1.9097222222222222E-3</v>
      </c>
      <c r="F136" s="151" t="s">
        <v>329</v>
      </c>
      <c r="G136" s="151" t="s">
        <v>617</v>
      </c>
      <c r="H136" s="151" t="s">
        <v>330</v>
      </c>
      <c r="I136" s="164" t="s">
        <v>688</v>
      </c>
      <c r="J136" s="164" t="s">
        <v>689</v>
      </c>
      <c r="K136" s="165">
        <v>4.0509259259259258E-4</v>
      </c>
      <c r="L136" s="151" t="s">
        <v>329</v>
      </c>
      <c r="M136" s="151" t="s">
        <v>617</v>
      </c>
      <c r="N136" s="151" t="s">
        <v>332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613</v>
      </c>
      <c r="B137" s="151" t="s">
        <v>614</v>
      </c>
      <c r="C137" s="164" t="s">
        <v>690</v>
      </c>
      <c r="D137" s="164" t="s">
        <v>691</v>
      </c>
      <c r="E137" s="165">
        <v>1.7824074074074075E-3</v>
      </c>
      <c r="F137" s="151" t="s">
        <v>329</v>
      </c>
      <c r="G137" s="151" t="s">
        <v>617</v>
      </c>
      <c r="H137" s="151" t="s">
        <v>330</v>
      </c>
      <c r="I137" s="164" t="s">
        <v>692</v>
      </c>
      <c r="J137" s="164" t="s">
        <v>693</v>
      </c>
      <c r="K137" s="165">
        <v>3.5879629629629629E-4</v>
      </c>
      <c r="L137" s="151" t="s">
        <v>329</v>
      </c>
      <c r="M137" s="151" t="s">
        <v>617</v>
      </c>
      <c r="N137" s="151" t="s">
        <v>332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613</v>
      </c>
      <c r="B138" s="151" t="s">
        <v>614</v>
      </c>
      <c r="C138" s="164" t="s">
        <v>694</v>
      </c>
      <c r="D138" s="164" t="s">
        <v>695</v>
      </c>
      <c r="E138" s="165">
        <v>1.5046296296296296E-3</v>
      </c>
      <c r="F138" s="151" t="s">
        <v>329</v>
      </c>
      <c r="G138" s="151" t="s">
        <v>617</v>
      </c>
      <c r="H138" s="151" t="s">
        <v>330</v>
      </c>
      <c r="I138" s="164" t="s">
        <v>407</v>
      </c>
      <c r="J138" s="164" t="s">
        <v>696</v>
      </c>
      <c r="K138" s="165">
        <v>4.2824074074074075E-4</v>
      </c>
      <c r="L138" s="151" t="s">
        <v>329</v>
      </c>
      <c r="M138" s="151" t="s">
        <v>617</v>
      </c>
      <c r="N138" s="151" t="s">
        <v>332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613</v>
      </c>
      <c r="B139" s="151" t="s">
        <v>614</v>
      </c>
      <c r="C139" s="164" t="s">
        <v>697</v>
      </c>
      <c r="D139" s="164" t="s">
        <v>698</v>
      </c>
      <c r="E139" s="165">
        <v>1.2731481481481483E-3</v>
      </c>
      <c r="F139" s="151" t="s">
        <v>329</v>
      </c>
      <c r="G139" s="151" t="s">
        <v>617</v>
      </c>
      <c r="H139" s="151" t="s">
        <v>330</v>
      </c>
      <c r="I139" s="164" t="s">
        <v>699</v>
      </c>
      <c r="J139" s="164" t="s">
        <v>700</v>
      </c>
      <c r="K139" s="165">
        <v>4.7453703703703704E-4</v>
      </c>
      <c r="L139" s="151" t="s">
        <v>329</v>
      </c>
      <c r="M139" s="151" t="s">
        <v>617</v>
      </c>
      <c r="N139" s="151" t="s">
        <v>332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613</v>
      </c>
      <c r="B140" s="151" t="s">
        <v>614</v>
      </c>
      <c r="C140" s="164" t="s">
        <v>701</v>
      </c>
      <c r="D140" s="164" t="s">
        <v>702</v>
      </c>
      <c r="E140" s="165">
        <v>2.0023148148148148E-3</v>
      </c>
      <c r="F140" s="151" t="s">
        <v>329</v>
      </c>
      <c r="G140" s="151" t="s">
        <v>617</v>
      </c>
      <c r="H140" s="151" t="s">
        <v>330</v>
      </c>
      <c r="I140" s="164" t="s">
        <v>415</v>
      </c>
      <c r="J140" s="164" t="s">
        <v>703</v>
      </c>
      <c r="K140" s="165">
        <v>6.4814814814814813E-4</v>
      </c>
      <c r="L140" s="151" t="s">
        <v>329</v>
      </c>
      <c r="M140" s="151" t="s">
        <v>617</v>
      </c>
      <c r="N140" s="151" t="s">
        <v>332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613</v>
      </c>
      <c r="B141" s="151" t="s">
        <v>614</v>
      </c>
      <c r="C141" s="164" t="s">
        <v>704</v>
      </c>
      <c r="D141" s="164" t="s">
        <v>705</v>
      </c>
      <c r="E141" s="165">
        <v>2.5810185185185185E-3</v>
      </c>
      <c r="F141" s="151" t="s">
        <v>329</v>
      </c>
      <c r="G141" s="151" t="s">
        <v>617</v>
      </c>
      <c r="H141" s="151" t="s">
        <v>330</v>
      </c>
      <c r="I141" s="164" t="s">
        <v>706</v>
      </c>
      <c r="J141" s="164" t="s">
        <v>707</v>
      </c>
      <c r="K141" s="165">
        <v>2.7777777777777778E-4</v>
      </c>
      <c r="L141" s="151" t="s">
        <v>329</v>
      </c>
      <c r="M141" s="151" t="s">
        <v>617</v>
      </c>
      <c r="N141" s="151" t="s">
        <v>332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613</v>
      </c>
      <c r="B142" s="151" t="s">
        <v>614</v>
      </c>
      <c r="C142" s="164" t="s">
        <v>708</v>
      </c>
      <c r="D142" s="164" t="s">
        <v>709</v>
      </c>
      <c r="E142" s="165">
        <v>2.2800925925925927E-3</v>
      </c>
      <c r="F142" s="151" t="s">
        <v>329</v>
      </c>
      <c r="G142" s="151" t="s">
        <v>617</v>
      </c>
      <c r="H142" s="151" t="s">
        <v>330</v>
      </c>
      <c r="I142" s="164" t="s">
        <v>710</v>
      </c>
      <c r="J142" s="164" t="s">
        <v>711</v>
      </c>
      <c r="K142" s="165">
        <v>2.8935185185185184E-4</v>
      </c>
      <c r="L142" s="151" t="s">
        <v>329</v>
      </c>
      <c r="M142" s="151" t="s">
        <v>617</v>
      </c>
      <c r="N142" s="151" t="s">
        <v>332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613</v>
      </c>
      <c r="B143" s="151" t="s">
        <v>614</v>
      </c>
      <c r="C143" s="164" t="s">
        <v>712</v>
      </c>
      <c r="D143" s="164" t="s">
        <v>713</v>
      </c>
      <c r="E143" s="165">
        <v>2.627314814814815E-3</v>
      </c>
      <c r="F143" s="151" t="s">
        <v>329</v>
      </c>
      <c r="G143" s="151" t="s">
        <v>617</v>
      </c>
      <c r="H143" s="151" t="s">
        <v>330</v>
      </c>
      <c r="I143" s="164" t="s">
        <v>714</v>
      </c>
      <c r="J143" s="164" t="s">
        <v>715</v>
      </c>
      <c r="K143" s="165">
        <v>4.6296296296296298E-4</v>
      </c>
      <c r="L143" s="151" t="s">
        <v>329</v>
      </c>
      <c r="M143" s="151" t="s">
        <v>617</v>
      </c>
      <c r="N143" s="151" t="s">
        <v>332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613</v>
      </c>
      <c r="B144" s="151" t="s">
        <v>614</v>
      </c>
      <c r="C144" s="164" t="s">
        <v>716</v>
      </c>
      <c r="D144" s="164" t="s">
        <v>717</v>
      </c>
      <c r="E144" s="165">
        <v>2.5115740740740741E-3</v>
      </c>
      <c r="F144" s="151" t="s">
        <v>329</v>
      </c>
      <c r="G144" s="151" t="s">
        <v>617</v>
      </c>
      <c r="H144" s="151" t="s">
        <v>330</v>
      </c>
      <c r="I144" s="164" t="s">
        <v>718</v>
      </c>
      <c r="J144" s="164" t="s">
        <v>719</v>
      </c>
      <c r="K144" s="165">
        <v>2.8935185185185184E-4</v>
      </c>
      <c r="L144" s="151" t="s">
        <v>329</v>
      </c>
      <c r="M144" s="151" t="s">
        <v>617</v>
      </c>
      <c r="N144" s="151" t="s">
        <v>332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613</v>
      </c>
      <c r="B145" s="151" t="s">
        <v>614</v>
      </c>
      <c r="C145" s="164" t="s">
        <v>720</v>
      </c>
      <c r="D145" s="164" t="s">
        <v>721</v>
      </c>
      <c r="E145" s="165">
        <v>1.9212962962962964E-3</v>
      </c>
      <c r="F145" s="151" t="s">
        <v>329</v>
      </c>
      <c r="G145" s="151" t="s">
        <v>617</v>
      </c>
      <c r="H145" s="151" t="s">
        <v>330</v>
      </c>
      <c r="I145" s="164" t="s">
        <v>722</v>
      </c>
      <c r="J145" s="164" t="s">
        <v>723</v>
      </c>
      <c r="K145" s="165">
        <v>2.6620370370370372E-4</v>
      </c>
      <c r="L145" s="151" t="s">
        <v>329</v>
      </c>
      <c r="M145" s="151" t="s">
        <v>617</v>
      </c>
      <c r="N145" s="151" t="s">
        <v>332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613</v>
      </c>
      <c r="B146" s="151" t="s">
        <v>614</v>
      </c>
      <c r="C146" s="164" t="s">
        <v>724</v>
      </c>
      <c r="D146" s="164" t="s">
        <v>725</v>
      </c>
      <c r="E146" s="165">
        <v>1.7939814814814815E-3</v>
      </c>
      <c r="F146" s="151" t="s">
        <v>329</v>
      </c>
      <c r="G146" s="151" t="s">
        <v>617</v>
      </c>
      <c r="H146" s="151" t="s">
        <v>330</v>
      </c>
      <c r="I146" s="164" t="s">
        <v>726</v>
      </c>
      <c r="J146" s="164" t="s">
        <v>727</v>
      </c>
      <c r="K146" s="165">
        <v>2.8935185185185184E-4</v>
      </c>
      <c r="L146" s="151" t="s">
        <v>329</v>
      </c>
      <c r="M146" s="151" t="s">
        <v>617</v>
      </c>
      <c r="N146" s="151" t="s">
        <v>332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613</v>
      </c>
      <c r="B147" s="151" t="s">
        <v>614</v>
      </c>
      <c r="C147" s="164" t="s">
        <v>728</v>
      </c>
      <c r="D147" s="164" t="s">
        <v>729</v>
      </c>
      <c r="E147" s="165">
        <v>2.1875000000000002E-3</v>
      </c>
      <c r="F147" s="151" t="s">
        <v>329</v>
      </c>
      <c r="G147" s="151" t="s">
        <v>617</v>
      </c>
      <c r="H147" s="151" t="s">
        <v>330</v>
      </c>
      <c r="I147" s="164" t="s">
        <v>730</v>
      </c>
      <c r="J147" s="164" t="s">
        <v>731</v>
      </c>
      <c r="K147" s="165">
        <v>2.6620370370370372E-4</v>
      </c>
      <c r="L147" s="151" t="s">
        <v>329</v>
      </c>
      <c r="M147" s="151" t="s">
        <v>617</v>
      </c>
      <c r="N147" s="151" t="s">
        <v>332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613</v>
      </c>
      <c r="B148" s="151" t="s">
        <v>614</v>
      </c>
      <c r="C148" s="164" t="s">
        <v>732</v>
      </c>
      <c r="D148" s="164" t="s">
        <v>733</v>
      </c>
      <c r="E148" s="165">
        <v>3.1018518518518517E-3</v>
      </c>
      <c r="F148" s="151" t="s">
        <v>329</v>
      </c>
      <c r="G148" s="151" t="s">
        <v>617</v>
      </c>
      <c r="H148" s="151" t="s">
        <v>330</v>
      </c>
      <c r="I148" s="164" t="s">
        <v>734</v>
      </c>
      <c r="J148" s="164" t="s">
        <v>735</v>
      </c>
      <c r="K148" s="165">
        <v>2.7777777777777778E-4</v>
      </c>
      <c r="L148" s="151" t="s">
        <v>329</v>
      </c>
      <c r="M148" s="151" t="s">
        <v>617</v>
      </c>
      <c r="N148" s="151" t="s">
        <v>332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613</v>
      </c>
      <c r="B149" s="151" t="s">
        <v>614</v>
      </c>
      <c r="C149" s="164" t="s">
        <v>736</v>
      </c>
      <c r="D149" s="164" t="s">
        <v>737</v>
      </c>
      <c r="E149" s="165">
        <v>2.0023148148148148E-3</v>
      </c>
      <c r="F149" s="151" t="s">
        <v>329</v>
      </c>
      <c r="G149" s="151" t="s">
        <v>617</v>
      </c>
      <c r="H149" s="151" t="s">
        <v>330</v>
      </c>
      <c r="I149" s="164" t="s">
        <v>738</v>
      </c>
      <c r="J149" s="164" t="s">
        <v>739</v>
      </c>
      <c r="K149" s="165">
        <v>2.6620370370370372E-4</v>
      </c>
      <c r="L149" s="151" t="s">
        <v>329</v>
      </c>
      <c r="M149" s="151" t="s">
        <v>617</v>
      </c>
      <c r="N149" s="151" t="s">
        <v>332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613</v>
      </c>
      <c r="B150" s="151" t="s">
        <v>614</v>
      </c>
      <c r="C150" s="164" t="s">
        <v>740</v>
      </c>
      <c r="D150" s="164" t="s">
        <v>741</v>
      </c>
      <c r="E150" s="165">
        <v>2.1064814814814813E-3</v>
      </c>
      <c r="F150" s="151" t="s">
        <v>329</v>
      </c>
      <c r="G150" s="151" t="s">
        <v>617</v>
      </c>
      <c r="H150" s="151" t="s">
        <v>330</v>
      </c>
      <c r="I150" s="164" t="s">
        <v>742</v>
      </c>
      <c r="J150" s="164" t="s">
        <v>743</v>
      </c>
      <c r="K150" s="165">
        <v>2.7777777777777778E-4</v>
      </c>
      <c r="L150" s="151" t="s">
        <v>329</v>
      </c>
      <c r="M150" s="151" t="s">
        <v>617</v>
      </c>
      <c r="N150" s="151" t="s">
        <v>332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613</v>
      </c>
      <c r="B151" s="151" t="s">
        <v>614</v>
      </c>
      <c r="C151" s="164" t="s">
        <v>744</v>
      </c>
      <c r="D151" s="164" t="s">
        <v>745</v>
      </c>
      <c r="E151" s="165">
        <v>1.7592592592592592E-3</v>
      </c>
      <c r="F151" s="151" t="s">
        <v>329</v>
      </c>
      <c r="G151" s="151" t="s">
        <v>617</v>
      </c>
      <c r="H151" s="151" t="s">
        <v>330</v>
      </c>
      <c r="I151" s="164" t="s">
        <v>746</v>
      </c>
      <c r="J151" s="164" t="s">
        <v>747</v>
      </c>
      <c r="K151" s="165">
        <v>3.0092592592592595E-4</v>
      </c>
      <c r="L151" s="151" t="s">
        <v>329</v>
      </c>
      <c r="M151" s="151" t="s">
        <v>617</v>
      </c>
      <c r="N151" s="151" t="s">
        <v>332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613</v>
      </c>
      <c r="B152" s="151" t="s">
        <v>614</v>
      </c>
      <c r="C152" s="164" t="s">
        <v>748</v>
      </c>
      <c r="D152" s="164" t="s">
        <v>749</v>
      </c>
      <c r="E152" s="165">
        <v>2.5810185185185185E-3</v>
      </c>
      <c r="F152" s="151" t="s">
        <v>329</v>
      </c>
      <c r="G152" s="151" t="s">
        <v>617</v>
      </c>
      <c r="H152" s="151" t="s">
        <v>330</v>
      </c>
      <c r="I152" s="164" t="s">
        <v>750</v>
      </c>
      <c r="J152" s="164" t="s">
        <v>751</v>
      </c>
      <c r="K152" s="165">
        <v>2.8935185185185184E-4</v>
      </c>
      <c r="L152" s="151" t="s">
        <v>329</v>
      </c>
      <c r="M152" s="151" t="s">
        <v>617</v>
      </c>
      <c r="N152" s="151" t="s">
        <v>332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613</v>
      </c>
      <c r="B153" s="151" t="s">
        <v>614</v>
      </c>
      <c r="C153" s="164" t="s">
        <v>752</v>
      </c>
      <c r="D153" s="164" t="s">
        <v>753</v>
      </c>
      <c r="E153" s="165">
        <v>2.3379629629629631E-3</v>
      </c>
      <c r="F153" s="151" t="s">
        <v>329</v>
      </c>
      <c r="G153" s="151" t="s">
        <v>617</v>
      </c>
      <c r="H153" s="151" t="s">
        <v>330</v>
      </c>
      <c r="I153" s="164" t="s">
        <v>754</v>
      </c>
      <c r="J153" s="164" t="s">
        <v>755</v>
      </c>
      <c r="K153" s="165">
        <v>2.8935185185185184E-4</v>
      </c>
      <c r="L153" s="151" t="s">
        <v>329</v>
      </c>
      <c r="M153" s="151" t="s">
        <v>617</v>
      </c>
      <c r="N153" s="151" t="s">
        <v>332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613</v>
      </c>
      <c r="B154" s="151" t="s">
        <v>614</v>
      </c>
      <c r="C154" s="164" t="s">
        <v>756</v>
      </c>
      <c r="D154" s="164" t="s">
        <v>757</v>
      </c>
      <c r="E154" s="165">
        <v>1.1342592592592593E-3</v>
      </c>
      <c r="F154" s="151" t="s">
        <v>329</v>
      </c>
      <c r="G154" s="151" t="s">
        <v>617</v>
      </c>
      <c r="H154" s="151" t="s">
        <v>330</v>
      </c>
      <c r="I154" s="164" t="s">
        <v>758</v>
      </c>
      <c r="J154" s="164" t="s">
        <v>759</v>
      </c>
      <c r="K154" s="165">
        <v>2.7777777777777778E-4</v>
      </c>
      <c r="L154" s="151" t="s">
        <v>329</v>
      </c>
      <c r="M154" s="151" t="s">
        <v>617</v>
      </c>
      <c r="N154" s="151" t="s">
        <v>332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613</v>
      </c>
      <c r="B155" s="151" t="s">
        <v>614</v>
      </c>
      <c r="C155" s="164" t="s">
        <v>760</v>
      </c>
      <c r="D155" s="164" t="s">
        <v>761</v>
      </c>
      <c r="E155" s="165">
        <v>2.1412037037037038E-3</v>
      </c>
      <c r="F155" s="151" t="s">
        <v>329</v>
      </c>
      <c r="G155" s="151" t="s">
        <v>617</v>
      </c>
      <c r="H155" s="151" t="s">
        <v>330</v>
      </c>
      <c r="I155" s="164" t="s">
        <v>762</v>
      </c>
      <c r="J155" s="164" t="s">
        <v>763</v>
      </c>
      <c r="K155" s="165">
        <v>3.0092592592592595E-4</v>
      </c>
      <c r="L155" s="151" t="s">
        <v>329</v>
      </c>
      <c r="M155" s="151" t="s">
        <v>617</v>
      </c>
      <c r="N155" s="151" t="s">
        <v>332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613</v>
      </c>
      <c r="B156" s="151" t="s">
        <v>614</v>
      </c>
      <c r="C156" s="164" t="s">
        <v>764</v>
      </c>
      <c r="D156" s="164" t="s">
        <v>765</v>
      </c>
      <c r="E156" s="165">
        <v>1.9560185185185184E-3</v>
      </c>
      <c r="F156" s="151" t="s">
        <v>329</v>
      </c>
      <c r="G156" s="151" t="s">
        <v>617</v>
      </c>
      <c r="H156" s="151" t="s">
        <v>330</v>
      </c>
      <c r="I156" s="164" t="s">
        <v>766</v>
      </c>
      <c r="J156" s="164" t="s">
        <v>767</v>
      </c>
      <c r="K156" s="165">
        <v>2.8935185185185184E-4</v>
      </c>
      <c r="L156" s="151" t="s">
        <v>329</v>
      </c>
      <c r="M156" s="151" t="s">
        <v>617</v>
      </c>
      <c r="N156" s="151" t="s">
        <v>332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613</v>
      </c>
      <c r="B157" s="151" t="s">
        <v>614</v>
      </c>
      <c r="C157" s="164" t="s">
        <v>768</v>
      </c>
      <c r="D157" s="164" t="s">
        <v>769</v>
      </c>
      <c r="E157" s="165">
        <v>2.0138888888888888E-3</v>
      </c>
      <c r="F157" s="151" t="s">
        <v>329</v>
      </c>
      <c r="G157" s="151" t="s">
        <v>617</v>
      </c>
      <c r="H157" s="151" t="s">
        <v>330</v>
      </c>
      <c r="I157" s="164" t="s">
        <v>770</v>
      </c>
      <c r="J157" s="164" t="s">
        <v>771</v>
      </c>
      <c r="K157" s="165">
        <v>4.0509259259259258E-4</v>
      </c>
      <c r="L157" s="151" t="s">
        <v>329</v>
      </c>
      <c r="M157" s="151" t="s">
        <v>617</v>
      </c>
      <c r="N157" s="151" t="s">
        <v>332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613</v>
      </c>
      <c r="B158" s="151" t="s">
        <v>614</v>
      </c>
      <c r="C158" s="164" t="s">
        <v>772</v>
      </c>
      <c r="D158" s="164" t="s">
        <v>773</v>
      </c>
      <c r="E158" s="165">
        <v>2.1064814814814813E-3</v>
      </c>
      <c r="F158" s="151" t="s">
        <v>329</v>
      </c>
      <c r="G158" s="151" t="s">
        <v>617</v>
      </c>
      <c r="H158" s="151" t="s">
        <v>330</v>
      </c>
      <c r="I158" s="164" t="s">
        <v>774</v>
      </c>
      <c r="J158" s="164" t="s">
        <v>775</v>
      </c>
      <c r="K158" s="165">
        <v>3.0092592592592595E-4</v>
      </c>
      <c r="L158" s="151" t="s">
        <v>329</v>
      </c>
      <c r="M158" s="151" t="s">
        <v>617</v>
      </c>
      <c r="N158" s="151" t="s">
        <v>332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613</v>
      </c>
      <c r="B159" s="151" t="s">
        <v>614</v>
      </c>
      <c r="C159" s="164" t="s">
        <v>776</v>
      </c>
      <c r="D159" s="164" t="s">
        <v>777</v>
      </c>
      <c r="E159" s="165">
        <v>2.627314814814815E-3</v>
      </c>
      <c r="F159" s="151" t="s">
        <v>329</v>
      </c>
      <c r="G159" s="151" t="s">
        <v>617</v>
      </c>
      <c r="H159" s="151" t="s">
        <v>330</v>
      </c>
      <c r="I159" s="164" t="s">
        <v>778</v>
      </c>
      <c r="J159" s="164" t="s">
        <v>779</v>
      </c>
      <c r="K159" s="165">
        <v>2.6620370370370372E-4</v>
      </c>
      <c r="L159" s="151" t="s">
        <v>329</v>
      </c>
      <c r="M159" s="151" t="s">
        <v>617</v>
      </c>
      <c r="N159" s="151" t="s">
        <v>332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613</v>
      </c>
      <c r="B160" s="151" t="s">
        <v>614</v>
      </c>
      <c r="C160" s="164" t="s">
        <v>780</v>
      </c>
      <c r="D160" s="164" t="s">
        <v>781</v>
      </c>
      <c r="E160" s="165">
        <v>2.0949074074074073E-3</v>
      </c>
      <c r="F160" s="151" t="s">
        <v>329</v>
      </c>
      <c r="G160" s="151" t="s">
        <v>617</v>
      </c>
      <c r="H160" s="151" t="s">
        <v>330</v>
      </c>
      <c r="I160" s="164" t="s">
        <v>782</v>
      </c>
      <c r="J160" s="164" t="s">
        <v>783</v>
      </c>
      <c r="K160" s="165">
        <v>3.5879629629629629E-4</v>
      </c>
      <c r="L160" s="151" t="s">
        <v>329</v>
      </c>
      <c r="M160" s="151" t="s">
        <v>617</v>
      </c>
      <c r="N160" s="151" t="s">
        <v>332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613</v>
      </c>
      <c r="B161" s="151" t="s">
        <v>614</v>
      </c>
      <c r="C161" s="164" t="s">
        <v>784</v>
      </c>
      <c r="D161" s="164" t="s">
        <v>785</v>
      </c>
      <c r="E161" s="165">
        <v>2.5231481481481481E-3</v>
      </c>
      <c r="F161" s="151" t="s">
        <v>329</v>
      </c>
      <c r="G161" s="151" t="s">
        <v>617</v>
      </c>
      <c r="H161" s="151" t="s">
        <v>330</v>
      </c>
      <c r="I161" s="164" t="s">
        <v>786</v>
      </c>
      <c r="J161" s="164" t="s">
        <v>787</v>
      </c>
      <c r="K161" s="165">
        <v>2.6620370370370372E-4</v>
      </c>
      <c r="L161" s="151" t="s">
        <v>329</v>
      </c>
      <c r="M161" s="151" t="s">
        <v>617</v>
      </c>
      <c r="N161" s="151" t="s">
        <v>332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613</v>
      </c>
      <c r="B162" s="151" t="s">
        <v>614</v>
      </c>
      <c r="C162" s="164" t="s">
        <v>788</v>
      </c>
      <c r="D162" s="164" t="s">
        <v>789</v>
      </c>
      <c r="E162" s="165">
        <v>2.0486111111111113E-3</v>
      </c>
      <c r="F162" s="151" t="s">
        <v>329</v>
      </c>
      <c r="G162" s="151" t="s">
        <v>617</v>
      </c>
      <c r="H162" s="151" t="s">
        <v>330</v>
      </c>
      <c r="I162" s="164" t="s">
        <v>790</v>
      </c>
      <c r="J162" s="164" t="s">
        <v>791</v>
      </c>
      <c r="K162" s="165">
        <v>3.1250000000000001E-4</v>
      </c>
      <c r="L162" s="151" t="s">
        <v>329</v>
      </c>
      <c r="M162" s="151" t="s">
        <v>617</v>
      </c>
      <c r="N162" s="151" t="s">
        <v>332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613</v>
      </c>
      <c r="B163" s="151" t="s">
        <v>614</v>
      </c>
      <c r="C163" s="164" t="s">
        <v>792</v>
      </c>
      <c r="D163" s="164" t="s">
        <v>793</v>
      </c>
      <c r="E163" s="165">
        <v>1.6203703703703703E-3</v>
      </c>
      <c r="F163" s="151" t="s">
        <v>329</v>
      </c>
      <c r="G163" s="151" t="s">
        <v>617</v>
      </c>
      <c r="H163" s="151" t="s">
        <v>330</v>
      </c>
      <c r="I163" s="164" t="s">
        <v>794</v>
      </c>
      <c r="J163" s="164" t="s">
        <v>795</v>
      </c>
      <c r="K163" s="165">
        <v>2.7777777777777778E-4</v>
      </c>
      <c r="L163" s="151" t="s">
        <v>329</v>
      </c>
      <c r="M163" s="151" t="s">
        <v>617</v>
      </c>
      <c r="N163" s="151" t="s">
        <v>332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613</v>
      </c>
      <c r="B164" s="151" t="s">
        <v>614</v>
      </c>
      <c r="C164" s="164" t="s">
        <v>796</v>
      </c>
      <c r="D164" s="164" t="s">
        <v>797</v>
      </c>
      <c r="E164" s="165">
        <v>2.0138888888888888E-3</v>
      </c>
      <c r="F164" s="151" t="s">
        <v>329</v>
      </c>
      <c r="G164" s="151" t="s">
        <v>617</v>
      </c>
      <c r="H164" s="151" t="s">
        <v>330</v>
      </c>
      <c r="I164" s="164" t="s">
        <v>798</v>
      </c>
      <c r="J164" s="164" t="s">
        <v>799</v>
      </c>
      <c r="K164" s="165">
        <v>5.9027777777777778E-4</v>
      </c>
      <c r="L164" s="151" t="s">
        <v>329</v>
      </c>
      <c r="M164" s="151" t="s">
        <v>617</v>
      </c>
      <c r="N164" s="151" t="s">
        <v>332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613</v>
      </c>
      <c r="B165" s="151" t="s">
        <v>614</v>
      </c>
      <c r="C165" s="164" t="s">
        <v>800</v>
      </c>
      <c r="D165" s="164" t="s">
        <v>801</v>
      </c>
      <c r="E165" s="165">
        <v>1.8634259259259259E-3</v>
      </c>
      <c r="F165" s="151" t="s">
        <v>329</v>
      </c>
      <c r="G165" s="151" t="s">
        <v>617</v>
      </c>
      <c r="H165" s="151" t="s">
        <v>330</v>
      </c>
      <c r="I165" s="164" t="s">
        <v>802</v>
      </c>
      <c r="J165" s="164" t="s">
        <v>803</v>
      </c>
      <c r="K165" s="165">
        <v>3.0092592592592595E-4</v>
      </c>
      <c r="L165" s="151" t="s">
        <v>329</v>
      </c>
      <c r="M165" s="151" t="s">
        <v>617</v>
      </c>
      <c r="N165" s="151" t="s">
        <v>332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613</v>
      </c>
      <c r="B166" s="151" t="s">
        <v>614</v>
      </c>
      <c r="C166" s="164" t="s">
        <v>804</v>
      </c>
      <c r="D166" s="164" t="s">
        <v>805</v>
      </c>
      <c r="E166" s="165">
        <v>2.0254629629629629E-3</v>
      </c>
      <c r="F166" s="151" t="s">
        <v>329</v>
      </c>
      <c r="G166" s="151" t="s">
        <v>617</v>
      </c>
      <c r="H166" s="151" t="s">
        <v>330</v>
      </c>
      <c r="I166" s="164" t="s">
        <v>806</v>
      </c>
      <c r="J166" s="164" t="s">
        <v>807</v>
      </c>
      <c r="K166" s="165">
        <v>3.2407407407407406E-4</v>
      </c>
      <c r="L166" s="151" t="s">
        <v>329</v>
      </c>
      <c r="M166" s="151" t="s">
        <v>617</v>
      </c>
      <c r="N166" s="151" t="s">
        <v>332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613</v>
      </c>
      <c r="B167" s="151" t="s">
        <v>614</v>
      </c>
      <c r="C167" s="164" t="s">
        <v>808</v>
      </c>
      <c r="D167" s="164" t="s">
        <v>809</v>
      </c>
      <c r="E167" s="165">
        <v>1.8865740740740742E-3</v>
      </c>
      <c r="F167" s="151" t="s">
        <v>329</v>
      </c>
      <c r="G167" s="151" t="s">
        <v>617</v>
      </c>
      <c r="H167" s="151" t="s">
        <v>330</v>
      </c>
      <c r="I167" s="164" t="s">
        <v>810</v>
      </c>
      <c r="J167" s="164" t="s">
        <v>811</v>
      </c>
      <c r="K167" s="165">
        <v>2.8935185185185184E-4</v>
      </c>
      <c r="L167" s="151" t="s">
        <v>329</v>
      </c>
      <c r="M167" s="151" t="s">
        <v>617</v>
      </c>
      <c r="N167" s="151" t="s">
        <v>332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812</v>
      </c>
      <c r="B168" s="151" t="s">
        <v>813</v>
      </c>
      <c r="C168" s="164" t="s">
        <v>814</v>
      </c>
      <c r="D168" s="164" t="s">
        <v>815</v>
      </c>
      <c r="E168" s="165">
        <v>2.5231481481481481E-3</v>
      </c>
      <c r="F168" s="151" t="s">
        <v>134</v>
      </c>
      <c r="H168" s="151" t="s">
        <v>561</v>
      </c>
      <c r="I168" s="164" t="s">
        <v>816</v>
      </c>
      <c r="J168" s="164" t="s">
        <v>817</v>
      </c>
      <c r="K168" s="165">
        <v>3.7037037037037035E-4</v>
      </c>
      <c r="L168" s="151" t="s">
        <v>818</v>
      </c>
      <c r="N168" s="151" t="s">
        <v>236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812</v>
      </c>
      <c r="B169" s="151" t="s">
        <v>813</v>
      </c>
      <c r="C169" s="164" t="s">
        <v>819</v>
      </c>
      <c r="D169" s="164" t="s">
        <v>820</v>
      </c>
      <c r="E169" s="165">
        <v>1.8749999999999999E-3</v>
      </c>
      <c r="F169" s="151" t="s">
        <v>134</v>
      </c>
      <c r="H169" s="151" t="s">
        <v>232</v>
      </c>
      <c r="I169" s="164" t="s">
        <v>821</v>
      </c>
      <c r="J169" s="164" t="s">
        <v>822</v>
      </c>
      <c r="K169" s="165">
        <v>4.6296296296296298E-4</v>
      </c>
      <c r="L169" s="151" t="s">
        <v>235</v>
      </c>
      <c r="N169" s="151" t="s">
        <v>236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812</v>
      </c>
      <c r="B170" s="151" t="s">
        <v>813</v>
      </c>
      <c r="C170" s="164" t="s">
        <v>823</v>
      </c>
      <c r="D170" s="164" t="s">
        <v>824</v>
      </c>
      <c r="E170" s="165">
        <v>3.4837962962962965E-3</v>
      </c>
      <c r="F170" s="151" t="s">
        <v>134</v>
      </c>
      <c r="H170" s="166" t="s">
        <v>43</v>
      </c>
      <c r="I170" s="164" t="s">
        <v>825</v>
      </c>
      <c r="J170" s="164" t="s">
        <v>826</v>
      </c>
      <c r="K170" s="165">
        <v>6.4814814814814813E-4</v>
      </c>
      <c r="L170" s="151" t="s">
        <v>245</v>
      </c>
      <c r="N170" s="151" t="s">
        <v>236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812</v>
      </c>
      <c r="B171" s="151" t="s">
        <v>813</v>
      </c>
      <c r="C171" s="164" t="s">
        <v>827</v>
      </c>
      <c r="D171" s="164" t="s">
        <v>828</v>
      </c>
      <c r="E171" s="165">
        <v>4.1435185185185186E-3</v>
      </c>
      <c r="F171" s="151" t="s">
        <v>134</v>
      </c>
      <c r="H171" s="166" t="s">
        <v>43</v>
      </c>
      <c r="I171" s="164" t="s">
        <v>829</v>
      </c>
      <c r="J171" s="164" t="s">
        <v>830</v>
      </c>
      <c r="K171" s="165">
        <v>5.2083333333333333E-4</v>
      </c>
      <c r="L171" s="151" t="s">
        <v>245</v>
      </c>
      <c r="N171" s="151" t="s">
        <v>236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812</v>
      </c>
      <c r="B172" s="151" t="s">
        <v>813</v>
      </c>
      <c r="C172" s="164" t="s">
        <v>831</v>
      </c>
      <c r="D172" s="164" t="s">
        <v>832</v>
      </c>
      <c r="E172" s="165">
        <v>6.4120370370370373E-3</v>
      </c>
      <c r="F172" s="151" t="s">
        <v>134</v>
      </c>
      <c r="H172" s="166" t="s">
        <v>43</v>
      </c>
      <c r="I172" s="164" t="s">
        <v>833</v>
      </c>
      <c r="J172" s="164" t="s">
        <v>834</v>
      </c>
      <c r="K172" s="165">
        <v>5.4398148148148144E-4</v>
      </c>
      <c r="L172" s="151" t="s">
        <v>245</v>
      </c>
      <c r="N172" s="151" t="s">
        <v>236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812</v>
      </c>
      <c r="B173" s="151" t="s">
        <v>813</v>
      </c>
      <c r="C173" s="164" t="s">
        <v>585</v>
      </c>
      <c r="D173" s="164" t="s">
        <v>835</v>
      </c>
      <c r="E173" s="165">
        <v>3.3796296296296296E-3</v>
      </c>
      <c r="F173" s="151" t="s">
        <v>134</v>
      </c>
      <c r="H173" s="166" t="s">
        <v>43</v>
      </c>
      <c r="I173" s="164" t="s">
        <v>836</v>
      </c>
      <c r="J173" s="164" t="s">
        <v>837</v>
      </c>
      <c r="K173" s="165">
        <v>5.7870370370370367E-4</v>
      </c>
      <c r="L173" s="151" t="s">
        <v>245</v>
      </c>
      <c r="N173" s="151" t="s">
        <v>236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812</v>
      </c>
      <c r="B174" s="151" t="s">
        <v>813</v>
      </c>
      <c r="C174" s="164" t="s">
        <v>838</v>
      </c>
      <c r="D174" s="164" t="s">
        <v>839</v>
      </c>
      <c r="E174" s="165">
        <v>2.9629629629629628E-3</v>
      </c>
      <c r="F174" s="151" t="s">
        <v>134</v>
      </c>
      <c r="H174" s="166" t="s">
        <v>43</v>
      </c>
      <c r="I174" s="164" t="s">
        <v>840</v>
      </c>
      <c r="J174" s="164" t="s">
        <v>841</v>
      </c>
      <c r="K174" s="165">
        <v>6.3657407407407413E-4</v>
      </c>
      <c r="L174" s="151" t="s">
        <v>245</v>
      </c>
      <c r="N174" s="151" t="s">
        <v>236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812</v>
      </c>
      <c r="B175" s="151" t="s">
        <v>813</v>
      </c>
      <c r="C175" s="164" t="s">
        <v>842</v>
      </c>
      <c r="D175" s="164" t="s">
        <v>843</v>
      </c>
      <c r="E175" s="165">
        <v>1.9791666666666668E-3</v>
      </c>
      <c r="F175" s="151" t="s">
        <v>134</v>
      </c>
      <c r="H175" s="166" t="s">
        <v>43</v>
      </c>
      <c r="I175" s="164" t="s">
        <v>844</v>
      </c>
      <c r="J175" s="164" t="s">
        <v>845</v>
      </c>
      <c r="K175" s="165">
        <v>5.3240740740740744E-4</v>
      </c>
      <c r="L175" s="151" t="s">
        <v>245</v>
      </c>
      <c r="N175" s="151" t="s">
        <v>236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812</v>
      </c>
      <c r="B176" s="151" t="s">
        <v>813</v>
      </c>
      <c r="C176" s="164" t="s">
        <v>846</v>
      </c>
      <c r="D176" s="164" t="s">
        <v>411</v>
      </c>
      <c r="E176" s="165">
        <v>5.4976851851851853E-3</v>
      </c>
      <c r="F176" s="151" t="s">
        <v>134</v>
      </c>
      <c r="H176" s="166" t="s">
        <v>43</v>
      </c>
      <c r="I176" s="164" t="s">
        <v>847</v>
      </c>
      <c r="J176" s="164" t="s">
        <v>848</v>
      </c>
      <c r="K176" s="165">
        <v>5.0925925925925921E-4</v>
      </c>
      <c r="L176" s="151" t="s">
        <v>245</v>
      </c>
      <c r="N176" s="151" t="s">
        <v>236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812</v>
      </c>
      <c r="B177" s="151" t="s">
        <v>813</v>
      </c>
      <c r="C177" s="164" t="s">
        <v>849</v>
      </c>
      <c r="D177" s="164" t="s">
        <v>850</v>
      </c>
      <c r="E177" s="165">
        <v>3.7268518518518519E-3</v>
      </c>
      <c r="F177" s="151" t="s">
        <v>134</v>
      </c>
      <c r="H177" s="166" t="s">
        <v>43</v>
      </c>
      <c r="I177" s="164" t="s">
        <v>851</v>
      </c>
      <c r="J177" s="164" t="s">
        <v>852</v>
      </c>
      <c r="K177" s="165">
        <v>5.4398148148148144E-4</v>
      </c>
      <c r="L177" s="151" t="s">
        <v>245</v>
      </c>
      <c r="N177" s="151" t="s">
        <v>236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812</v>
      </c>
      <c r="B178" s="151" t="s">
        <v>813</v>
      </c>
      <c r="C178" s="164" t="s">
        <v>853</v>
      </c>
      <c r="D178" s="164" t="s">
        <v>854</v>
      </c>
      <c r="E178" s="165">
        <v>3.8310185185185183E-3</v>
      </c>
      <c r="F178" s="151" t="s">
        <v>134</v>
      </c>
      <c r="H178" s="166" t="s">
        <v>43</v>
      </c>
      <c r="I178" s="164" t="s">
        <v>855</v>
      </c>
      <c r="J178" s="164" t="s">
        <v>856</v>
      </c>
      <c r="K178" s="165">
        <v>5.2083333333333333E-4</v>
      </c>
      <c r="L178" s="151" t="s">
        <v>245</v>
      </c>
      <c r="N178" s="151" t="s">
        <v>236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812</v>
      </c>
      <c r="B179" s="151" t="s">
        <v>813</v>
      </c>
      <c r="C179" s="164" t="s">
        <v>857</v>
      </c>
      <c r="D179" s="164" t="s">
        <v>858</v>
      </c>
      <c r="E179" s="165">
        <v>2.8819444444444444E-3</v>
      </c>
      <c r="F179" s="151" t="s">
        <v>134</v>
      </c>
      <c r="H179" s="151" t="s">
        <v>135</v>
      </c>
      <c r="I179" s="164" t="s">
        <v>859</v>
      </c>
      <c r="J179" s="164" t="s">
        <v>860</v>
      </c>
      <c r="K179" s="165">
        <v>5.3240740740740744E-4</v>
      </c>
      <c r="L179" s="151" t="s">
        <v>138</v>
      </c>
      <c r="N179" s="151" t="s">
        <v>139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812</v>
      </c>
      <c r="B180" s="151" t="s">
        <v>813</v>
      </c>
      <c r="C180" s="164" t="s">
        <v>861</v>
      </c>
      <c r="D180" s="164" t="s">
        <v>862</v>
      </c>
      <c r="E180" s="165">
        <v>1.1458333333333333E-3</v>
      </c>
      <c r="F180" s="151" t="s">
        <v>134</v>
      </c>
      <c r="H180" s="151" t="s">
        <v>135</v>
      </c>
      <c r="I180" s="164" t="s">
        <v>863</v>
      </c>
      <c r="J180" s="164" t="s">
        <v>864</v>
      </c>
      <c r="K180" s="165">
        <v>5.2083333333333333E-4</v>
      </c>
      <c r="L180" s="151" t="s">
        <v>138</v>
      </c>
      <c r="N180" s="151" t="s">
        <v>139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812</v>
      </c>
      <c r="B181" s="151" t="s">
        <v>813</v>
      </c>
      <c r="C181" s="164" t="s">
        <v>865</v>
      </c>
      <c r="D181" s="164" t="s">
        <v>866</v>
      </c>
      <c r="E181" s="165">
        <v>1.4004629629629629E-3</v>
      </c>
      <c r="F181" s="151" t="s">
        <v>134</v>
      </c>
      <c r="H181" s="151" t="s">
        <v>135</v>
      </c>
      <c r="I181" s="164" t="s">
        <v>867</v>
      </c>
      <c r="J181" s="164" t="s">
        <v>868</v>
      </c>
      <c r="K181" s="165">
        <v>5.6712962962962967E-4</v>
      </c>
      <c r="L181" s="151" t="s">
        <v>138</v>
      </c>
      <c r="N181" s="151" t="s">
        <v>139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812</v>
      </c>
      <c r="B182" s="151" t="s">
        <v>813</v>
      </c>
      <c r="C182" s="164" t="s">
        <v>869</v>
      </c>
      <c r="D182" s="164" t="s">
        <v>870</v>
      </c>
      <c r="E182" s="165">
        <v>1.6435185185185185E-3</v>
      </c>
      <c r="F182" s="151" t="s">
        <v>134</v>
      </c>
      <c r="H182" s="151" t="s">
        <v>135</v>
      </c>
      <c r="I182" s="164" t="s">
        <v>871</v>
      </c>
      <c r="J182" s="164" t="s">
        <v>872</v>
      </c>
      <c r="K182" s="165">
        <v>2.0833333333333335E-4</v>
      </c>
      <c r="L182" s="151" t="s">
        <v>138</v>
      </c>
      <c r="N182" s="151" t="s">
        <v>139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812</v>
      </c>
      <c r="B183" s="151" t="s">
        <v>813</v>
      </c>
      <c r="C183" s="164" t="s">
        <v>873</v>
      </c>
      <c r="D183" s="164" t="s">
        <v>874</v>
      </c>
      <c r="E183" s="165">
        <v>1.2037037037037038E-3</v>
      </c>
      <c r="F183" s="151" t="s">
        <v>134</v>
      </c>
      <c r="H183" s="151" t="s">
        <v>135</v>
      </c>
      <c r="I183" s="164" t="s">
        <v>875</v>
      </c>
      <c r="J183" s="164" t="s">
        <v>876</v>
      </c>
      <c r="K183" s="165">
        <v>4.7453703703703704E-4</v>
      </c>
      <c r="L183" s="151" t="s">
        <v>138</v>
      </c>
      <c r="N183" s="151" t="s">
        <v>139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812</v>
      </c>
      <c r="B184" s="151" t="s">
        <v>813</v>
      </c>
      <c r="C184" s="164" t="s">
        <v>877</v>
      </c>
      <c r="D184" s="164" t="s">
        <v>878</v>
      </c>
      <c r="E184" s="165">
        <v>1.0879629629629629E-3</v>
      </c>
      <c r="F184" s="151" t="s">
        <v>134</v>
      </c>
      <c r="H184" s="166" t="s">
        <v>135</v>
      </c>
      <c r="I184" s="164" t="s">
        <v>879</v>
      </c>
      <c r="J184" s="164" t="s">
        <v>880</v>
      </c>
      <c r="K184" s="165">
        <v>4.1666666666666669E-4</v>
      </c>
      <c r="L184" s="151" t="s">
        <v>138</v>
      </c>
      <c r="N184" s="151" t="s">
        <v>139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812</v>
      </c>
      <c r="B185" s="151" t="s">
        <v>813</v>
      </c>
      <c r="C185" s="164" t="s">
        <v>881</v>
      </c>
      <c r="D185" s="164" t="s">
        <v>882</v>
      </c>
      <c r="E185" s="165">
        <v>1.3425925925925925E-3</v>
      </c>
      <c r="F185" s="151" t="s">
        <v>134</v>
      </c>
      <c r="H185" s="151" t="s">
        <v>135</v>
      </c>
      <c r="I185" s="164" t="s">
        <v>883</v>
      </c>
      <c r="J185" s="164" t="s">
        <v>884</v>
      </c>
      <c r="K185" s="165">
        <v>1.3773148148148147E-3</v>
      </c>
      <c r="L185" s="151" t="s">
        <v>138</v>
      </c>
      <c r="N185" s="151" t="s">
        <v>139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812</v>
      </c>
      <c r="B186" s="151" t="s">
        <v>813</v>
      </c>
      <c r="C186" s="164" t="s">
        <v>885</v>
      </c>
      <c r="D186" s="164" t="s">
        <v>886</v>
      </c>
      <c r="E186" s="165">
        <v>1.2037037037037038E-3</v>
      </c>
      <c r="F186" s="151" t="s">
        <v>134</v>
      </c>
      <c r="H186" s="151" t="s">
        <v>135</v>
      </c>
      <c r="I186" s="164" t="s">
        <v>887</v>
      </c>
      <c r="J186" s="164" t="s">
        <v>888</v>
      </c>
      <c r="K186" s="165">
        <v>4.5138888888888887E-4</v>
      </c>
      <c r="L186" s="151" t="s">
        <v>138</v>
      </c>
      <c r="N186" s="151" t="s">
        <v>139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812</v>
      </c>
      <c r="B187" s="151" t="s">
        <v>813</v>
      </c>
      <c r="C187" s="164" t="s">
        <v>889</v>
      </c>
      <c r="D187" s="164" t="s">
        <v>890</v>
      </c>
      <c r="E187" s="165">
        <v>1.4814814814814814E-3</v>
      </c>
      <c r="F187" s="151" t="s">
        <v>134</v>
      </c>
      <c r="H187" s="151" t="s">
        <v>135</v>
      </c>
      <c r="I187" s="164" t="s">
        <v>891</v>
      </c>
      <c r="J187" s="164" t="s">
        <v>892</v>
      </c>
      <c r="K187" s="165">
        <v>5.0925925925925921E-4</v>
      </c>
      <c r="L187" s="151" t="s">
        <v>138</v>
      </c>
      <c r="N187" s="151" t="s">
        <v>139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812</v>
      </c>
      <c r="B188" s="151" t="s">
        <v>813</v>
      </c>
      <c r="C188" s="164" t="s">
        <v>893</v>
      </c>
      <c r="D188" s="164" t="s">
        <v>894</v>
      </c>
      <c r="E188" s="165">
        <v>1.1226851851851851E-3</v>
      </c>
      <c r="F188" s="151" t="s">
        <v>134</v>
      </c>
      <c r="H188" s="151" t="s">
        <v>135</v>
      </c>
      <c r="I188" s="164" t="s">
        <v>895</v>
      </c>
      <c r="J188" s="164" t="s">
        <v>896</v>
      </c>
      <c r="K188" s="165">
        <v>4.9768518518518521E-4</v>
      </c>
      <c r="L188" s="151" t="s">
        <v>138</v>
      </c>
      <c r="N188" s="151" t="s">
        <v>139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812</v>
      </c>
      <c r="B189" s="151" t="s">
        <v>813</v>
      </c>
      <c r="C189" s="164" t="s">
        <v>897</v>
      </c>
      <c r="D189" s="164" t="s">
        <v>898</v>
      </c>
      <c r="E189" s="165">
        <v>1.9907407407407408E-3</v>
      </c>
      <c r="F189" s="151" t="s">
        <v>134</v>
      </c>
      <c r="H189" s="151" t="s">
        <v>135</v>
      </c>
      <c r="I189" s="164" t="s">
        <v>899</v>
      </c>
      <c r="J189" s="164" t="s">
        <v>900</v>
      </c>
      <c r="K189" s="165">
        <v>5.7870370370370367E-4</v>
      </c>
      <c r="L189" s="151" t="s">
        <v>138</v>
      </c>
      <c r="N189" s="151" t="s">
        <v>139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901</v>
      </c>
      <c r="B190" s="151" t="s">
        <v>902</v>
      </c>
      <c r="C190" s="164" t="s">
        <v>903</v>
      </c>
      <c r="D190" s="164" t="s">
        <v>904</v>
      </c>
      <c r="E190" s="165">
        <v>3.1944444444444446E-3</v>
      </c>
      <c r="F190" s="151" t="s">
        <v>134</v>
      </c>
      <c r="H190" s="151" t="s">
        <v>43</v>
      </c>
      <c r="I190" s="164" t="s">
        <v>905</v>
      </c>
      <c r="J190" s="164" t="s">
        <v>906</v>
      </c>
      <c r="K190" s="165">
        <v>2.8935185185185184E-4</v>
      </c>
      <c r="L190" s="151" t="s">
        <v>245</v>
      </c>
      <c r="N190" s="151" t="s">
        <v>236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901</v>
      </c>
      <c r="B191" s="151" t="s">
        <v>902</v>
      </c>
      <c r="C191" s="164" t="s">
        <v>907</v>
      </c>
      <c r="D191" s="164" t="s">
        <v>908</v>
      </c>
      <c r="E191" s="165">
        <v>1.9560185185185184E-3</v>
      </c>
      <c r="F191" s="151" t="s">
        <v>134</v>
      </c>
      <c r="H191" s="151" t="s">
        <v>561</v>
      </c>
      <c r="I191" s="164" t="s">
        <v>909</v>
      </c>
      <c r="J191" s="164" t="s">
        <v>910</v>
      </c>
      <c r="K191" s="165">
        <v>3.8194444444444446E-4</v>
      </c>
      <c r="L191" s="151" t="s">
        <v>818</v>
      </c>
      <c r="N191" s="151" t="s">
        <v>236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901</v>
      </c>
      <c r="B192" s="151" t="s">
        <v>902</v>
      </c>
      <c r="C192" s="164" t="s">
        <v>911</v>
      </c>
      <c r="D192" s="164" t="s">
        <v>563</v>
      </c>
      <c r="E192" s="165">
        <v>1.9907407407407408E-3</v>
      </c>
      <c r="F192" s="151" t="s">
        <v>134</v>
      </c>
      <c r="H192" s="151" t="s">
        <v>232</v>
      </c>
      <c r="I192" s="164" t="s">
        <v>912</v>
      </c>
      <c r="J192" s="164" t="s">
        <v>913</v>
      </c>
      <c r="K192" s="165">
        <v>1.8518518518518518E-4</v>
      </c>
      <c r="L192" s="151" t="s">
        <v>235</v>
      </c>
      <c r="N192" s="151" t="s">
        <v>236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901</v>
      </c>
      <c r="B193" s="151" t="s">
        <v>902</v>
      </c>
      <c r="C193" s="164" t="s">
        <v>914</v>
      </c>
      <c r="D193" s="164" t="s">
        <v>915</v>
      </c>
      <c r="E193" s="165">
        <v>2.9513888888888888E-3</v>
      </c>
      <c r="F193" s="151" t="s">
        <v>134</v>
      </c>
      <c r="H193" s="151" t="s">
        <v>43</v>
      </c>
      <c r="I193" s="164" t="s">
        <v>916</v>
      </c>
      <c r="J193" s="164"/>
      <c r="K193" s="165">
        <v>0</v>
      </c>
      <c r="L193" s="151" t="s">
        <v>245</v>
      </c>
      <c r="N193" s="151" t="s">
        <v>236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901</v>
      </c>
      <c r="B194" s="151" t="s">
        <v>902</v>
      </c>
      <c r="C194" s="164" t="s">
        <v>917</v>
      </c>
      <c r="D194" s="164" t="s">
        <v>918</v>
      </c>
      <c r="E194" s="165">
        <v>5.8217592592592592E-3</v>
      </c>
      <c r="F194" s="151" t="s">
        <v>134</v>
      </c>
      <c r="H194" s="151" t="s">
        <v>43</v>
      </c>
      <c r="I194" s="164" t="s">
        <v>919</v>
      </c>
      <c r="J194" s="164" t="s">
        <v>920</v>
      </c>
      <c r="K194" s="165">
        <v>2.7777777777777778E-4</v>
      </c>
      <c r="L194" s="151" t="s">
        <v>245</v>
      </c>
      <c r="N194" s="151" t="s">
        <v>236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901</v>
      </c>
      <c r="B195" s="151" t="s">
        <v>902</v>
      </c>
      <c r="C195" s="164" t="s">
        <v>921</v>
      </c>
      <c r="D195" s="164" t="s">
        <v>922</v>
      </c>
      <c r="E195" s="165">
        <v>2.1990740740740742E-3</v>
      </c>
      <c r="F195" s="151" t="s">
        <v>134</v>
      </c>
      <c r="H195" s="151" t="s">
        <v>135</v>
      </c>
      <c r="I195" s="164" t="s">
        <v>923</v>
      </c>
      <c r="J195" s="164" t="s">
        <v>924</v>
      </c>
      <c r="K195" s="165">
        <v>2.0833333333333335E-4</v>
      </c>
      <c r="L195" s="151" t="s">
        <v>138</v>
      </c>
      <c r="N195" s="151" t="s">
        <v>139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901</v>
      </c>
      <c r="B196" s="151" t="s">
        <v>902</v>
      </c>
      <c r="C196" s="164" t="s">
        <v>925</v>
      </c>
      <c r="D196" s="164" t="s">
        <v>926</v>
      </c>
      <c r="E196" s="165">
        <v>3.6805555555555554E-3</v>
      </c>
      <c r="F196" s="151" t="s">
        <v>134</v>
      </c>
      <c r="H196" s="151" t="s">
        <v>43</v>
      </c>
      <c r="I196" s="164" t="s">
        <v>927</v>
      </c>
      <c r="J196" s="164" t="s">
        <v>928</v>
      </c>
      <c r="K196" s="165">
        <v>2.8935185185185184E-4</v>
      </c>
      <c r="L196" s="151" t="s">
        <v>245</v>
      </c>
      <c r="N196" s="151" t="s">
        <v>236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901</v>
      </c>
      <c r="B197" s="151" t="s">
        <v>902</v>
      </c>
      <c r="C197" s="164" t="s">
        <v>929</v>
      </c>
      <c r="D197" s="164" t="s">
        <v>930</v>
      </c>
      <c r="E197" s="165">
        <v>1.238425925925926E-3</v>
      </c>
      <c r="F197" s="151" t="s">
        <v>134</v>
      </c>
      <c r="H197" s="151" t="s">
        <v>135</v>
      </c>
      <c r="I197" s="164" t="s">
        <v>931</v>
      </c>
      <c r="J197" s="164" t="s">
        <v>932</v>
      </c>
      <c r="K197" s="165">
        <v>6.5972222222222224E-4</v>
      </c>
      <c r="L197" s="151" t="s">
        <v>138</v>
      </c>
      <c r="N197" s="151" t="s">
        <v>139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901</v>
      </c>
      <c r="B198" s="151" t="s">
        <v>902</v>
      </c>
      <c r="C198" s="164" t="s">
        <v>933</v>
      </c>
      <c r="D198" s="164" t="s">
        <v>934</v>
      </c>
      <c r="E198" s="165">
        <v>2.0254629629629629E-3</v>
      </c>
      <c r="F198" s="151" t="s">
        <v>134</v>
      </c>
      <c r="H198" s="151" t="s">
        <v>43</v>
      </c>
      <c r="I198" s="164"/>
      <c r="J198" s="164" t="s">
        <v>935</v>
      </c>
      <c r="K198" s="165">
        <v>0</v>
      </c>
      <c r="L198" s="151" t="s">
        <v>245</v>
      </c>
      <c r="M198" s="151" t="s">
        <v>936</v>
      </c>
      <c r="N198" s="151" t="s">
        <v>236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901</v>
      </c>
      <c r="B199" s="151" t="s">
        <v>902</v>
      </c>
      <c r="C199" s="164" t="s">
        <v>937</v>
      </c>
      <c r="D199" s="164" t="s">
        <v>938</v>
      </c>
      <c r="E199" s="165">
        <v>1.5856481481481481E-3</v>
      </c>
      <c r="F199" s="151" t="s">
        <v>134</v>
      </c>
      <c r="H199" s="151" t="s">
        <v>135</v>
      </c>
      <c r="I199" s="164" t="s">
        <v>396</v>
      </c>
      <c r="J199" s="164" t="s">
        <v>939</v>
      </c>
      <c r="K199" s="165">
        <v>8.2175925925925927E-4</v>
      </c>
      <c r="L199" s="151" t="s">
        <v>138</v>
      </c>
      <c r="N199" s="151" t="s">
        <v>139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901</v>
      </c>
      <c r="B200" s="151" t="s">
        <v>902</v>
      </c>
      <c r="C200" s="164" t="s">
        <v>940</v>
      </c>
      <c r="D200" s="164" t="s">
        <v>941</v>
      </c>
      <c r="E200" s="165">
        <v>5.2893518518518515E-3</v>
      </c>
      <c r="F200" s="151" t="s">
        <v>134</v>
      </c>
      <c r="H200" s="151" t="s">
        <v>43</v>
      </c>
      <c r="I200" s="164" t="s">
        <v>272</v>
      </c>
      <c r="J200" s="164" t="s">
        <v>942</v>
      </c>
      <c r="K200" s="165">
        <v>2.8935185185185184E-4</v>
      </c>
      <c r="L200" s="151" t="s">
        <v>245</v>
      </c>
      <c r="N200" s="151" t="s">
        <v>236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901</v>
      </c>
      <c r="B201" s="151" t="s">
        <v>902</v>
      </c>
      <c r="C201" s="164" t="s">
        <v>943</v>
      </c>
      <c r="D201" s="164" t="s">
        <v>944</v>
      </c>
      <c r="E201" s="165">
        <v>3.425925925925926E-3</v>
      </c>
      <c r="F201" s="151" t="s">
        <v>134</v>
      </c>
      <c r="H201" s="151" t="s">
        <v>43</v>
      </c>
      <c r="I201" s="164" t="s">
        <v>945</v>
      </c>
      <c r="J201" s="164" t="s">
        <v>946</v>
      </c>
      <c r="K201" s="165">
        <v>3.0092592592592595E-4</v>
      </c>
      <c r="L201" s="151" t="s">
        <v>245</v>
      </c>
      <c r="N201" s="151" t="s">
        <v>236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901</v>
      </c>
      <c r="B202" s="151" t="s">
        <v>902</v>
      </c>
      <c r="C202" s="164" t="s">
        <v>947</v>
      </c>
      <c r="D202" s="164" t="s">
        <v>948</v>
      </c>
      <c r="E202" s="165">
        <v>1.8634259259259259E-3</v>
      </c>
      <c r="F202" s="151" t="s">
        <v>134</v>
      </c>
      <c r="H202" s="151" t="s">
        <v>135</v>
      </c>
      <c r="I202" s="164" t="s">
        <v>949</v>
      </c>
      <c r="J202" s="164" t="s">
        <v>950</v>
      </c>
      <c r="K202" s="165">
        <v>4.3981481481481481E-4</v>
      </c>
      <c r="L202" s="151" t="s">
        <v>138</v>
      </c>
      <c r="N202" s="151" t="s">
        <v>139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901</v>
      </c>
      <c r="B203" s="151" t="s">
        <v>902</v>
      </c>
      <c r="C203" s="164" t="s">
        <v>951</v>
      </c>
      <c r="D203" s="164" t="s">
        <v>952</v>
      </c>
      <c r="E203" s="165">
        <v>1.0995370370370371E-3</v>
      </c>
      <c r="F203" s="151" t="s">
        <v>134</v>
      </c>
      <c r="H203" s="151" t="s">
        <v>135</v>
      </c>
      <c r="I203" s="164" t="s">
        <v>953</v>
      </c>
      <c r="J203" s="164" t="s">
        <v>954</v>
      </c>
      <c r="K203" s="165">
        <v>2.5462962962962961E-4</v>
      </c>
      <c r="L203" s="151" t="s">
        <v>138</v>
      </c>
      <c r="N203" s="151" t="s">
        <v>139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901</v>
      </c>
      <c r="B204" s="151" t="s">
        <v>902</v>
      </c>
      <c r="C204" s="164" t="s">
        <v>955</v>
      </c>
      <c r="D204" s="164" t="s">
        <v>956</v>
      </c>
      <c r="E204" s="165">
        <v>4.31712962962963E-3</v>
      </c>
      <c r="F204" s="151" t="s">
        <v>134</v>
      </c>
      <c r="H204" s="151" t="s">
        <v>43</v>
      </c>
      <c r="I204" s="164" t="s">
        <v>957</v>
      </c>
      <c r="J204" s="164" t="s">
        <v>958</v>
      </c>
      <c r="K204" s="165">
        <v>2.7777777777777778E-4</v>
      </c>
      <c r="L204" s="151" t="s">
        <v>245</v>
      </c>
      <c r="N204" s="151" t="s">
        <v>236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901</v>
      </c>
      <c r="B205" s="151" t="s">
        <v>902</v>
      </c>
      <c r="C205" s="164" t="s">
        <v>959</v>
      </c>
      <c r="D205" s="164" t="s">
        <v>960</v>
      </c>
      <c r="E205" s="165">
        <v>1.0416666666666667E-4</v>
      </c>
      <c r="F205" s="151" t="s">
        <v>134</v>
      </c>
      <c r="H205" s="151" t="s">
        <v>43</v>
      </c>
      <c r="I205" s="164" t="s">
        <v>961</v>
      </c>
      <c r="J205" s="164" t="s">
        <v>962</v>
      </c>
      <c r="K205" s="165">
        <v>3.1250000000000001E-4</v>
      </c>
      <c r="L205" s="151" t="s">
        <v>245</v>
      </c>
      <c r="N205" s="151" t="s">
        <v>236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901</v>
      </c>
      <c r="B206" s="151" t="s">
        <v>902</v>
      </c>
      <c r="C206" s="164" t="s">
        <v>963</v>
      </c>
      <c r="D206" s="164" t="s">
        <v>964</v>
      </c>
      <c r="E206" s="165">
        <v>6.0648148148148145E-3</v>
      </c>
      <c r="F206" s="151" t="s">
        <v>134</v>
      </c>
      <c r="H206" s="151" t="s">
        <v>43</v>
      </c>
      <c r="I206" s="164" t="s">
        <v>965</v>
      </c>
      <c r="J206" s="164" t="s">
        <v>966</v>
      </c>
      <c r="K206" s="165">
        <v>3.0092592592592595E-4</v>
      </c>
      <c r="L206" s="151" t="s">
        <v>245</v>
      </c>
      <c r="N206" s="151" t="s">
        <v>236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901</v>
      </c>
      <c r="B207" s="151" t="s">
        <v>902</v>
      </c>
      <c r="C207" s="164" t="s">
        <v>967</v>
      </c>
      <c r="D207" s="164" t="s">
        <v>968</v>
      </c>
      <c r="E207" s="165">
        <v>5.4282407407407404E-3</v>
      </c>
      <c r="F207" s="151" t="s">
        <v>134</v>
      </c>
      <c r="H207" s="151" t="s">
        <v>43</v>
      </c>
      <c r="I207" s="164" t="s">
        <v>969</v>
      </c>
      <c r="J207" s="164" t="s">
        <v>970</v>
      </c>
      <c r="K207" s="165">
        <v>6.8287037037037036E-4</v>
      </c>
      <c r="L207" s="151" t="s">
        <v>245</v>
      </c>
      <c r="N207" s="151" t="s">
        <v>236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901</v>
      </c>
      <c r="B208" s="151" t="s">
        <v>902</v>
      </c>
      <c r="C208" s="164" t="s">
        <v>971</v>
      </c>
      <c r="D208" s="164" t="s">
        <v>972</v>
      </c>
      <c r="E208" s="165">
        <v>3.7731481481481483E-3</v>
      </c>
      <c r="F208" s="151" t="s">
        <v>134</v>
      </c>
      <c r="H208" s="151" t="s">
        <v>43</v>
      </c>
      <c r="I208" s="164" t="s">
        <v>776</v>
      </c>
      <c r="J208" s="164" t="s">
        <v>973</v>
      </c>
      <c r="K208" s="165">
        <v>3.2407407407407406E-4</v>
      </c>
      <c r="L208" s="151" t="s">
        <v>245</v>
      </c>
      <c r="N208" s="151" t="s">
        <v>236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974</v>
      </c>
      <c r="B209" s="151" t="s">
        <v>554</v>
      </c>
      <c r="C209" s="164" t="s">
        <v>975</v>
      </c>
      <c r="D209" s="164" t="s">
        <v>976</v>
      </c>
      <c r="E209" s="165">
        <v>1.2037037037037038E-3</v>
      </c>
      <c r="F209" s="151" t="s">
        <v>134</v>
      </c>
      <c r="H209" s="151" t="s">
        <v>135</v>
      </c>
      <c r="I209" s="164" t="s">
        <v>977</v>
      </c>
      <c r="J209" s="164" t="s">
        <v>978</v>
      </c>
      <c r="K209" s="165">
        <v>6.134259259259259E-4</v>
      </c>
      <c r="L209" s="151" t="s">
        <v>138</v>
      </c>
      <c r="N209" s="151" t="s">
        <v>139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974</v>
      </c>
      <c r="B210" s="151" t="s">
        <v>554</v>
      </c>
      <c r="C210" s="164" t="s">
        <v>979</v>
      </c>
      <c r="D210" s="164" t="s">
        <v>980</v>
      </c>
      <c r="E210" s="165">
        <v>1.3541666666666667E-3</v>
      </c>
      <c r="F210" s="151" t="s">
        <v>134</v>
      </c>
      <c r="H210" s="151" t="s">
        <v>135</v>
      </c>
      <c r="I210" s="164" t="s">
        <v>981</v>
      </c>
      <c r="J210" s="164" t="s">
        <v>982</v>
      </c>
      <c r="K210" s="165">
        <v>6.7129629629629625E-4</v>
      </c>
      <c r="L210" s="151" t="s">
        <v>138</v>
      </c>
      <c r="N210" s="151" t="s">
        <v>139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974</v>
      </c>
      <c r="B211" s="151" t="s">
        <v>554</v>
      </c>
      <c r="C211" s="164" t="s">
        <v>983</v>
      </c>
      <c r="D211" s="164" t="s">
        <v>984</v>
      </c>
      <c r="E211" s="165">
        <v>3.1250000000000002E-3</v>
      </c>
      <c r="F211" s="151" t="s">
        <v>134</v>
      </c>
      <c r="H211" s="151" t="s">
        <v>43</v>
      </c>
      <c r="I211" s="164" t="s">
        <v>985</v>
      </c>
      <c r="J211" s="164" t="s">
        <v>986</v>
      </c>
      <c r="K211" s="165">
        <v>8.3333333333333339E-4</v>
      </c>
      <c r="L211" s="151" t="s">
        <v>245</v>
      </c>
      <c r="N211" s="151" t="s">
        <v>236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974</v>
      </c>
      <c r="B212" s="151" t="s">
        <v>554</v>
      </c>
      <c r="C212" s="164" t="s">
        <v>987</v>
      </c>
      <c r="D212" s="164" t="s">
        <v>988</v>
      </c>
      <c r="E212" s="165">
        <v>9.7222222222222219E-4</v>
      </c>
      <c r="F212" s="151" t="s">
        <v>134</v>
      </c>
      <c r="H212" s="151" t="s">
        <v>135</v>
      </c>
      <c r="I212" s="164" t="s">
        <v>989</v>
      </c>
      <c r="J212" s="164" t="s">
        <v>990</v>
      </c>
      <c r="K212" s="165">
        <v>7.1759259259259259E-4</v>
      </c>
      <c r="L212" s="151" t="s">
        <v>138</v>
      </c>
      <c r="N212" s="151" t="s">
        <v>139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974</v>
      </c>
      <c r="B213" s="151" t="s">
        <v>554</v>
      </c>
      <c r="C213" s="164" t="s">
        <v>991</v>
      </c>
      <c r="D213" s="164" t="s">
        <v>992</v>
      </c>
      <c r="E213" s="165">
        <v>1.3310185185185185E-3</v>
      </c>
      <c r="F213" s="151" t="s">
        <v>134</v>
      </c>
      <c r="H213" s="151" t="s">
        <v>135</v>
      </c>
      <c r="I213" s="164" t="s">
        <v>993</v>
      </c>
      <c r="J213" s="164" t="s">
        <v>994</v>
      </c>
      <c r="K213" s="165">
        <v>7.9861111111111116E-4</v>
      </c>
      <c r="L213" s="151" t="s">
        <v>138</v>
      </c>
      <c r="N213" s="151" t="s">
        <v>139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974</v>
      </c>
      <c r="B214" s="151" t="s">
        <v>554</v>
      </c>
      <c r="C214" s="164" t="s">
        <v>995</v>
      </c>
      <c r="D214" s="164" t="s">
        <v>996</v>
      </c>
      <c r="E214" s="165">
        <v>4.3518518518518515E-3</v>
      </c>
      <c r="F214" s="151" t="s">
        <v>134</v>
      </c>
      <c r="H214" s="151" t="s">
        <v>43</v>
      </c>
      <c r="I214" s="164" t="s">
        <v>997</v>
      </c>
      <c r="J214" s="164" t="s">
        <v>998</v>
      </c>
      <c r="K214" s="165">
        <v>5.7870370370370367E-4</v>
      </c>
      <c r="L214" s="151" t="s">
        <v>245</v>
      </c>
      <c r="N214" s="151" t="s">
        <v>236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974</v>
      </c>
      <c r="B215" s="151" t="s">
        <v>554</v>
      </c>
      <c r="C215" s="164" t="s">
        <v>999</v>
      </c>
      <c r="D215" s="164" t="s">
        <v>1000</v>
      </c>
      <c r="E215" s="165">
        <v>7.0601851851851847E-4</v>
      </c>
      <c r="F215" s="151" t="s">
        <v>134</v>
      </c>
      <c r="H215" s="151" t="s">
        <v>135</v>
      </c>
      <c r="I215" s="164" t="s">
        <v>1001</v>
      </c>
      <c r="J215" s="164" t="s">
        <v>1002</v>
      </c>
      <c r="K215" s="165">
        <v>5.6712962962962967E-4</v>
      </c>
      <c r="L215" s="151" t="s">
        <v>138</v>
      </c>
      <c r="N215" s="151" t="s">
        <v>139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974</v>
      </c>
      <c r="B216" s="151" t="s">
        <v>554</v>
      </c>
      <c r="C216" s="164" t="s">
        <v>1003</v>
      </c>
      <c r="D216" s="164" t="s">
        <v>1004</v>
      </c>
      <c r="E216" s="165">
        <v>8.7962962962962962E-4</v>
      </c>
      <c r="F216" s="151" t="s">
        <v>134</v>
      </c>
      <c r="H216" s="151" t="s">
        <v>135</v>
      </c>
      <c r="I216" s="164" t="s">
        <v>1005</v>
      </c>
      <c r="J216" s="164" t="s">
        <v>1006</v>
      </c>
      <c r="K216" s="165">
        <v>6.134259259259259E-4</v>
      </c>
      <c r="L216" s="151" t="s">
        <v>138</v>
      </c>
      <c r="N216" s="151" t="s">
        <v>139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974</v>
      </c>
      <c r="B217" s="151" t="s">
        <v>554</v>
      </c>
      <c r="C217" s="164" t="s">
        <v>1007</v>
      </c>
      <c r="D217" s="164" t="s">
        <v>1008</v>
      </c>
      <c r="E217" s="165">
        <v>1.25E-3</v>
      </c>
      <c r="F217" s="151" t="s">
        <v>134</v>
      </c>
      <c r="H217" s="151" t="s">
        <v>135</v>
      </c>
      <c r="I217" s="164" t="s">
        <v>1009</v>
      </c>
      <c r="J217" s="164" t="s">
        <v>1010</v>
      </c>
      <c r="K217" s="165">
        <v>5.9027777777777778E-4</v>
      </c>
      <c r="L217" s="151" t="s">
        <v>138</v>
      </c>
      <c r="N217" s="151" t="s">
        <v>139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974</v>
      </c>
      <c r="B218" s="151" t="s">
        <v>554</v>
      </c>
      <c r="C218" s="164" t="s">
        <v>973</v>
      </c>
      <c r="D218" s="164" t="s">
        <v>1011</v>
      </c>
      <c r="E218" s="165">
        <v>1.6087962962962963E-3</v>
      </c>
      <c r="F218" s="151" t="s">
        <v>134</v>
      </c>
      <c r="H218" s="151" t="s">
        <v>135</v>
      </c>
      <c r="I218" s="164" t="s">
        <v>1012</v>
      </c>
      <c r="J218" s="164" t="s">
        <v>1013</v>
      </c>
      <c r="K218" s="165">
        <v>5.5555555555555556E-4</v>
      </c>
      <c r="L218" s="151" t="s">
        <v>138</v>
      </c>
      <c r="N218" s="151" t="s">
        <v>139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974</v>
      </c>
      <c r="B219" s="151" t="s">
        <v>554</v>
      </c>
      <c r="C219" s="164" t="s">
        <v>1014</v>
      </c>
      <c r="D219" s="164" t="s">
        <v>1015</v>
      </c>
      <c r="E219" s="165">
        <v>1.0532407407407407E-3</v>
      </c>
      <c r="F219" s="151" t="s">
        <v>134</v>
      </c>
      <c r="H219" s="151" t="s">
        <v>135</v>
      </c>
      <c r="I219" s="164" t="s">
        <v>1016</v>
      </c>
      <c r="J219" s="164" t="s">
        <v>1017</v>
      </c>
      <c r="K219" s="165">
        <v>6.7129629629629625E-4</v>
      </c>
      <c r="L219" s="151" t="s">
        <v>138</v>
      </c>
      <c r="N219" s="151" t="s">
        <v>139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974</v>
      </c>
      <c r="B220" s="151" t="s">
        <v>554</v>
      </c>
      <c r="C220" s="164" t="s">
        <v>1018</v>
      </c>
      <c r="D220" s="164" t="s">
        <v>1019</v>
      </c>
      <c r="E220" s="165">
        <v>1.4120370370370369E-3</v>
      </c>
      <c r="F220" s="151" t="s">
        <v>134</v>
      </c>
      <c r="H220" s="151" t="s">
        <v>135</v>
      </c>
      <c r="I220" s="164" t="s">
        <v>1020</v>
      </c>
      <c r="J220" s="164" t="s">
        <v>1021</v>
      </c>
      <c r="K220" s="165">
        <v>6.9444444444444447E-4</v>
      </c>
      <c r="L220" s="151" t="s">
        <v>138</v>
      </c>
      <c r="N220" s="151" t="s">
        <v>139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974</v>
      </c>
      <c r="B221" s="151" t="s">
        <v>554</v>
      </c>
      <c r="C221" s="164" t="s">
        <v>1022</v>
      </c>
      <c r="D221" s="164" t="s">
        <v>1023</v>
      </c>
      <c r="E221" s="165">
        <v>3.4953703703703705E-3</v>
      </c>
      <c r="F221" s="151" t="s">
        <v>134</v>
      </c>
      <c r="H221" s="151" t="s">
        <v>43</v>
      </c>
      <c r="I221" s="164" t="s">
        <v>1024</v>
      </c>
      <c r="J221" s="164" t="s">
        <v>1025</v>
      </c>
      <c r="K221" s="165">
        <v>4.6296296296296298E-4</v>
      </c>
      <c r="L221" s="151" t="s">
        <v>245</v>
      </c>
      <c r="N221" s="151" t="s">
        <v>236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974</v>
      </c>
      <c r="B222" s="151" t="s">
        <v>554</v>
      </c>
      <c r="C222" s="164" t="s">
        <v>1026</v>
      </c>
      <c r="D222" s="164" t="s">
        <v>1027</v>
      </c>
      <c r="E222" s="165">
        <v>1.6203703703703703E-3</v>
      </c>
      <c r="F222" s="151" t="s">
        <v>134</v>
      </c>
      <c r="H222" s="151" t="s">
        <v>43</v>
      </c>
      <c r="I222" s="164" t="s">
        <v>1028</v>
      </c>
      <c r="J222" s="164" t="s">
        <v>1029</v>
      </c>
      <c r="K222" s="165">
        <v>6.5972222222222224E-4</v>
      </c>
      <c r="L222" s="151" t="s">
        <v>245</v>
      </c>
      <c r="N222" s="151" t="s">
        <v>236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1030</v>
      </c>
      <c r="B223" s="151" t="s">
        <v>1031</v>
      </c>
      <c r="C223" s="164" t="s">
        <v>1032</v>
      </c>
      <c r="D223" s="164" t="s">
        <v>1033</v>
      </c>
      <c r="E223" s="165">
        <v>1.8865740740740742E-3</v>
      </c>
      <c r="F223" s="151" t="s">
        <v>134</v>
      </c>
      <c r="H223" s="151" t="s">
        <v>135</v>
      </c>
      <c r="I223" s="164" t="s">
        <v>1034</v>
      </c>
      <c r="J223" s="164" t="s">
        <v>1035</v>
      </c>
      <c r="K223" s="165">
        <v>5.6712962962962967E-4</v>
      </c>
      <c r="L223" s="151" t="s">
        <v>138</v>
      </c>
      <c r="N223" s="151" t="s">
        <v>139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1030</v>
      </c>
      <c r="B224" s="151" t="s">
        <v>1031</v>
      </c>
      <c r="C224" s="164" t="s">
        <v>1036</v>
      </c>
      <c r="D224" s="164" t="s">
        <v>1037</v>
      </c>
      <c r="E224" s="165">
        <v>1.4236111111111112E-3</v>
      </c>
      <c r="F224" s="151" t="s">
        <v>134</v>
      </c>
      <c r="H224" s="151" t="s">
        <v>135</v>
      </c>
      <c r="I224" s="164" t="s">
        <v>1038</v>
      </c>
      <c r="J224" s="164" t="s">
        <v>1039</v>
      </c>
      <c r="K224" s="165">
        <v>8.564814814814815E-4</v>
      </c>
      <c r="L224" s="151" t="s">
        <v>138</v>
      </c>
      <c r="N224" s="151" t="s">
        <v>139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1030</v>
      </c>
      <c r="B225" s="151" t="s">
        <v>1031</v>
      </c>
      <c r="C225" s="164" t="s">
        <v>1040</v>
      </c>
      <c r="D225" s="164" t="s">
        <v>1041</v>
      </c>
      <c r="E225" s="165">
        <v>1.8287037037037037E-3</v>
      </c>
      <c r="F225" s="151" t="s">
        <v>134</v>
      </c>
      <c r="H225" s="151" t="s">
        <v>135</v>
      </c>
      <c r="I225" s="164" t="s">
        <v>1042</v>
      </c>
      <c r="J225" s="164" t="s">
        <v>1043</v>
      </c>
      <c r="K225" s="165">
        <v>6.3657407407407413E-4</v>
      </c>
      <c r="L225" s="151" t="s">
        <v>138</v>
      </c>
      <c r="N225" s="151" t="s">
        <v>139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1030</v>
      </c>
      <c r="B226" s="151" t="s">
        <v>1031</v>
      </c>
      <c r="C226" s="164" t="s">
        <v>1044</v>
      </c>
      <c r="D226" s="164" t="s">
        <v>1045</v>
      </c>
      <c r="E226" s="165">
        <v>1.1805555555555556E-3</v>
      </c>
      <c r="F226" s="151" t="s">
        <v>134</v>
      </c>
      <c r="H226" s="151" t="s">
        <v>135</v>
      </c>
      <c r="I226" s="164" t="s">
        <v>1046</v>
      </c>
      <c r="J226" s="164" t="s">
        <v>1047</v>
      </c>
      <c r="K226" s="165">
        <v>6.7129629629629625E-4</v>
      </c>
      <c r="L226" s="151" t="s">
        <v>138</v>
      </c>
      <c r="N226" s="151" t="s">
        <v>139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1030</v>
      </c>
      <c r="B227" s="151" t="s">
        <v>1031</v>
      </c>
      <c r="C227" s="164" t="s">
        <v>1048</v>
      </c>
      <c r="D227" s="164" t="s">
        <v>1049</v>
      </c>
      <c r="E227" s="165">
        <v>2.476851851851852E-3</v>
      </c>
      <c r="F227" s="151" t="s">
        <v>134</v>
      </c>
      <c r="H227" s="151" t="s">
        <v>135</v>
      </c>
      <c r="I227" s="164" t="s">
        <v>1050</v>
      </c>
      <c r="J227" s="164" t="s">
        <v>1051</v>
      </c>
      <c r="K227" s="165">
        <v>7.1759259259259259E-4</v>
      </c>
      <c r="L227" s="151" t="s">
        <v>138</v>
      </c>
      <c r="N227" s="151" t="s">
        <v>139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1030</v>
      </c>
      <c r="B228" s="151" t="s">
        <v>1031</v>
      </c>
      <c r="C228" s="164" t="s">
        <v>1052</v>
      </c>
      <c r="D228" s="164" t="s">
        <v>1053</v>
      </c>
      <c r="E228" s="165">
        <v>1.3425925925925925E-3</v>
      </c>
      <c r="F228" s="151" t="s">
        <v>134</v>
      </c>
      <c r="H228" s="151" t="s">
        <v>135</v>
      </c>
      <c r="I228" s="164" t="s">
        <v>1054</v>
      </c>
      <c r="J228" s="164" t="s">
        <v>1055</v>
      </c>
      <c r="K228" s="165">
        <v>7.291666666666667E-4</v>
      </c>
      <c r="L228" s="151" t="s">
        <v>138</v>
      </c>
      <c r="N228" s="151" t="s">
        <v>139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1030</v>
      </c>
      <c r="B229" s="151" t="s">
        <v>1031</v>
      </c>
      <c r="C229" s="164" t="s">
        <v>1056</v>
      </c>
      <c r="D229" s="164" t="s">
        <v>1057</v>
      </c>
      <c r="E229" s="165">
        <v>1.5856481481481481E-3</v>
      </c>
      <c r="F229" s="151" t="s">
        <v>134</v>
      </c>
      <c r="H229" s="151" t="s">
        <v>135</v>
      </c>
      <c r="I229" s="164" t="s">
        <v>1058</v>
      </c>
      <c r="J229" s="164" t="s">
        <v>1059</v>
      </c>
      <c r="K229" s="165">
        <v>5.4398148148148144E-4</v>
      </c>
      <c r="L229" s="151" t="s">
        <v>138</v>
      </c>
      <c r="N229" s="151" t="s">
        <v>139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1030</v>
      </c>
      <c r="B230" s="151" t="s">
        <v>1031</v>
      </c>
      <c r="C230" s="164" t="s">
        <v>1060</v>
      </c>
      <c r="D230" s="164" t="s">
        <v>1061</v>
      </c>
      <c r="E230" s="165">
        <v>2.0833333333333335E-4</v>
      </c>
      <c r="F230" s="151" t="s">
        <v>134</v>
      </c>
      <c r="H230" s="151" t="s">
        <v>135</v>
      </c>
      <c r="I230" s="164" t="s">
        <v>1062</v>
      </c>
      <c r="J230" s="164" t="s">
        <v>1063</v>
      </c>
      <c r="K230" s="165">
        <v>8.9120370370370373E-4</v>
      </c>
      <c r="L230" s="151" t="s">
        <v>138</v>
      </c>
      <c r="N230" s="151" t="s">
        <v>139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1030</v>
      </c>
      <c r="B231" s="151" t="s">
        <v>1031</v>
      </c>
      <c r="C231" s="164" t="s">
        <v>1064</v>
      </c>
      <c r="D231" s="164" t="s">
        <v>1065</v>
      </c>
      <c r="E231" s="165">
        <v>1.3194444444444445E-3</v>
      </c>
      <c r="F231" s="151" t="s">
        <v>134</v>
      </c>
      <c r="H231" s="151" t="s">
        <v>135</v>
      </c>
      <c r="I231" s="164" t="s">
        <v>1066</v>
      </c>
      <c r="J231" s="164" t="s">
        <v>1067</v>
      </c>
      <c r="K231" s="165">
        <v>6.3657407407407413E-4</v>
      </c>
      <c r="L231" s="151" t="s">
        <v>138</v>
      </c>
      <c r="N231" s="151" t="s">
        <v>139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1030</v>
      </c>
      <c r="B232" s="151" t="s">
        <v>1031</v>
      </c>
      <c r="C232" s="164" t="s">
        <v>1068</v>
      </c>
      <c r="D232" s="164" t="s">
        <v>1069</v>
      </c>
      <c r="E232" s="165">
        <v>1.7592592592592592E-3</v>
      </c>
      <c r="F232" s="151" t="s">
        <v>134</v>
      </c>
      <c r="H232" s="151" t="s">
        <v>135</v>
      </c>
      <c r="I232" s="164" t="s">
        <v>1070</v>
      </c>
      <c r="J232" s="164" t="s">
        <v>1071</v>
      </c>
      <c r="K232" s="165">
        <v>6.5972222222222224E-4</v>
      </c>
      <c r="L232" s="151" t="s">
        <v>138</v>
      </c>
      <c r="N232" s="151" t="s">
        <v>139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1030</v>
      </c>
      <c r="B233" s="151" t="s">
        <v>1031</v>
      </c>
      <c r="C233" s="164" t="s">
        <v>1072</v>
      </c>
      <c r="D233" s="164" t="s">
        <v>1073</v>
      </c>
      <c r="E233" s="165">
        <v>1.5046296296296296E-3</v>
      </c>
      <c r="F233" s="151" t="s">
        <v>134</v>
      </c>
      <c r="H233" s="151" t="s">
        <v>135</v>
      </c>
      <c r="I233" s="164" t="s">
        <v>1074</v>
      </c>
      <c r="J233" s="164" t="s">
        <v>1075</v>
      </c>
      <c r="K233" s="165">
        <v>6.8287037037037036E-4</v>
      </c>
      <c r="L233" s="151" t="s">
        <v>138</v>
      </c>
      <c r="N233" s="151" t="s">
        <v>139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1030</v>
      </c>
      <c r="B234" s="151" t="s">
        <v>1031</v>
      </c>
      <c r="C234" s="164" t="s">
        <v>1076</v>
      </c>
      <c r="D234" s="164" t="s">
        <v>1077</v>
      </c>
      <c r="E234" s="165">
        <v>1.261574074074074E-3</v>
      </c>
      <c r="F234" s="151" t="s">
        <v>134</v>
      </c>
      <c r="H234" s="151" t="s">
        <v>135</v>
      </c>
      <c r="I234" s="164" t="s">
        <v>1078</v>
      </c>
      <c r="J234" s="164" t="s">
        <v>1079</v>
      </c>
      <c r="K234" s="165">
        <v>8.3333333333333339E-4</v>
      </c>
      <c r="L234" s="151" t="s">
        <v>138</v>
      </c>
      <c r="N234" s="151" t="s">
        <v>139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1030</v>
      </c>
      <c r="B235" s="151" t="s">
        <v>1031</v>
      </c>
      <c r="C235" s="164" t="s">
        <v>1080</v>
      </c>
      <c r="D235" s="164" t="s">
        <v>1081</v>
      </c>
      <c r="E235" s="165">
        <v>9.6064814814814819E-4</v>
      </c>
      <c r="F235" s="151" t="s">
        <v>134</v>
      </c>
      <c r="H235" s="151" t="s">
        <v>135</v>
      </c>
      <c r="I235" s="164" t="s">
        <v>1082</v>
      </c>
      <c r="J235" s="164" t="s">
        <v>1083</v>
      </c>
      <c r="K235" s="165">
        <v>7.6388888888888893E-4</v>
      </c>
      <c r="L235" s="151" t="s">
        <v>138</v>
      </c>
      <c r="N235" s="151" t="s">
        <v>139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1030</v>
      </c>
      <c r="B236" s="151" t="s">
        <v>1031</v>
      </c>
      <c r="C236" s="164" t="s">
        <v>1084</v>
      </c>
      <c r="D236" s="164" t="s">
        <v>1085</v>
      </c>
      <c r="E236" s="165">
        <v>1.3541666666666667E-3</v>
      </c>
      <c r="F236" s="151" t="s">
        <v>134</v>
      </c>
      <c r="H236" s="151" t="s">
        <v>135</v>
      </c>
      <c r="I236" s="164" t="s">
        <v>1086</v>
      </c>
      <c r="J236" s="164" t="s">
        <v>1087</v>
      </c>
      <c r="K236" s="165">
        <v>7.407407407407407E-4</v>
      </c>
      <c r="L236" s="151" t="s">
        <v>138</v>
      </c>
      <c r="N236" s="151" t="s">
        <v>139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1030</v>
      </c>
      <c r="B237" s="151" t="s">
        <v>1031</v>
      </c>
      <c r="C237" s="164" t="s">
        <v>1088</v>
      </c>
      <c r="D237" s="164" t="s">
        <v>1089</v>
      </c>
      <c r="E237" s="165">
        <v>1.0416666666666667E-3</v>
      </c>
      <c r="F237" s="151" t="s">
        <v>134</v>
      </c>
      <c r="H237" s="151" t="s">
        <v>135</v>
      </c>
      <c r="I237" s="164" t="s">
        <v>1090</v>
      </c>
      <c r="J237" s="164" t="s">
        <v>1091</v>
      </c>
      <c r="K237" s="165">
        <v>5.9027777777777778E-4</v>
      </c>
      <c r="L237" s="151" t="s">
        <v>138</v>
      </c>
      <c r="N237" s="151" t="s">
        <v>139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1030</v>
      </c>
      <c r="B238" s="151" t="s">
        <v>1031</v>
      </c>
      <c r="C238" s="164" t="s">
        <v>1092</v>
      </c>
      <c r="D238" s="164" t="s">
        <v>1093</v>
      </c>
      <c r="E238" s="165">
        <v>1.736111111111111E-3</v>
      </c>
      <c r="F238" s="151" t="s">
        <v>134</v>
      </c>
      <c r="H238" s="151" t="s">
        <v>135</v>
      </c>
      <c r="I238" s="164" t="s">
        <v>1094</v>
      </c>
      <c r="J238" s="164" t="s">
        <v>1095</v>
      </c>
      <c r="K238" s="165">
        <v>6.9444444444444447E-4</v>
      </c>
      <c r="L238" s="151" t="s">
        <v>138</v>
      </c>
      <c r="N238" s="151" t="s">
        <v>139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1030</v>
      </c>
      <c r="B239" s="151" t="s">
        <v>1031</v>
      </c>
      <c r="C239" s="164" t="s">
        <v>1096</v>
      </c>
      <c r="D239" s="164" t="s">
        <v>1097</v>
      </c>
      <c r="E239" s="165">
        <v>1.4583333333333334E-3</v>
      </c>
      <c r="F239" s="151" t="s">
        <v>134</v>
      </c>
      <c r="H239" s="151" t="s">
        <v>135</v>
      </c>
      <c r="I239" s="164" t="s">
        <v>1098</v>
      </c>
      <c r="J239" s="164" t="s">
        <v>1099</v>
      </c>
      <c r="K239" s="165">
        <v>6.3657407407407413E-4</v>
      </c>
      <c r="L239" s="151" t="s">
        <v>138</v>
      </c>
      <c r="N239" s="151" t="s">
        <v>139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1030</v>
      </c>
      <c r="B240" s="151" t="s">
        <v>1031</v>
      </c>
      <c r="C240" s="164" t="s">
        <v>1100</v>
      </c>
      <c r="D240" s="164" t="s">
        <v>1101</v>
      </c>
      <c r="E240" s="165">
        <v>2.0601851851851853E-3</v>
      </c>
      <c r="F240" s="151" t="s">
        <v>134</v>
      </c>
      <c r="H240" s="151" t="s">
        <v>135</v>
      </c>
      <c r="I240" s="164" t="s">
        <v>1102</v>
      </c>
      <c r="J240" s="164" t="s">
        <v>1103</v>
      </c>
      <c r="K240" s="165">
        <v>7.1759259259259259E-4</v>
      </c>
      <c r="L240" s="151" t="s">
        <v>138</v>
      </c>
      <c r="N240" s="151" t="s">
        <v>139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1030</v>
      </c>
      <c r="B241" s="151" t="s">
        <v>1031</v>
      </c>
      <c r="C241" s="164" t="s">
        <v>1104</v>
      </c>
      <c r="D241" s="164" t="s">
        <v>1105</v>
      </c>
      <c r="E241" s="165">
        <v>2.3148148148148147E-5</v>
      </c>
      <c r="F241" s="151" t="s">
        <v>134</v>
      </c>
      <c r="H241" s="151" t="s">
        <v>135</v>
      </c>
      <c r="I241" s="164" t="s">
        <v>1106</v>
      </c>
      <c r="J241" s="164" t="s">
        <v>1107</v>
      </c>
      <c r="K241" s="165">
        <v>1.1574074074074073E-5</v>
      </c>
      <c r="L241" s="151" t="s">
        <v>138</v>
      </c>
      <c r="N241" s="151" t="s">
        <v>139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1030</v>
      </c>
      <c r="B242" s="151" t="s">
        <v>1031</v>
      </c>
      <c r="C242" s="164" t="s">
        <v>1108</v>
      </c>
      <c r="D242" s="164" t="s">
        <v>1109</v>
      </c>
      <c r="E242" s="165">
        <v>8.6805555555555551E-4</v>
      </c>
      <c r="F242" s="151" t="s">
        <v>134</v>
      </c>
      <c r="H242" s="151" t="s">
        <v>135</v>
      </c>
      <c r="I242" s="164" t="s">
        <v>1110</v>
      </c>
      <c r="J242" s="164" t="s">
        <v>1111</v>
      </c>
      <c r="K242" s="165">
        <v>6.018518518518519E-4</v>
      </c>
      <c r="L242" s="151" t="s">
        <v>138</v>
      </c>
      <c r="N242" s="151" t="s">
        <v>139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1030</v>
      </c>
      <c r="B243" s="151" t="s">
        <v>1031</v>
      </c>
      <c r="C243" s="164" t="s">
        <v>1112</v>
      </c>
      <c r="D243" s="164" t="s">
        <v>1113</v>
      </c>
      <c r="E243" s="165">
        <v>1.3425925925925925E-3</v>
      </c>
      <c r="F243" s="151" t="s">
        <v>134</v>
      </c>
      <c r="H243" s="151" t="s">
        <v>135</v>
      </c>
      <c r="I243" s="164" t="s">
        <v>1114</v>
      </c>
      <c r="J243" s="164" t="s">
        <v>1115</v>
      </c>
      <c r="K243" s="165">
        <v>7.6388888888888893E-4</v>
      </c>
      <c r="L243" s="151" t="s">
        <v>138</v>
      </c>
      <c r="N243" s="151" t="s">
        <v>139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1030</v>
      </c>
      <c r="B244" s="151" t="s">
        <v>1031</v>
      </c>
      <c r="C244" s="164" t="s">
        <v>1116</v>
      </c>
      <c r="D244" s="164" t="s">
        <v>1117</v>
      </c>
      <c r="E244" s="165">
        <v>2.3148148148148147E-5</v>
      </c>
      <c r="F244" s="151" t="s">
        <v>134</v>
      </c>
      <c r="H244" s="151" t="s">
        <v>135</v>
      </c>
      <c r="I244" s="164" t="s">
        <v>1118</v>
      </c>
      <c r="J244" s="164" t="s">
        <v>1119</v>
      </c>
      <c r="K244" s="165">
        <v>6.8287037037037036E-4</v>
      </c>
      <c r="L244" s="151" t="s">
        <v>138</v>
      </c>
      <c r="N244" s="151" t="s">
        <v>139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1030</v>
      </c>
      <c r="B245" s="151" t="s">
        <v>1031</v>
      </c>
      <c r="C245" s="164" t="s">
        <v>1120</v>
      </c>
      <c r="D245" s="164" t="s">
        <v>1121</v>
      </c>
      <c r="E245" s="165">
        <v>1.3194444444444445E-3</v>
      </c>
      <c r="F245" s="151" t="s">
        <v>134</v>
      </c>
      <c r="H245" s="151" t="s">
        <v>135</v>
      </c>
      <c r="I245" s="164" t="s">
        <v>1122</v>
      </c>
      <c r="J245" s="164" t="s">
        <v>1123</v>
      </c>
      <c r="K245" s="165">
        <v>3.4722222222222222E-5</v>
      </c>
      <c r="L245" s="151" t="s">
        <v>138</v>
      </c>
      <c r="N245" s="151" t="s">
        <v>139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1030</v>
      </c>
      <c r="B246" s="151" t="s">
        <v>1031</v>
      </c>
      <c r="C246" s="164" t="s">
        <v>1124</v>
      </c>
      <c r="D246" s="164" t="s">
        <v>1125</v>
      </c>
      <c r="E246" s="165">
        <v>1.5509259259259259E-3</v>
      </c>
      <c r="F246" s="151" t="s">
        <v>134</v>
      </c>
      <c r="H246" s="151" t="s">
        <v>135</v>
      </c>
      <c r="I246" s="164" t="s">
        <v>1126</v>
      </c>
      <c r="J246" s="164" t="s">
        <v>1127</v>
      </c>
      <c r="K246" s="165">
        <v>5.5555555555555556E-4</v>
      </c>
      <c r="L246" s="151" t="s">
        <v>138</v>
      </c>
      <c r="N246" s="151" t="s">
        <v>139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1030</v>
      </c>
      <c r="B247" s="151" t="s">
        <v>1031</v>
      </c>
      <c r="C247" s="164" t="s">
        <v>1128</v>
      </c>
      <c r="D247" s="164" t="s">
        <v>1129</v>
      </c>
      <c r="E247" s="165">
        <v>1.9791666666666668E-3</v>
      </c>
      <c r="F247" s="151" t="s">
        <v>134</v>
      </c>
      <c r="H247" s="151" t="s">
        <v>135</v>
      </c>
      <c r="I247" s="164" t="s">
        <v>1130</v>
      </c>
      <c r="J247" s="164" t="s">
        <v>1131</v>
      </c>
      <c r="K247" s="165">
        <v>5.3240740740740744E-4</v>
      </c>
      <c r="L247" s="151" t="s">
        <v>138</v>
      </c>
      <c r="N247" s="151" t="s">
        <v>139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C248" s="164"/>
      <c r="D248" s="164"/>
      <c r="E248" s="165"/>
      <c r="I248" s="164"/>
      <c r="J248" s="164"/>
      <c r="K248" s="165"/>
      <c r="Q248" s="165"/>
      <c r="R248" s="165"/>
      <c r="S248" s="165"/>
    </row>
    <row r="249" spans="1:19">
      <c r="C249" s="164"/>
      <c r="D249" s="164"/>
      <c r="E249" s="165"/>
      <c r="J249" s="164"/>
      <c r="K249" s="165"/>
      <c r="Q249" s="165"/>
      <c r="R249" s="165"/>
      <c r="S249" s="165"/>
    </row>
    <row r="250" spans="1:19">
      <c r="C250" s="164"/>
      <c r="D250" s="164"/>
      <c r="E250" s="165"/>
      <c r="I250" s="164"/>
      <c r="J250" s="164"/>
      <c r="K250" s="165"/>
      <c r="Q250" s="165"/>
      <c r="R250" s="165"/>
      <c r="S250" s="165"/>
    </row>
    <row r="251" spans="1:19">
      <c r="C251" s="164"/>
      <c r="D251" s="164"/>
      <c r="E251" s="165"/>
      <c r="I251" s="164"/>
      <c r="J251" s="164"/>
      <c r="K251" s="165"/>
      <c r="Q251" s="165"/>
      <c r="R251" s="165"/>
      <c r="S251" s="165"/>
    </row>
    <row r="252" spans="1:19">
      <c r="C252" s="164"/>
      <c r="D252" s="164"/>
      <c r="E252" s="165"/>
      <c r="I252" s="164"/>
      <c r="J252" s="164"/>
      <c r="K252" s="165"/>
      <c r="Q252" s="165"/>
      <c r="R252" s="165"/>
      <c r="S252" s="165"/>
    </row>
    <row r="253" spans="1:19">
      <c r="C253" s="164"/>
      <c r="D253" s="164"/>
      <c r="E253" s="165"/>
      <c r="I253" s="164"/>
      <c r="J253" s="164"/>
      <c r="K253" s="165"/>
      <c r="Q253" s="165"/>
      <c r="R253" s="165"/>
      <c r="S253" s="165"/>
    </row>
    <row r="254" spans="1:19">
      <c r="C254" s="164"/>
      <c r="D254" s="164"/>
      <c r="E254" s="165"/>
      <c r="I254" s="164"/>
      <c r="J254" s="164"/>
      <c r="K254" s="165"/>
      <c r="Q254" s="165"/>
      <c r="R254" s="165"/>
      <c r="S254" s="165"/>
    </row>
    <row r="255" spans="1:19">
      <c r="C255" s="164"/>
      <c r="D255" s="164"/>
      <c r="E255" s="165"/>
      <c r="I255" s="164"/>
      <c r="J255" s="164"/>
      <c r="K255" s="165"/>
      <c r="Q255" s="165"/>
      <c r="R255" s="165"/>
      <c r="S255" s="165"/>
    </row>
    <row r="256" spans="1:19">
      <c r="C256" s="164"/>
      <c r="D256" s="164"/>
      <c r="E256" s="165"/>
      <c r="I256" s="164"/>
      <c r="J256" s="164"/>
      <c r="K256" s="165"/>
      <c r="Q256" s="165"/>
      <c r="R256" s="165"/>
      <c r="S256" s="165"/>
    </row>
    <row r="257" spans="3:19">
      <c r="C257" s="164"/>
      <c r="D257" s="164"/>
      <c r="E257" s="165"/>
      <c r="I257" s="164"/>
      <c r="J257" s="164"/>
      <c r="K257" s="165"/>
      <c r="Q257" s="165"/>
      <c r="R257" s="165"/>
      <c r="S257" s="165"/>
    </row>
    <row r="258" spans="3:19">
      <c r="C258" s="164"/>
      <c r="D258" s="164"/>
      <c r="E258" s="165"/>
      <c r="I258" s="164"/>
      <c r="J258" s="164"/>
      <c r="K258" s="165"/>
      <c r="Q258" s="165"/>
      <c r="R258" s="165"/>
      <c r="S258" s="165"/>
    </row>
    <row r="259" spans="3:19">
      <c r="C259" s="164"/>
      <c r="D259" s="164"/>
      <c r="E259" s="165"/>
      <c r="I259" s="164"/>
      <c r="J259" s="164"/>
      <c r="K259" s="165"/>
      <c r="Q259" s="165"/>
      <c r="R259" s="165"/>
      <c r="S259" s="165"/>
    </row>
    <row r="260" spans="3:19">
      <c r="C260" s="164"/>
      <c r="D260" s="164"/>
      <c r="E260" s="165"/>
      <c r="I260" s="164"/>
      <c r="J260" s="164"/>
      <c r="K260" s="165"/>
      <c r="Q260" s="165"/>
      <c r="R260" s="165"/>
      <c r="S260" s="165"/>
    </row>
    <row r="261" spans="3:19">
      <c r="C261" s="164"/>
      <c r="D261" s="164"/>
      <c r="E261" s="165"/>
      <c r="I261" s="164"/>
      <c r="J261" s="164"/>
      <c r="K261" s="165"/>
      <c r="Q261" s="165"/>
      <c r="R261" s="165"/>
      <c r="S261" s="165"/>
    </row>
    <row r="262" spans="3:19">
      <c r="C262" s="164"/>
      <c r="D262" s="164"/>
      <c r="E262" s="165"/>
      <c r="I262" s="164"/>
      <c r="J262" s="164"/>
      <c r="K262" s="165"/>
      <c r="Q262" s="165"/>
      <c r="R262" s="165"/>
      <c r="S262" s="165"/>
    </row>
    <row r="263" spans="3:19">
      <c r="C263" s="164"/>
      <c r="D263" s="164"/>
      <c r="E263" s="165"/>
      <c r="I263" s="164"/>
      <c r="J263" s="164"/>
      <c r="K263" s="165"/>
      <c r="Q263" s="165"/>
      <c r="R263" s="165"/>
      <c r="S263" s="165"/>
    </row>
    <row r="264" spans="3:19">
      <c r="C264" s="164"/>
      <c r="D264" s="164"/>
      <c r="E264" s="165"/>
      <c r="H264" s="166"/>
      <c r="I264" s="164"/>
      <c r="J264" s="164"/>
      <c r="K264" s="165"/>
      <c r="Q264" s="165"/>
      <c r="R264" s="165"/>
      <c r="S264" s="165"/>
    </row>
    <row r="265" spans="3:19">
      <c r="C265" s="164"/>
      <c r="D265" s="164"/>
      <c r="E265" s="165"/>
      <c r="I265" s="164"/>
      <c r="J265" s="164"/>
      <c r="K265" s="165"/>
      <c r="Q265" s="165"/>
      <c r="R265" s="165"/>
      <c r="S265" s="165"/>
    </row>
    <row r="266" spans="3:19">
      <c r="C266" s="164"/>
      <c r="D266" s="164"/>
      <c r="E266" s="165"/>
      <c r="I266" s="164"/>
      <c r="J266" s="164"/>
      <c r="K266" s="165"/>
      <c r="Q266" s="165"/>
      <c r="R266" s="165"/>
      <c r="S266" s="165"/>
    </row>
    <row r="267" spans="3:19">
      <c r="C267" s="164"/>
      <c r="D267" s="164"/>
      <c r="E267" s="165"/>
      <c r="I267" s="164"/>
      <c r="J267" s="164"/>
      <c r="K267" s="165"/>
      <c r="Q267" s="165"/>
      <c r="R267" s="165"/>
      <c r="S267" s="165"/>
    </row>
    <row r="268" spans="3:19">
      <c r="C268" s="164"/>
      <c r="D268" s="164"/>
      <c r="E268" s="165"/>
      <c r="I268" s="164"/>
      <c r="J268" s="164"/>
      <c r="K268" s="165"/>
      <c r="Q268" s="165"/>
      <c r="R268" s="165"/>
      <c r="S268" s="165"/>
    </row>
    <row r="269" spans="3:19">
      <c r="C269" s="164"/>
      <c r="D269" s="164"/>
      <c r="E269" s="165"/>
      <c r="I269" s="164"/>
      <c r="J269" s="164"/>
      <c r="K269" s="165"/>
      <c r="Q269" s="165"/>
      <c r="R269" s="165"/>
      <c r="S269" s="165"/>
    </row>
    <row r="270" spans="3:19">
      <c r="C270" s="164"/>
      <c r="D270" s="164"/>
      <c r="E270" s="165"/>
      <c r="I270" s="164"/>
      <c r="J270" s="164"/>
      <c r="K270" s="165"/>
      <c r="Q270" s="165"/>
      <c r="R270" s="165"/>
      <c r="S270" s="165"/>
    </row>
    <row r="271" spans="3:19">
      <c r="C271" s="164"/>
      <c r="D271" s="164"/>
      <c r="E271" s="165"/>
      <c r="I271" s="164"/>
      <c r="J271" s="164"/>
      <c r="K271" s="165"/>
      <c r="Q271" s="165"/>
      <c r="R271" s="165"/>
      <c r="S271" s="165"/>
    </row>
    <row r="272" spans="3:19">
      <c r="C272" s="164"/>
      <c r="D272" s="164"/>
      <c r="E272" s="165"/>
      <c r="I272" s="164"/>
      <c r="J272" s="164"/>
      <c r="K272" s="165"/>
      <c r="Q272" s="165"/>
      <c r="R272" s="165"/>
      <c r="S272" s="165"/>
    </row>
    <row r="273" spans="3:19">
      <c r="C273" s="164"/>
      <c r="D273" s="164"/>
      <c r="E273" s="165"/>
      <c r="I273" s="164"/>
      <c r="J273" s="164"/>
      <c r="K273" s="165"/>
      <c r="Q273" s="165"/>
      <c r="R273" s="165"/>
      <c r="S273" s="165"/>
    </row>
    <row r="274" spans="3:19">
      <c r="C274" s="164"/>
      <c r="D274" s="164"/>
      <c r="E274" s="165"/>
      <c r="I274" s="164"/>
      <c r="J274" s="164"/>
      <c r="K274" s="165"/>
      <c r="Q274" s="165"/>
      <c r="R274" s="165"/>
      <c r="S274" s="165"/>
    </row>
    <row r="275" spans="3:19">
      <c r="C275" s="164"/>
      <c r="D275" s="164"/>
      <c r="E275" s="165"/>
      <c r="I275" s="164"/>
      <c r="J275" s="164"/>
      <c r="K275" s="165"/>
      <c r="Q275" s="165"/>
      <c r="R275" s="165"/>
      <c r="S275" s="165"/>
    </row>
    <row r="276" spans="3:19">
      <c r="C276" s="164"/>
      <c r="D276" s="164"/>
      <c r="E276" s="165"/>
      <c r="I276" s="164"/>
      <c r="J276" s="164"/>
      <c r="K276" s="165"/>
      <c r="Q276" s="165"/>
      <c r="R276" s="165"/>
      <c r="S276" s="165"/>
    </row>
    <row r="277" spans="3:19">
      <c r="C277" s="164"/>
      <c r="D277" s="164"/>
      <c r="E277" s="165"/>
      <c r="I277" s="164"/>
      <c r="J277" s="164"/>
      <c r="K277" s="165"/>
      <c r="Q277" s="165"/>
      <c r="R277" s="165"/>
      <c r="S277" s="165"/>
    </row>
    <row r="278" spans="3:19">
      <c r="C278" s="164"/>
      <c r="D278" s="164"/>
      <c r="E278" s="165"/>
      <c r="I278" s="164"/>
      <c r="J278" s="164"/>
      <c r="K278" s="165"/>
      <c r="Q278" s="165"/>
      <c r="R278" s="165"/>
      <c r="S278" s="165"/>
    </row>
    <row r="279" spans="3:19">
      <c r="C279" s="164"/>
      <c r="D279" s="164"/>
      <c r="E279" s="165"/>
      <c r="I279" s="164"/>
      <c r="J279" s="164"/>
      <c r="K279" s="165"/>
      <c r="Q279" s="165"/>
      <c r="R279" s="165"/>
      <c r="S279" s="165"/>
    </row>
    <row r="280" spans="3:19">
      <c r="C280" s="164"/>
      <c r="D280" s="164"/>
      <c r="E280" s="165"/>
      <c r="I280" s="164"/>
      <c r="J280" s="164"/>
      <c r="K280" s="165"/>
      <c r="Q280" s="165"/>
      <c r="R280" s="165"/>
      <c r="S280" s="165"/>
    </row>
    <row r="281" spans="3:19">
      <c r="C281" s="164"/>
      <c r="D281" s="164"/>
      <c r="E281" s="165"/>
      <c r="I281" s="164"/>
      <c r="J281" s="164"/>
      <c r="K281" s="165"/>
      <c r="Q281" s="165"/>
      <c r="R281" s="165"/>
      <c r="S281" s="165"/>
    </row>
    <row r="282" spans="3:19">
      <c r="C282" s="164"/>
      <c r="D282" s="164"/>
      <c r="E282" s="165"/>
      <c r="I282" s="164"/>
      <c r="J282" s="164"/>
      <c r="K282" s="165"/>
      <c r="Q282" s="165"/>
      <c r="R282" s="165"/>
      <c r="S282" s="165"/>
    </row>
    <row r="283" spans="3:19">
      <c r="C283" s="164"/>
      <c r="D283" s="164"/>
      <c r="E283" s="165"/>
      <c r="I283" s="164"/>
      <c r="J283" s="164"/>
      <c r="K283" s="165"/>
      <c r="Q283" s="165"/>
      <c r="R283" s="165"/>
      <c r="S283" s="165"/>
    </row>
    <row r="284" spans="3:19">
      <c r="C284" s="164"/>
      <c r="D284" s="164"/>
      <c r="E284" s="165"/>
      <c r="I284" s="164"/>
      <c r="J284" s="164"/>
      <c r="K284" s="165"/>
      <c r="Q284" s="165"/>
      <c r="R284" s="165"/>
      <c r="S284" s="165"/>
    </row>
    <row r="285" spans="3:19">
      <c r="C285" s="164"/>
      <c r="D285" s="164"/>
      <c r="E285" s="165"/>
      <c r="I285" s="164"/>
      <c r="J285" s="164"/>
      <c r="K285" s="165"/>
      <c r="Q285" s="165"/>
      <c r="R285" s="165"/>
      <c r="S285" s="165"/>
    </row>
    <row r="286" spans="3:19">
      <c r="C286" s="164"/>
      <c r="D286" s="164"/>
      <c r="E286" s="165"/>
      <c r="I286" s="164"/>
      <c r="J286" s="164"/>
      <c r="K286" s="165"/>
      <c r="Q286" s="165"/>
      <c r="R286" s="165"/>
      <c r="S286" s="165"/>
    </row>
    <row r="287" spans="3:19">
      <c r="C287" s="164"/>
      <c r="D287" s="164"/>
      <c r="E287" s="165"/>
      <c r="I287" s="164"/>
      <c r="J287" s="164"/>
      <c r="K287" s="165"/>
      <c r="Q287" s="165"/>
      <c r="R287" s="165"/>
      <c r="S287" s="165"/>
    </row>
    <row r="288" spans="3:19">
      <c r="C288" s="164"/>
      <c r="D288" s="164"/>
      <c r="E288" s="165"/>
      <c r="I288" s="164"/>
      <c r="J288" s="164"/>
      <c r="K288" s="165"/>
      <c r="Q288" s="165"/>
      <c r="R288" s="165"/>
      <c r="S288" s="165"/>
    </row>
    <row r="289" spans="3:19">
      <c r="C289" s="164"/>
      <c r="D289" s="164"/>
      <c r="E289" s="165"/>
      <c r="I289" s="164"/>
      <c r="J289" s="164"/>
      <c r="K289" s="165"/>
      <c r="Q289" s="165"/>
      <c r="R289" s="165"/>
      <c r="S289" s="165"/>
    </row>
    <row r="290" spans="3:19">
      <c r="C290" s="164"/>
      <c r="D290" s="164"/>
      <c r="E290" s="165"/>
      <c r="I290" s="164"/>
      <c r="J290" s="164"/>
      <c r="K290" s="165"/>
      <c r="Q290" s="165"/>
      <c r="R290" s="165"/>
      <c r="S290" s="165"/>
    </row>
    <row r="291" spans="3:19">
      <c r="C291" s="164"/>
      <c r="D291" s="164"/>
      <c r="E291" s="165"/>
      <c r="I291" s="164"/>
      <c r="J291" s="164"/>
      <c r="K291" s="165"/>
      <c r="Q291" s="165"/>
      <c r="R291" s="165"/>
      <c r="S291" s="165"/>
    </row>
    <row r="292" spans="3:19">
      <c r="C292" s="164"/>
      <c r="D292" s="164"/>
      <c r="E292" s="165"/>
      <c r="I292" s="164"/>
      <c r="J292" s="164"/>
      <c r="K292" s="165"/>
      <c r="Q292" s="165"/>
      <c r="R292" s="165"/>
      <c r="S292" s="165"/>
    </row>
    <row r="293" spans="3:19">
      <c r="C293" s="164"/>
      <c r="D293" s="164"/>
      <c r="E293" s="165"/>
      <c r="I293" s="164"/>
      <c r="J293" s="164"/>
      <c r="K293" s="165"/>
      <c r="Q293" s="165"/>
      <c r="R293" s="165"/>
      <c r="S293" s="165"/>
    </row>
    <row r="294" spans="3:19">
      <c r="C294" s="164"/>
      <c r="D294" s="164"/>
      <c r="E294" s="165"/>
      <c r="I294" s="164"/>
      <c r="J294" s="164"/>
      <c r="K294" s="165"/>
      <c r="Q294" s="165"/>
      <c r="R294" s="165"/>
      <c r="S294" s="165"/>
    </row>
    <row r="295" spans="3:19">
      <c r="C295" s="164"/>
      <c r="D295" s="164"/>
      <c r="E295" s="165"/>
      <c r="I295" s="164"/>
      <c r="J295" s="164"/>
      <c r="K295" s="165"/>
      <c r="Q295" s="165"/>
      <c r="R295" s="165"/>
      <c r="S295" s="165"/>
    </row>
    <row r="296" spans="3:19">
      <c r="C296" s="164"/>
      <c r="D296" s="164"/>
      <c r="E296" s="165"/>
      <c r="I296" s="164"/>
      <c r="J296" s="164"/>
      <c r="K296" s="165"/>
      <c r="Q296" s="165"/>
      <c r="R296" s="165"/>
      <c r="S296" s="165"/>
    </row>
    <row r="297" spans="3:19">
      <c r="C297" s="164"/>
      <c r="D297" s="164"/>
      <c r="E297" s="165"/>
      <c r="I297" s="164"/>
      <c r="J297" s="164"/>
      <c r="K297" s="165"/>
      <c r="Q297" s="165"/>
      <c r="R297" s="165"/>
      <c r="S297" s="165"/>
    </row>
    <row r="298" spans="3:19">
      <c r="C298" s="164"/>
      <c r="D298" s="164"/>
      <c r="E298" s="165"/>
      <c r="I298" s="164"/>
      <c r="J298" s="164"/>
      <c r="K298" s="165"/>
      <c r="Q298" s="165"/>
      <c r="R298" s="165"/>
      <c r="S298" s="165"/>
    </row>
    <row r="299" spans="3:19">
      <c r="C299" s="164"/>
      <c r="D299" s="164"/>
      <c r="E299" s="165"/>
      <c r="I299" s="164"/>
      <c r="J299" s="164"/>
      <c r="K299" s="165"/>
      <c r="Q299" s="165"/>
      <c r="R299" s="165"/>
      <c r="S299" s="165"/>
    </row>
    <row r="300" spans="3:19">
      <c r="C300" s="164"/>
      <c r="D300" s="164"/>
      <c r="E300" s="165"/>
      <c r="I300" s="164"/>
      <c r="J300" s="164"/>
      <c r="K300" s="165"/>
      <c r="Q300" s="165"/>
      <c r="R300" s="165"/>
      <c r="S300" s="165"/>
    </row>
    <row r="301" spans="3:19">
      <c r="C301" s="164"/>
      <c r="D301" s="164"/>
      <c r="E301" s="165"/>
      <c r="I301" s="164"/>
      <c r="J301" s="164"/>
      <c r="K301" s="165"/>
      <c r="Q301" s="165"/>
      <c r="R301" s="165"/>
      <c r="S301" s="165"/>
    </row>
    <row r="302" spans="3:19">
      <c r="C302" s="164"/>
      <c r="D302" s="164"/>
      <c r="E302" s="165"/>
      <c r="I302" s="164"/>
      <c r="J302" s="164"/>
      <c r="K302" s="165"/>
      <c r="Q302" s="165"/>
      <c r="R302" s="165"/>
      <c r="S302" s="165"/>
    </row>
    <row r="303" spans="3:19">
      <c r="C303" s="164"/>
      <c r="D303" s="164"/>
      <c r="E303" s="165"/>
      <c r="I303" s="164"/>
      <c r="J303" s="164"/>
      <c r="K303" s="165"/>
      <c r="Q303" s="165"/>
      <c r="R303" s="165"/>
      <c r="S303" s="165"/>
    </row>
    <row r="304" spans="3:19">
      <c r="C304" s="164"/>
      <c r="D304" s="164"/>
      <c r="E304" s="165"/>
      <c r="I304" s="164"/>
      <c r="J304" s="164"/>
      <c r="K304" s="165"/>
      <c r="Q304" s="165"/>
      <c r="R304" s="165"/>
      <c r="S304" s="165"/>
    </row>
    <row r="305" spans="3:19">
      <c r="C305" s="164"/>
      <c r="D305" s="164"/>
      <c r="E305" s="165"/>
      <c r="I305" s="164"/>
      <c r="J305" s="164"/>
      <c r="K305" s="165"/>
      <c r="Q305" s="165"/>
      <c r="R305" s="165"/>
      <c r="S305" s="165"/>
    </row>
    <row r="306" spans="3:19">
      <c r="C306" s="164"/>
      <c r="D306" s="164"/>
      <c r="E306" s="165"/>
      <c r="I306" s="164"/>
      <c r="J306" s="164"/>
      <c r="K306" s="165"/>
      <c r="Q306" s="165"/>
      <c r="R306" s="165"/>
      <c r="S306" s="165"/>
    </row>
    <row r="307" spans="3:19">
      <c r="C307" s="164"/>
      <c r="D307" s="164"/>
      <c r="E307" s="165"/>
      <c r="I307" s="164"/>
      <c r="J307" s="164"/>
      <c r="K307" s="165"/>
      <c r="Q307" s="165"/>
      <c r="R307" s="165"/>
      <c r="S307" s="165"/>
    </row>
    <row r="308" spans="3:19">
      <c r="C308" s="164"/>
      <c r="D308" s="164"/>
      <c r="E308" s="165"/>
      <c r="I308" s="164"/>
      <c r="J308" s="164"/>
      <c r="K308" s="165"/>
      <c r="Q308" s="165"/>
      <c r="R308" s="165"/>
      <c r="S308" s="165"/>
    </row>
    <row r="309" spans="3:19">
      <c r="C309" s="164"/>
      <c r="D309" s="164"/>
      <c r="E309" s="165"/>
      <c r="I309" s="164"/>
      <c r="J309" s="164"/>
      <c r="K309" s="165"/>
      <c r="Q309" s="165"/>
      <c r="R309" s="165"/>
      <c r="S309" s="165"/>
    </row>
    <row r="310" spans="3:19">
      <c r="C310" s="164"/>
      <c r="D310" s="164"/>
      <c r="E310" s="165"/>
      <c r="I310" s="164"/>
      <c r="J310" s="164"/>
      <c r="K310" s="165"/>
      <c r="Q310" s="165"/>
      <c r="R310" s="165"/>
      <c r="S310" s="165"/>
    </row>
    <row r="311" spans="3:19">
      <c r="C311" s="164"/>
      <c r="D311" s="164"/>
      <c r="E311" s="165"/>
      <c r="I311" s="164"/>
      <c r="J311" s="164"/>
      <c r="K311" s="165"/>
      <c r="Q311" s="165"/>
      <c r="R311" s="165"/>
      <c r="S311" s="165"/>
    </row>
    <row r="312" spans="3:19">
      <c r="C312" s="164"/>
      <c r="D312" s="164"/>
      <c r="E312" s="165"/>
      <c r="I312" s="164"/>
      <c r="J312" s="164"/>
      <c r="K312" s="165"/>
      <c r="Q312" s="165"/>
      <c r="R312" s="165"/>
      <c r="S312" s="165"/>
    </row>
    <row r="313" spans="3:19">
      <c r="C313" s="164"/>
      <c r="D313" s="164"/>
      <c r="E313" s="165"/>
      <c r="I313" s="164"/>
      <c r="J313" s="164"/>
      <c r="K313" s="165"/>
      <c r="Q313" s="165"/>
      <c r="R313" s="165"/>
      <c r="S313" s="165"/>
    </row>
    <row r="314" spans="3:19">
      <c r="C314" s="164"/>
      <c r="D314" s="164"/>
      <c r="E314" s="165"/>
      <c r="I314" s="164"/>
      <c r="J314" s="164"/>
      <c r="K314" s="165"/>
      <c r="Q314" s="165"/>
      <c r="R314" s="165"/>
      <c r="S314" s="165"/>
    </row>
    <row r="315" spans="3:19">
      <c r="C315" s="164"/>
      <c r="D315" s="164"/>
      <c r="E315" s="165"/>
      <c r="I315" s="164"/>
      <c r="J315" s="164"/>
      <c r="K315" s="165"/>
      <c r="Q315" s="165"/>
      <c r="R315" s="165"/>
      <c r="S315" s="165"/>
    </row>
    <row r="316" spans="3:19">
      <c r="C316" s="164"/>
      <c r="D316" s="164"/>
      <c r="E316" s="165"/>
      <c r="I316" s="164"/>
      <c r="J316" s="164"/>
      <c r="K316" s="165"/>
      <c r="Q316" s="165"/>
      <c r="R316" s="165"/>
      <c r="S316" s="165"/>
    </row>
    <row r="317" spans="3:19">
      <c r="C317" s="164"/>
      <c r="D317" s="164"/>
      <c r="E317" s="165"/>
      <c r="I317" s="164"/>
      <c r="J317" s="164"/>
      <c r="K317" s="165"/>
      <c r="Q317" s="165"/>
      <c r="R317" s="165"/>
      <c r="S317" s="165"/>
    </row>
    <row r="318" spans="3:19">
      <c r="C318" s="164"/>
      <c r="D318" s="164"/>
      <c r="E318" s="165"/>
      <c r="I318" s="164"/>
      <c r="J318" s="164"/>
      <c r="K318" s="165"/>
      <c r="Q318" s="165"/>
      <c r="R318" s="165"/>
      <c r="S318" s="165"/>
    </row>
    <row r="319" spans="3:19">
      <c r="C319" s="164"/>
      <c r="D319" s="164"/>
      <c r="E319" s="165"/>
      <c r="I319" s="164"/>
      <c r="J319" s="164"/>
      <c r="K319" s="165"/>
      <c r="Q319" s="165"/>
      <c r="R319" s="165"/>
      <c r="S319" s="165"/>
    </row>
    <row r="320" spans="3:19">
      <c r="C320" s="164"/>
      <c r="D320" s="164"/>
      <c r="E320" s="165"/>
      <c r="I320" s="164"/>
      <c r="J320" s="164"/>
      <c r="K320" s="165"/>
      <c r="Q320" s="165"/>
      <c r="R320" s="165"/>
      <c r="S320" s="165"/>
    </row>
    <row r="321" spans="3:19">
      <c r="C321" s="164"/>
      <c r="D321" s="164"/>
      <c r="E321" s="165"/>
      <c r="I321" s="164"/>
      <c r="J321" s="164"/>
      <c r="K321" s="165"/>
      <c r="Q321" s="165"/>
      <c r="R321" s="165"/>
      <c r="S321" s="165"/>
    </row>
    <row r="322" spans="3:19">
      <c r="C322" s="164"/>
      <c r="D322" s="164"/>
      <c r="E322" s="165"/>
      <c r="I322" s="164"/>
      <c r="J322" s="164"/>
      <c r="K322" s="165"/>
      <c r="Q322" s="165"/>
      <c r="R322" s="165"/>
      <c r="S322" s="165"/>
    </row>
    <row r="323" spans="3:19">
      <c r="C323" s="164"/>
      <c r="D323" s="164"/>
      <c r="E323" s="165"/>
      <c r="I323" s="164"/>
      <c r="J323" s="164"/>
      <c r="K323" s="165"/>
      <c r="Q323" s="165"/>
      <c r="R323" s="165"/>
      <c r="S323" s="165"/>
    </row>
    <row r="324" spans="3:19">
      <c r="C324" s="164"/>
      <c r="D324" s="164"/>
      <c r="E324" s="165"/>
      <c r="I324" s="164"/>
      <c r="J324" s="164"/>
      <c r="K324" s="165"/>
      <c r="Q324" s="165"/>
      <c r="R324" s="165"/>
      <c r="S324" s="165"/>
    </row>
    <row r="325" spans="3:19">
      <c r="C325" s="164"/>
      <c r="D325" s="164"/>
      <c r="E325" s="165"/>
      <c r="I325" s="164"/>
      <c r="J325" s="164"/>
      <c r="K325" s="165"/>
      <c r="Q325" s="165"/>
      <c r="R325" s="165"/>
      <c r="S325" s="165"/>
    </row>
    <row r="326" spans="3:19">
      <c r="C326" s="164"/>
      <c r="D326" s="164"/>
      <c r="E326" s="165"/>
      <c r="I326" s="164"/>
      <c r="J326" s="164"/>
      <c r="K326" s="165"/>
      <c r="Q326" s="165"/>
      <c r="R326" s="165"/>
      <c r="S326" s="165"/>
    </row>
    <row r="327" spans="3:19">
      <c r="C327" s="164"/>
      <c r="D327" s="164"/>
      <c r="E327" s="165"/>
      <c r="I327" s="164"/>
      <c r="J327" s="164"/>
      <c r="K327" s="165"/>
      <c r="Q327" s="165"/>
      <c r="R327" s="165"/>
      <c r="S327" s="165"/>
    </row>
    <row r="328" spans="3:19">
      <c r="C328" s="164"/>
      <c r="D328" s="164"/>
      <c r="E328" s="165"/>
      <c r="I328" s="164"/>
      <c r="J328" s="164"/>
      <c r="K328" s="165"/>
      <c r="Q328" s="165"/>
      <c r="R328" s="165"/>
      <c r="S328" s="165"/>
    </row>
    <row r="329" spans="3:19">
      <c r="C329" s="164"/>
      <c r="D329" s="164"/>
      <c r="E329" s="165"/>
      <c r="I329" s="164"/>
      <c r="J329" s="164"/>
      <c r="K329" s="165"/>
      <c r="Q329" s="165"/>
      <c r="R329" s="165"/>
      <c r="S329" s="165"/>
    </row>
    <row r="330" spans="3:19">
      <c r="C330" s="164"/>
      <c r="D330" s="164"/>
      <c r="E330" s="165"/>
      <c r="I330" s="164"/>
      <c r="J330" s="164"/>
      <c r="K330" s="165"/>
      <c r="Q330" s="165"/>
      <c r="R330" s="165"/>
      <c r="S330" s="165"/>
    </row>
    <row r="331" spans="3:19">
      <c r="C331" s="164"/>
      <c r="D331" s="164"/>
      <c r="E331" s="165"/>
      <c r="I331" s="164"/>
      <c r="J331" s="164"/>
      <c r="K331" s="165"/>
      <c r="Q331" s="165"/>
      <c r="R331" s="165"/>
      <c r="S331" s="165"/>
    </row>
    <row r="332" spans="3:19">
      <c r="C332" s="164"/>
      <c r="D332" s="164"/>
      <c r="E332" s="165"/>
      <c r="I332" s="164"/>
      <c r="J332" s="164"/>
      <c r="K332" s="165"/>
      <c r="Q332" s="165"/>
      <c r="R332" s="165"/>
      <c r="S332" s="165"/>
    </row>
    <row r="333" spans="3:19">
      <c r="C333" s="164"/>
      <c r="D333" s="164"/>
      <c r="E333" s="165"/>
      <c r="I333" s="164"/>
      <c r="J333" s="164"/>
      <c r="K333" s="165"/>
      <c r="Q333" s="165"/>
      <c r="R333" s="165"/>
      <c r="S333" s="165"/>
    </row>
    <row r="334" spans="3:19">
      <c r="C334" s="164"/>
      <c r="D334" s="164"/>
      <c r="E334" s="165"/>
      <c r="I334" s="164"/>
      <c r="J334" s="164"/>
      <c r="K334" s="165"/>
      <c r="Q334" s="165"/>
      <c r="R334" s="165"/>
      <c r="S334" s="165"/>
    </row>
    <row r="335" spans="3:19">
      <c r="C335" s="164"/>
      <c r="D335" s="164"/>
      <c r="E335" s="165"/>
      <c r="I335" s="164"/>
      <c r="J335" s="164"/>
      <c r="K335" s="165"/>
      <c r="Q335" s="165"/>
      <c r="R335" s="165"/>
      <c r="S335" s="165"/>
    </row>
    <row r="336" spans="3:19">
      <c r="C336" s="164"/>
      <c r="D336" s="164"/>
      <c r="E336" s="165"/>
      <c r="I336" s="164"/>
      <c r="J336" s="164"/>
      <c r="K336" s="165"/>
      <c r="Q336" s="165"/>
      <c r="R336" s="165"/>
      <c r="S336" s="165"/>
    </row>
    <row r="337" spans="3:19">
      <c r="C337" s="164"/>
      <c r="D337" s="164"/>
      <c r="E337" s="165"/>
      <c r="I337" s="164"/>
      <c r="J337" s="164"/>
      <c r="K337" s="165"/>
      <c r="Q337" s="165"/>
      <c r="R337" s="165"/>
      <c r="S337" s="165"/>
    </row>
    <row r="338" spans="3:19">
      <c r="C338" s="164"/>
      <c r="D338" s="164"/>
      <c r="E338" s="165"/>
      <c r="I338" s="164"/>
      <c r="J338" s="164"/>
      <c r="K338" s="165"/>
      <c r="Q338" s="165"/>
      <c r="R338" s="165"/>
      <c r="S338" s="165"/>
    </row>
    <row r="339" spans="3:19">
      <c r="C339" s="164"/>
      <c r="D339" s="164"/>
      <c r="E339" s="165"/>
      <c r="I339" s="164"/>
      <c r="J339" s="164"/>
      <c r="K339" s="165"/>
      <c r="Q339" s="165"/>
      <c r="R339" s="165"/>
      <c r="S339" s="165"/>
    </row>
    <row r="340" spans="3:19">
      <c r="C340" s="164"/>
      <c r="D340" s="164"/>
      <c r="E340" s="165"/>
      <c r="I340" s="164"/>
      <c r="J340" s="164"/>
      <c r="K340" s="165"/>
      <c r="Q340" s="165"/>
      <c r="R340" s="165"/>
      <c r="S340" s="165"/>
    </row>
    <row r="341" spans="3:19">
      <c r="C341" s="164"/>
      <c r="D341" s="164"/>
      <c r="E341" s="165"/>
      <c r="I341" s="164"/>
      <c r="J341" s="164"/>
      <c r="K341" s="165"/>
      <c r="Q341" s="165"/>
      <c r="R341" s="165"/>
      <c r="S341" s="165"/>
    </row>
    <row r="342" spans="3:19">
      <c r="C342" s="164"/>
      <c r="D342" s="164"/>
      <c r="E342" s="165"/>
      <c r="I342" s="164"/>
      <c r="J342" s="164"/>
      <c r="K342" s="165"/>
      <c r="Q342" s="165"/>
      <c r="R342" s="165"/>
      <c r="S342" s="165"/>
    </row>
    <row r="343" spans="3:19">
      <c r="C343" s="164"/>
      <c r="D343" s="164"/>
      <c r="E343" s="165"/>
      <c r="I343" s="164"/>
      <c r="J343" s="164"/>
      <c r="K343" s="165"/>
      <c r="Q343" s="165"/>
      <c r="R343" s="165"/>
      <c r="S343" s="165"/>
    </row>
    <row r="344" spans="3:19">
      <c r="C344" s="164"/>
      <c r="D344" s="164"/>
      <c r="E344" s="165"/>
      <c r="I344" s="164"/>
      <c r="J344" s="164"/>
      <c r="K344" s="165"/>
      <c r="Q344" s="165"/>
      <c r="R344" s="165"/>
      <c r="S344" s="165"/>
    </row>
    <row r="345" spans="3:19">
      <c r="C345" s="164"/>
      <c r="D345" s="164"/>
      <c r="E345" s="165"/>
      <c r="I345" s="164"/>
      <c r="J345" s="164"/>
      <c r="K345" s="165"/>
      <c r="Q345" s="165"/>
      <c r="R345" s="165"/>
      <c r="S345" s="165"/>
    </row>
    <row r="346" spans="3:19">
      <c r="C346" s="164"/>
      <c r="D346" s="164"/>
      <c r="E346" s="165"/>
      <c r="I346" s="164"/>
      <c r="J346" s="164"/>
      <c r="K346" s="165"/>
      <c r="Q346" s="165"/>
      <c r="R346" s="165"/>
      <c r="S346" s="165"/>
    </row>
    <row r="347" spans="3:19">
      <c r="C347" s="164"/>
      <c r="D347" s="164"/>
      <c r="E347" s="165"/>
      <c r="I347" s="164"/>
      <c r="J347" s="164"/>
      <c r="K347" s="165"/>
      <c r="Q347" s="165"/>
      <c r="R347" s="165"/>
      <c r="S347" s="165"/>
    </row>
    <row r="348" spans="3:19">
      <c r="C348" s="164"/>
      <c r="D348" s="164"/>
      <c r="E348" s="165"/>
      <c r="I348" s="164"/>
      <c r="J348" s="164"/>
      <c r="K348" s="165"/>
      <c r="Q348" s="165"/>
      <c r="R348" s="165"/>
      <c r="S348" s="165"/>
    </row>
    <row r="349" spans="3:19">
      <c r="C349" s="164"/>
      <c r="D349" s="164"/>
      <c r="E349" s="165"/>
      <c r="I349" s="164"/>
      <c r="J349" s="164"/>
      <c r="K349" s="165"/>
      <c r="Q349" s="165"/>
      <c r="R349" s="165"/>
      <c r="S349" s="165"/>
    </row>
    <row r="350" spans="3:19">
      <c r="C350" s="164"/>
      <c r="D350" s="164"/>
      <c r="E350" s="165"/>
      <c r="I350" s="164"/>
      <c r="J350" s="164"/>
      <c r="K350" s="165"/>
      <c r="Q350" s="165"/>
      <c r="R350" s="165"/>
      <c r="S350" s="165"/>
    </row>
    <row r="351" spans="3:19">
      <c r="C351" s="164"/>
      <c r="D351" s="164"/>
      <c r="E351" s="165"/>
      <c r="I351" s="164"/>
      <c r="J351" s="164"/>
      <c r="K351" s="165"/>
      <c r="Q351" s="165"/>
      <c r="R351" s="165"/>
      <c r="S351" s="165"/>
    </row>
    <row r="352" spans="3:19">
      <c r="C352" s="164"/>
      <c r="D352" s="164"/>
      <c r="E352" s="165"/>
      <c r="I352" s="164"/>
      <c r="J352" s="164"/>
      <c r="K352" s="165"/>
      <c r="Q352" s="165"/>
      <c r="R352" s="165"/>
      <c r="S352" s="165"/>
    </row>
    <row r="353" spans="3:19">
      <c r="C353" s="164"/>
      <c r="D353" s="164"/>
      <c r="E353" s="165"/>
      <c r="I353" s="164"/>
      <c r="J353" s="164"/>
      <c r="K353" s="165"/>
      <c r="Q353" s="165"/>
      <c r="R353" s="165"/>
      <c r="S353" s="165"/>
    </row>
    <row r="354" spans="3:19">
      <c r="C354" s="164"/>
      <c r="D354" s="164"/>
      <c r="E354" s="165"/>
      <c r="I354" s="164"/>
      <c r="J354" s="164"/>
      <c r="K354" s="165"/>
      <c r="Q354" s="165"/>
      <c r="R354" s="165"/>
      <c r="S354" s="165"/>
    </row>
    <row r="355" spans="3:19">
      <c r="C355" s="164"/>
      <c r="D355" s="164"/>
      <c r="E355" s="165"/>
      <c r="I355" s="164"/>
      <c r="J355" s="164"/>
      <c r="K355" s="165"/>
      <c r="Q355" s="165"/>
      <c r="R355" s="165"/>
      <c r="S355" s="165"/>
    </row>
    <row r="356" spans="3:19">
      <c r="C356" s="164"/>
      <c r="D356" s="164"/>
      <c r="E356" s="165"/>
      <c r="I356" s="164"/>
      <c r="J356" s="164"/>
      <c r="K356" s="165"/>
      <c r="Q356" s="165"/>
      <c r="R356" s="165"/>
      <c r="S356" s="165"/>
    </row>
    <row r="357" spans="3:19">
      <c r="C357" s="164"/>
      <c r="D357" s="164"/>
      <c r="E357" s="165"/>
      <c r="I357" s="164"/>
      <c r="J357" s="164"/>
      <c r="K357" s="165"/>
      <c r="Q357" s="165"/>
      <c r="R357" s="165"/>
      <c r="S357" s="165"/>
    </row>
    <row r="358" spans="3:19">
      <c r="C358" s="164"/>
      <c r="D358" s="164"/>
      <c r="E358" s="165"/>
      <c r="I358" s="164"/>
      <c r="J358" s="164"/>
      <c r="K358" s="165"/>
      <c r="Q358" s="165"/>
      <c r="R358" s="165"/>
      <c r="S358" s="165"/>
    </row>
    <row r="359" spans="3:19">
      <c r="C359" s="164"/>
      <c r="D359" s="164"/>
      <c r="E359" s="165"/>
      <c r="I359" s="164"/>
      <c r="J359" s="164"/>
      <c r="K359" s="165"/>
      <c r="Q359" s="165"/>
      <c r="R359" s="165"/>
      <c r="S359" s="165"/>
    </row>
    <row r="360" spans="3:19">
      <c r="C360" s="164"/>
      <c r="D360" s="164"/>
      <c r="E360" s="165"/>
      <c r="I360" s="164"/>
      <c r="J360" s="164"/>
      <c r="K360" s="165"/>
      <c r="Q360" s="165"/>
      <c r="R360" s="165"/>
      <c r="S360" s="165"/>
    </row>
    <row r="361" spans="3:19">
      <c r="C361" s="164"/>
      <c r="D361" s="164"/>
      <c r="E361" s="165"/>
      <c r="I361" s="164"/>
      <c r="J361" s="164"/>
      <c r="K361" s="165"/>
      <c r="Q361" s="165"/>
      <c r="R361" s="165"/>
      <c r="S361" s="165"/>
    </row>
    <row r="362" spans="3:19">
      <c r="C362" s="164"/>
      <c r="D362" s="164"/>
      <c r="E362" s="165"/>
      <c r="I362" s="164"/>
      <c r="J362" s="164"/>
      <c r="K362" s="165"/>
      <c r="Q362" s="165"/>
      <c r="R362" s="165"/>
      <c r="S362" s="165"/>
    </row>
    <row r="363" spans="3:19">
      <c r="C363" s="164"/>
      <c r="D363" s="164"/>
      <c r="E363" s="165"/>
      <c r="I363" s="164"/>
      <c r="J363" s="164"/>
      <c r="K363" s="165"/>
      <c r="Q363" s="165"/>
      <c r="R363" s="165"/>
      <c r="S363" s="165"/>
    </row>
    <row r="364" spans="3:19">
      <c r="C364" s="164"/>
      <c r="D364" s="164"/>
      <c r="E364" s="165"/>
      <c r="I364" s="164"/>
      <c r="J364" s="164"/>
      <c r="K364" s="165"/>
      <c r="Q364" s="165"/>
      <c r="R364" s="165"/>
      <c r="S364" s="165"/>
    </row>
    <row r="365" spans="3:19">
      <c r="C365" s="164"/>
      <c r="D365" s="164"/>
      <c r="E365" s="165"/>
      <c r="I365" s="164"/>
      <c r="J365" s="164"/>
      <c r="K365" s="165"/>
      <c r="Q365" s="165"/>
      <c r="R365" s="165"/>
      <c r="S365" s="165"/>
    </row>
    <row r="366" spans="3:19">
      <c r="C366" s="164"/>
      <c r="D366" s="164"/>
      <c r="E366" s="165"/>
      <c r="I366" s="164"/>
      <c r="J366" s="164"/>
      <c r="K366" s="165"/>
      <c r="Q366" s="165"/>
      <c r="R366" s="165"/>
      <c r="S366" s="165"/>
    </row>
    <row r="367" spans="3:19">
      <c r="C367" s="164"/>
      <c r="D367" s="164"/>
      <c r="E367" s="165"/>
      <c r="I367" s="164"/>
      <c r="J367" s="164"/>
      <c r="K367" s="165"/>
      <c r="Q367" s="165"/>
      <c r="R367" s="165"/>
      <c r="S367" s="165"/>
    </row>
    <row r="368" spans="3:19">
      <c r="C368" s="164"/>
      <c r="D368" s="164"/>
      <c r="E368" s="165"/>
      <c r="I368" s="164"/>
      <c r="J368" s="164"/>
      <c r="K368" s="165"/>
      <c r="Q368" s="165"/>
      <c r="R368" s="165"/>
      <c r="S368" s="165"/>
    </row>
    <row r="369" spans="3:19">
      <c r="C369" s="164"/>
      <c r="D369" s="164"/>
      <c r="E369" s="165"/>
      <c r="I369" s="164"/>
      <c r="J369" s="164"/>
      <c r="K369" s="165"/>
      <c r="Q369" s="165"/>
      <c r="R369" s="165"/>
      <c r="S369" s="165"/>
    </row>
    <row r="370" spans="3:19">
      <c r="C370" s="164"/>
      <c r="D370" s="164"/>
      <c r="E370" s="165"/>
      <c r="I370" s="164"/>
      <c r="J370" s="164"/>
      <c r="K370" s="165"/>
      <c r="Q370" s="165"/>
      <c r="R370" s="165"/>
      <c r="S370" s="165"/>
    </row>
    <row r="371" spans="3:19">
      <c r="C371" s="164"/>
      <c r="D371" s="164"/>
      <c r="E371" s="165"/>
      <c r="I371" s="164"/>
      <c r="J371" s="164"/>
      <c r="K371" s="165"/>
      <c r="Q371" s="165"/>
      <c r="R371" s="165"/>
      <c r="S371" s="165"/>
    </row>
    <row r="372" spans="3:19">
      <c r="C372" s="164"/>
      <c r="D372" s="164"/>
      <c r="E372" s="165"/>
      <c r="I372" s="164"/>
      <c r="J372" s="164"/>
      <c r="K372" s="165"/>
      <c r="Q372" s="165"/>
      <c r="R372" s="165"/>
      <c r="S372" s="165"/>
    </row>
    <row r="373" spans="3:19">
      <c r="C373" s="164"/>
      <c r="D373" s="164"/>
      <c r="E373" s="165"/>
      <c r="I373" s="164"/>
      <c r="J373" s="164"/>
      <c r="K373" s="165"/>
      <c r="Q373" s="165"/>
      <c r="R373" s="165"/>
      <c r="S373" s="165"/>
    </row>
    <row r="374" spans="3:19">
      <c r="C374" s="164"/>
      <c r="D374" s="164"/>
      <c r="E374" s="165"/>
      <c r="I374" s="164"/>
      <c r="J374" s="164"/>
      <c r="K374" s="165"/>
      <c r="Q374" s="165"/>
      <c r="R374" s="165"/>
      <c r="S374" s="165"/>
    </row>
    <row r="375" spans="3:19">
      <c r="C375" s="164"/>
      <c r="D375" s="164"/>
      <c r="E375" s="165"/>
      <c r="I375" s="164"/>
      <c r="J375" s="164"/>
      <c r="K375" s="165"/>
      <c r="Q375" s="165"/>
      <c r="R375" s="165"/>
      <c r="S375" s="165"/>
    </row>
    <row r="376" spans="3:19">
      <c r="C376" s="164"/>
      <c r="D376" s="164"/>
      <c r="E376" s="165"/>
      <c r="I376" s="164"/>
      <c r="J376" s="164"/>
      <c r="K376" s="165"/>
      <c r="Q376" s="165"/>
      <c r="R376" s="165"/>
      <c r="S376" s="165"/>
    </row>
    <row r="377" spans="3:19">
      <c r="C377" s="164"/>
      <c r="D377" s="164"/>
      <c r="E377" s="165"/>
      <c r="I377" s="164"/>
      <c r="J377" s="164"/>
      <c r="K377" s="165"/>
      <c r="Q377" s="165"/>
      <c r="R377" s="165"/>
      <c r="S377" s="165"/>
    </row>
    <row r="378" spans="3:19">
      <c r="C378" s="164"/>
      <c r="D378" s="164"/>
      <c r="E378" s="165"/>
      <c r="I378" s="164"/>
      <c r="J378" s="164"/>
      <c r="K378" s="165"/>
      <c r="Q378" s="165"/>
      <c r="R378" s="165"/>
      <c r="S378" s="165"/>
    </row>
    <row r="379" spans="3:19">
      <c r="C379" s="164"/>
      <c r="D379" s="164"/>
      <c r="E379" s="165"/>
      <c r="I379" s="164"/>
      <c r="J379" s="164"/>
      <c r="K379" s="165"/>
      <c r="Q379" s="165"/>
      <c r="R379" s="165"/>
      <c r="S379" s="165"/>
    </row>
    <row r="380" spans="3:19">
      <c r="C380" s="164"/>
      <c r="D380" s="164"/>
      <c r="E380" s="165"/>
      <c r="I380" s="164"/>
      <c r="J380" s="164"/>
      <c r="K380" s="165"/>
      <c r="Q380" s="165"/>
      <c r="R380" s="165"/>
      <c r="S380" s="165"/>
    </row>
    <row r="381" spans="3:19">
      <c r="C381" s="164"/>
      <c r="D381" s="164"/>
      <c r="E381" s="165"/>
      <c r="I381" s="164"/>
      <c r="J381" s="164"/>
      <c r="K381" s="165"/>
      <c r="Q381" s="165"/>
      <c r="R381" s="165"/>
      <c r="S381" s="165"/>
    </row>
    <row r="382" spans="3:19">
      <c r="C382" s="164"/>
      <c r="D382" s="164"/>
      <c r="E382" s="165"/>
      <c r="I382" s="164"/>
      <c r="J382" s="164"/>
      <c r="K382" s="165"/>
      <c r="Q382" s="165"/>
      <c r="R382" s="165"/>
      <c r="S382" s="165"/>
    </row>
    <row r="383" spans="3:19">
      <c r="C383" s="164"/>
      <c r="D383" s="164"/>
      <c r="E383" s="165"/>
      <c r="I383" s="164"/>
      <c r="J383" s="164"/>
      <c r="K383" s="165"/>
      <c r="Q383" s="165"/>
      <c r="R383" s="165"/>
      <c r="S383" s="165"/>
    </row>
    <row r="384" spans="3:19">
      <c r="C384" s="164"/>
      <c r="D384" s="164"/>
      <c r="E384" s="165"/>
      <c r="I384" s="164"/>
      <c r="J384" s="164"/>
      <c r="K384" s="165"/>
      <c r="Q384" s="165"/>
      <c r="R384" s="165"/>
      <c r="S384" s="165"/>
    </row>
    <row r="385" spans="3:19">
      <c r="C385" s="164"/>
      <c r="D385" s="164"/>
      <c r="E385" s="165"/>
      <c r="I385" s="164"/>
      <c r="J385" s="164"/>
      <c r="K385" s="165"/>
      <c r="Q385" s="165"/>
      <c r="R385" s="165"/>
      <c r="S385" s="165"/>
    </row>
    <row r="386" spans="3:19">
      <c r="C386" s="164"/>
      <c r="D386" s="164"/>
      <c r="E386" s="165"/>
      <c r="I386" s="164"/>
      <c r="J386" s="164"/>
      <c r="K386" s="165"/>
      <c r="Q386" s="165"/>
      <c r="R386" s="165"/>
      <c r="S386" s="165"/>
    </row>
    <row r="387" spans="3:19">
      <c r="C387" s="164"/>
      <c r="D387" s="164"/>
      <c r="E387" s="165"/>
      <c r="I387" s="164"/>
      <c r="J387" s="164"/>
      <c r="K387" s="165"/>
      <c r="Q387" s="165"/>
      <c r="R387" s="165"/>
      <c r="S387" s="165"/>
    </row>
    <row r="388" spans="3:19">
      <c r="C388" s="164"/>
      <c r="D388" s="164"/>
      <c r="E388" s="165"/>
      <c r="I388" s="164"/>
      <c r="J388" s="164"/>
      <c r="K388" s="165"/>
      <c r="Q388" s="165"/>
      <c r="R388" s="165"/>
      <c r="S388" s="165"/>
    </row>
    <row r="389" spans="3:19">
      <c r="C389" s="164"/>
      <c r="D389" s="164"/>
      <c r="E389" s="165"/>
      <c r="I389" s="164"/>
      <c r="J389" s="164"/>
      <c r="K389" s="165"/>
      <c r="Q389" s="165"/>
      <c r="R389" s="165"/>
      <c r="S389" s="165"/>
    </row>
    <row r="390" spans="3:19">
      <c r="C390" s="164"/>
      <c r="D390" s="164"/>
      <c r="E390" s="165"/>
      <c r="I390" s="164"/>
      <c r="J390" s="164"/>
      <c r="K390" s="165"/>
      <c r="Q390" s="165"/>
      <c r="R390" s="165"/>
      <c r="S390" s="165"/>
    </row>
    <row r="391" spans="3:19">
      <c r="C391" s="164"/>
      <c r="D391" s="164"/>
      <c r="E391" s="165"/>
      <c r="I391" s="164"/>
      <c r="J391" s="164"/>
      <c r="K391" s="165"/>
      <c r="Q391" s="165"/>
      <c r="R391" s="165"/>
      <c r="S391" s="165"/>
    </row>
    <row r="392" spans="3:19">
      <c r="C392" s="164"/>
      <c r="D392" s="164"/>
      <c r="E392" s="165"/>
      <c r="I392" s="164"/>
      <c r="J392" s="164"/>
      <c r="K392" s="165"/>
      <c r="Q392" s="165"/>
      <c r="R392" s="165"/>
      <c r="S392" s="165"/>
    </row>
    <row r="393" spans="3:19">
      <c r="C393" s="164"/>
      <c r="D393" s="164"/>
      <c r="E393" s="165"/>
      <c r="I393" s="164"/>
      <c r="J393" s="164"/>
      <c r="K393" s="165"/>
      <c r="Q393" s="165"/>
      <c r="R393" s="165"/>
      <c r="S393" s="165"/>
    </row>
    <row r="394" spans="3:19">
      <c r="C394" s="164"/>
      <c r="D394" s="164"/>
      <c r="E394" s="165"/>
      <c r="I394" s="164"/>
      <c r="J394" s="164"/>
      <c r="K394" s="165"/>
      <c r="Q394" s="165"/>
      <c r="R394" s="165"/>
      <c r="S394" s="165"/>
    </row>
    <row r="395" spans="3:19">
      <c r="C395" s="164"/>
      <c r="D395" s="164"/>
      <c r="E395" s="165"/>
      <c r="I395" s="164"/>
      <c r="J395" s="164"/>
      <c r="K395" s="165"/>
      <c r="Q395" s="165"/>
      <c r="R395" s="165"/>
      <c r="S395" s="165"/>
    </row>
    <row r="396" spans="3:19">
      <c r="C396" s="164"/>
      <c r="D396" s="164"/>
      <c r="E396" s="165"/>
      <c r="I396" s="164"/>
      <c r="J396" s="164"/>
      <c r="K396" s="165"/>
      <c r="Q396" s="165"/>
      <c r="R396" s="165"/>
      <c r="S396" s="165"/>
    </row>
    <row r="397" spans="3:19">
      <c r="C397" s="164"/>
      <c r="D397" s="164"/>
      <c r="E397" s="165"/>
      <c r="I397" s="164"/>
      <c r="J397" s="164"/>
      <c r="K397" s="165"/>
      <c r="Q397" s="165"/>
      <c r="R397" s="165"/>
      <c r="S397" s="165"/>
    </row>
    <row r="398" spans="3:19">
      <c r="C398" s="164"/>
      <c r="D398" s="164"/>
      <c r="E398" s="165"/>
      <c r="I398" s="164"/>
      <c r="J398" s="164"/>
      <c r="K398" s="165"/>
      <c r="Q398" s="165"/>
      <c r="R398" s="165"/>
      <c r="S398" s="165"/>
    </row>
    <row r="399" spans="3:19">
      <c r="C399" s="164"/>
      <c r="D399" s="164"/>
      <c r="E399" s="165"/>
      <c r="I399" s="164"/>
      <c r="J399" s="164"/>
      <c r="K399" s="165"/>
      <c r="Q399" s="165"/>
      <c r="R399" s="165"/>
      <c r="S399" s="165"/>
    </row>
    <row r="400" spans="3:19">
      <c r="C400" s="164"/>
      <c r="D400" s="164"/>
      <c r="E400" s="165"/>
      <c r="I400" s="164"/>
      <c r="J400" s="164"/>
      <c r="K400" s="165"/>
      <c r="N400" s="166"/>
      <c r="Q400" s="165"/>
      <c r="R400" s="165"/>
      <c r="S400" s="165"/>
    </row>
    <row r="401" spans="3:19">
      <c r="C401" s="164"/>
      <c r="D401" s="164"/>
      <c r="E401" s="165"/>
      <c r="I401" s="164"/>
      <c r="J401" s="164"/>
      <c r="K401" s="165"/>
      <c r="Q401" s="165"/>
      <c r="R401" s="165"/>
      <c r="S401" s="165"/>
    </row>
    <row r="402" spans="3:19">
      <c r="C402" s="164"/>
      <c r="D402" s="164"/>
      <c r="E402" s="165"/>
      <c r="I402" s="164"/>
      <c r="J402" s="164"/>
      <c r="K402" s="165"/>
      <c r="Q402" s="165"/>
      <c r="R402" s="165"/>
      <c r="S402" s="165"/>
    </row>
    <row r="403" spans="3:19">
      <c r="C403" s="164"/>
      <c r="D403" s="164"/>
      <c r="E403" s="165"/>
      <c r="I403" s="164"/>
      <c r="J403" s="164"/>
      <c r="K403" s="165"/>
      <c r="Q403" s="165"/>
      <c r="R403" s="165"/>
      <c r="S403" s="165"/>
    </row>
    <row r="404" spans="3:19">
      <c r="C404" s="164"/>
      <c r="D404" s="164"/>
      <c r="E404" s="165"/>
      <c r="I404" s="164"/>
      <c r="J404" s="164"/>
      <c r="K404" s="165"/>
      <c r="Q404" s="165"/>
      <c r="R404" s="165"/>
      <c r="S404" s="165"/>
    </row>
    <row r="405" spans="3:19">
      <c r="C405" s="164"/>
      <c r="D405" s="164"/>
      <c r="E405" s="165"/>
      <c r="I405" s="164"/>
      <c r="J405" s="164"/>
      <c r="K405" s="165"/>
      <c r="Q405" s="165"/>
      <c r="R405" s="165"/>
      <c r="S405" s="165"/>
    </row>
    <row r="406" spans="3:19">
      <c r="C406" s="164"/>
      <c r="D406" s="164"/>
      <c r="E406" s="165"/>
      <c r="I406" s="164"/>
      <c r="J406" s="164"/>
      <c r="K406" s="165"/>
      <c r="Q406" s="165"/>
      <c r="R406" s="165"/>
      <c r="S406" s="165"/>
    </row>
    <row r="407" spans="3:19">
      <c r="C407" s="164"/>
      <c r="D407" s="164"/>
      <c r="E407" s="165"/>
      <c r="I407" s="164"/>
      <c r="J407" s="164"/>
      <c r="K407" s="165"/>
      <c r="Q407" s="165"/>
      <c r="R407" s="165"/>
      <c r="S407" s="165"/>
    </row>
    <row r="408" spans="3:19">
      <c r="C408" s="164"/>
      <c r="D408" s="164"/>
      <c r="E408" s="165"/>
      <c r="I408" s="164"/>
      <c r="J408" s="164"/>
      <c r="K408" s="165"/>
      <c r="Q408" s="165"/>
      <c r="R408" s="165"/>
      <c r="S408" s="165"/>
    </row>
    <row r="409" spans="3:19">
      <c r="C409" s="164"/>
      <c r="D409" s="164"/>
      <c r="E409" s="165"/>
      <c r="I409" s="164"/>
      <c r="J409" s="164"/>
      <c r="K409" s="165"/>
      <c r="Q409" s="165"/>
      <c r="R409" s="165"/>
      <c r="S409" s="165"/>
    </row>
    <row r="410" spans="3:19">
      <c r="C410" s="164"/>
      <c r="D410" s="164"/>
      <c r="E410" s="165"/>
      <c r="I410" s="164"/>
      <c r="J410" s="164"/>
      <c r="K410" s="165"/>
      <c r="Q410" s="165"/>
      <c r="R410" s="165"/>
      <c r="S410" s="165"/>
    </row>
    <row r="411" spans="3:19">
      <c r="C411" s="164"/>
      <c r="D411" s="164"/>
      <c r="E411" s="165"/>
      <c r="I411" s="164"/>
      <c r="J411" s="164"/>
      <c r="K411" s="165"/>
      <c r="Q411" s="165"/>
      <c r="R411" s="165"/>
      <c r="S411" s="165"/>
    </row>
    <row r="412" spans="3:19">
      <c r="C412" s="164"/>
      <c r="D412" s="164"/>
      <c r="E412" s="165"/>
      <c r="I412" s="164"/>
      <c r="J412" s="164"/>
      <c r="K412" s="165"/>
      <c r="Q412" s="165"/>
      <c r="R412" s="165"/>
      <c r="S412" s="165"/>
    </row>
    <row r="413" spans="3:19">
      <c r="C413" s="164"/>
      <c r="D413" s="164"/>
      <c r="E413" s="165"/>
      <c r="I413" s="164"/>
      <c r="J413" s="164"/>
      <c r="K413" s="165"/>
      <c r="Q413" s="165"/>
      <c r="R413" s="165"/>
      <c r="S413" s="165"/>
    </row>
    <row r="414" spans="3:19">
      <c r="C414" s="164"/>
      <c r="D414" s="164"/>
      <c r="E414" s="165"/>
      <c r="I414" s="164"/>
      <c r="J414" s="164"/>
      <c r="K414" s="165"/>
      <c r="Q414" s="165"/>
      <c r="R414" s="165"/>
      <c r="S414" s="165"/>
    </row>
    <row r="415" spans="3:19">
      <c r="C415" s="164"/>
      <c r="D415" s="164"/>
      <c r="E415" s="165"/>
      <c r="I415" s="164"/>
      <c r="J415" s="164"/>
      <c r="K415" s="165"/>
      <c r="Q415" s="165"/>
      <c r="R415" s="165"/>
      <c r="S415" s="165"/>
    </row>
    <row r="416" spans="3:19">
      <c r="C416" s="164"/>
      <c r="D416" s="164"/>
      <c r="E416" s="165"/>
      <c r="I416" s="164"/>
      <c r="J416" s="164"/>
      <c r="K416" s="165"/>
      <c r="Q416" s="165"/>
      <c r="R416" s="165"/>
      <c r="S416" s="165"/>
    </row>
    <row r="417" spans="3:19">
      <c r="C417" s="164"/>
      <c r="D417" s="164"/>
      <c r="E417" s="165"/>
      <c r="I417" s="164"/>
      <c r="J417" s="164"/>
      <c r="K417" s="165"/>
      <c r="Q417" s="165"/>
      <c r="R417" s="165"/>
      <c r="S417" s="165"/>
    </row>
    <row r="418" spans="3:19">
      <c r="C418" s="164"/>
      <c r="D418" s="164"/>
      <c r="E418" s="165"/>
      <c r="I418" s="164"/>
      <c r="J418" s="164"/>
      <c r="K418" s="165"/>
      <c r="Q418" s="165"/>
      <c r="R418" s="165"/>
      <c r="S418" s="165"/>
    </row>
    <row r="419" spans="3:19">
      <c r="C419" s="164"/>
      <c r="D419" s="164"/>
      <c r="E419" s="165"/>
      <c r="I419" s="164"/>
      <c r="J419" s="164"/>
      <c r="K419" s="165"/>
      <c r="Q419" s="165"/>
      <c r="R419" s="165"/>
      <c r="S419" s="165"/>
    </row>
    <row r="420" spans="3:19">
      <c r="C420" s="164"/>
      <c r="D420" s="164"/>
      <c r="E420" s="165"/>
      <c r="I420" s="164"/>
      <c r="J420" s="164"/>
      <c r="K420" s="165"/>
      <c r="Q420" s="165"/>
      <c r="R420" s="165"/>
      <c r="S420" s="165"/>
    </row>
    <row r="421" spans="3:19">
      <c r="C421" s="164"/>
      <c r="D421" s="164"/>
      <c r="E421" s="165"/>
      <c r="I421" s="164"/>
      <c r="J421" s="164"/>
      <c r="K421" s="165"/>
      <c r="Q421" s="165"/>
      <c r="R421" s="165"/>
      <c r="S421" s="165"/>
    </row>
    <row r="422" spans="3:19">
      <c r="C422" s="164"/>
      <c r="D422" s="164"/>
      <c r="E422" s="165"/>
      <c r="I422" s="164"/>
      <c r="J422" s="164"/>
      <c r="K422" s="165"/>
      <c r="Q422" s="165"/>
      <c r="R422" s="165"/>
      <c r="S422" s="165"/>
    </row>
    <row r="423" spans="3:19">
      <c r="C423" s="164"/>
      <c r="D423" s="164"/>
      <c r="E423" s="165"/>
      <c r="I423" s="164"/>
      <c r="J423" s="164"/>
      <c r="K423" s="165"/>
      <c r="Q423" s="165"/>
      <c r="R423" s="165"/>
      <c r="S423" s="165"/>
    </row>
    <row r="424" spans="3:19">
      <c r="C424" s="164"/>
      <c r="D424" s="164"/>
      <c r="E424" s="165"/>
      <c r="I424" s="164"/>
      <c r="J424" s="164"/>
      <c r="K424" s="165"/>
      <c r="Q424" s="165"/>
      <c r="R424" s="165"/>
      <c r="S424" s="165"/>
    </row>
    <row r="425" spans="3:19">
      <c r="C425" s="164"/>
      <c r="D425" s="164"/>
      <c r="E425" s="165"/>
      <c r="I425" s="164"/>
      <c r="J425" s="164"/>
      <c r="K425" s="165"/>
      <c r="Q425" s="165"/>
      <c r="R425" s="165"/>
      <c r="S425" s="165"/>
    </row>
    <row r="426" spans="3:19">
      <c r="C426" s="164"/>
      <c r="D426" s="164"/>
      <c r="E426" s="165"/>
      <c r="I426" s="164"/>
      <c r="J426" s="164"/>
      <c r="K426" s="165"/>
      <c r="Q426" s="165"/>
      <c r="R426" s="165"/>
      <c r="S426" s="165"/>
    </row>
    <row r="427" spans="3:19">
      <c r="C427" s="164"/>
      <c r="D427" s="164"/>
      <c r="E427" s="165"/>
      <c r="I427" s="164"/>
      <c r="J427" s="164"/>
      <c r="K427" s="165"/>
      <c r="Q427" s="165"/>
      <c r="R427" s="165"/>
      <c r="S427" s="165"/>
    </row>
    <row r="428" spans="3:19">
      <c r="C428" s="164"/>
      <c r="D428" s="164"/>
      <c r="E428" s="165"/>
      <c r="I428" s="164"/>
      <c r="J428" s="164"/>
      <c r="K428" s="165"/>
      <c r="Q428" s="165"/>
      <c r="R428" s="165"/>
      <c r="S428" s="165"/>
    </row>
    <row r="429" spans="3:19">
      <c r="C429" s="164"/>
      <c r="D429" s="164"/>
      <c r="E429" s="165"/>
      <c r="I429" s="164"/>
      <c r="J429" s="164"/>
      <c r="K429" s="165"/>
      <c r="Q429" s="165"/>
      <c r="R429" s="165"/>
      <c r="S429" s="165"/>
    </row>
    <row r="430" spans="3:19">
      <c r="C430" s="164"/>
      <c r="D430" s="164"/>
      <c r="E430" s="165"/>
      <c r="I430" s="164"/>
      <c r="J430" s="164"/>
      <c r="K430" s="165"/>
      <c r="Q430" s="165"/>
      <c r="R430" s="165"/>
      <c r="S430" s="165"/>
    </row>
    <row r="431" spans="3:19">
      <c r="C431" s="164"/>
      <c r="D431" s="164"/>
      <c r="E431" s="165"/>
      <c r="I431" s="164"/>
      <c r="J431" s="164"/>
      <c r="K431" s="165"/>
      <c r="Q431" s="165"/>
      <c r="R431" s="165"/>
      <c r="S431" s="165"/>
    </row>
    <row r="432" spans="3:19">
      <c r="C432" s="164"/>
      <c r="D432" s="164"/>
      <c r="E432" s="165"/>
      <c r="I432" s="164"/>
      <c r="J432" s="164"/>
      <c r="K432" s="165"/>
      <c r="Q432" s="165"/>
      <c r="R432" s="165"/>
      <c r="S432" s="165"/>
    </row>
    <row r="433" spans="3:19">
      <c r="C433" s="164"/>
      <c r="D433" s="164"/>
      <c r="E433" s="165"/>
      <c r="I433" s="164"/>
      <c r="J433" s="164"/>
      <c r="K433" s="165"/>
      <c r="Q433" s="165"/>
      <c r="R433" s="165"/>
      <c r="S433" s="165"/>
    </row>
    <row r="434" spans="3:19">
      <c r="C434" s="164"/>
      <c r="D434" s="164"/>
      <c r="E434" s="165"/>
      <c r="I434" s="164"/>
      <c r="J434" s="164"/>
      <c r="K434" s="165"/>
      <c r="Q434" s="165"/>
      <c r="R434" s="165"/>
      <c r="S434" s="165"/>
    </row>
    <row r="435" spans="3:19">
      <c r="C435" s="164"/>
      <c r="D435" s="164"/>
      <c r="E435" s="165"/>
      <c r="I435" s="164"/>
      <c r="J435" s="164"/>
      <c r="K435" s="165"/>
      <c r="Q435" s="165"/>
      <c r="R435" s="165"/>
      <c r="S435" s="165"/>
    </row>
    <row r="436" spans="3:19">
      <c r="C436" s="164"/>
      <c r="D436" s="164"/>
      <c r="E436" s="165"/>
      <c r="I436" s="164"/>
      <c r="J436" s="164"/>
      <c r="K436" s="165"/>
      <c r="Q436" s="165"/>
      <c r="R436" s="165"/>
      <c r="S436" s="165"/>
    </row>
    <row r="437" spans="3:19">
      <c r="C437" s="164"/>
      <c r="D437" s="164"/>
      <c r="E437" s="165"/>
      <c r="I437" s="164"/>
      <c r="J437" s="164"/>
      <c r="K437" s="165"/>
      <c r="Q437" s="165"/>
      <c r="R437" s="165"/>
      <c r="S437" s="165"/>
    </row>
    <row r="438" spans="3:19">
      <c r="C438" s="164"/>
      <c r="D438" s="164"/>
      <c r="E438" s="165"/>
      <c r="I438" s="164"/>
      <c r="J438" s="164"/>
      <c r="K438" s="165"/>
      <c r="Q438" s="165"/>
      <c r="R438" s="165"/>
      <c r="S438" s="165"/>
    </row>
    <row r="439" spans="3:19">
      <c r="C439" s="164"/>
      <c r="D439" s="164"/>
      <c r="E439" s="165"/>
      <c r="I439" s="164"/>
      <c r="J439" s="164"/>
      <c r="K439" s="165"/>
      <c r="Q439" s="165"/>
      <c r="R439" s="165"/>
      <c r="S439" s="165"/>
    </row>
    <row r="440" spans="3:19">
      <c r="C440" s="164"/>
      <c r="D440" s="164"/>
      <c r="E440" s="165"/>
      <c r="I440" s="164"/>
      <c r="J440" s="164"/>
      <c r="K440" s="165"/>
      <c r="Q440" s="165"/>
      <c r="R440" s="165"/>
      <c r="S440" s="165"/>
    </row>
    <row r="441" spans="3:19">
      <c r="C441" s="164"/>
      <c r="D441" s="164"/>
      <c r="E441" s="165"/>
      <c r="I441" s="164"/>
      <c r="J441" s="164"/>
      <c r="K441" s="165"/>
      <c r="Q441" s="165"/>
      <c r="R441" s="165"/>
      <c r="S441" s="165"/>
    </row>
    <row r="442" spans="3:19">
      <c r="C442" s="164"/>
      <c r="D442" s="164"/>
      <c r="E442" s="165"/>
      <c r="I442" s="164"/>
      <c r="J442" s="164"/>
      <c r="K442" s="165"/>
      <c r="Q442" s="165"/>
      <c r="R442" s="165"/>
      <c r="S442" s="165"/>
    </row>
    <row r="443" spans="3:19">
      <c r="C443" s="164"/>
      <c r="D443" s="164"/>
      <c r="E443" s="165"/>
      <c r="I443" s="164"/>
      <c r="J443" s="164"/>
      <c r="K443" s="165"/>
      <c r="Q443" s="165"/>
      <c r="R443" s="165"/>
      <c r="S443" s="165"/>
    </row>
    <row r="444" spans="3:19">
      <c r="C444" s="164"/>
      <c r="D444" s="164"/>
      <c r="E444" s="165"/>
      <c r="I444" s="164"/>
      <c r="J444" s="164"/>
      <c r="K444" s="165"/>
      <c r="Q444" s="165"/>
      <c r="R444" s="165"/>
      <c r="S444" s="165"/>
    </row>
    <row r="445" spans="3:19">
      <c r="C445" s="164"/>
      <c r="D445" s="164"/>
      <c r="E445" s="165"/>
      <c r="I445" s="164"/>
      <c r="J445" s="164"/>
      <c r="K445" s="165"/>
      <c r="Q445" s="165"/>
      <c r="R445" s="165"/>
      <c r="S445" s="165"/>
    </row>
    <row r="446" spans="3:19">
      <c r="C446" s="164"/>
      <c r="D446" s="164"/>
      <c r="E446" s="165"/>
      <c r="I446" s="164"/>
      <c r="J446" s="164"/>
      <c r="K446" s="165"/>
      <c r="Q446" s="165"/>
      <c r="R446" s="165"/>
      <c r="S446" s="165"/>
    </row>
    <row r="447" spans="3:19">
      <c r="C447" s="164"/>
      <c r="D447" s="164"/>
      <c r="E447" s="165"/>
      <c r="I447" s="164"/>
      <c r="J447" s="164"/>
      <c r="K447" s="165"/>
      <c r="Q447" s="165"/>
      <c r="R447" s="165"/>
      <c r="S447" s="165"/>
    </row>
    <row r="448" spans="3:19">
      <c r="C448" s="164"/>
      <c r="D448" s="164"/>
      <c r="E448" s="165"/>
      <c r="I448" s="164"/>
      <c r="J448" s="164"/>
      <c r="K448" s="165"/>
      <c r="Q448" s="165"/>
      <c r="R448" s="165"/>
      <c r="S448" s="165"/>
    </row>
    <row r="449" spans="3:19">
      <c r="C449" s="164"/>
      <c r="D449" s="164"/>
      <c r="E449" s="165"/>
      <c r="I449" s="164"/>
      <c r="J449" s="164"/>
      <c r="K449" s="165"/>
      <c r="Q449" s="165"/>
      <c r="R449" s="165"/>
      <c r="S449" s="165"/>
    </row>
    <row r="450" spans="3:19">
      <c r="C450" s="164"/>
      <c r="D450" s="164"/>
      <c r="E450" s="165"/>
      <c r="I450" s="164"/>
      <c r="J450" s="164"/>
      <c r="K450" s="165"/>
      <c r="Q450" s="165"/>
      <c r="R450" s="165"/>
      <c r="S450" s="165"/>
    </row>
    <row r="451" spans="3:19">
      <c r="C451" s="164"/>
      <c r="D451" s="164"/>
      <c r="E451" s="165"/>
      <c r="I451" s="164"/>
      <c r="J451" s="164"/>
      <c r="K451" s="165"/>
      <c r="Q451" s="165"/>
      <c r="R451" s="165"/>
      <c r="S451" s="165"/>
    </row>
    <row r="452" spans="3:19">
      <c r="C452" s="164"/>
      <c r="D452" s="164"/>
      <c r="E452" s="165"/>
      <c r="I452" s="164"/>
      <c r="J452" s="164"/>
      <c r="K452" s="165"/>
      <c r="Q452" s="165"/>
      <c r="R452" s="165"/>
      <c r="S452" s="165"/>
    </row>
    <row r="453" spans="3:19">
      <c r="C453" s="164"/>
      <c r="D453" s="164"/>
      <c r="E453" s="165"/>
      <c r="I453" s="164"/>
      <c r="J453" s="164"/>
      <c r="K453" s="165"/>
      <c r="Q453" s="165"/>
      <c r="R453" s="165"/>
      <c r="S453" s="165"/>
    </row>
    <row r="454" spans="3:19">
      <c r="C454" s="164"/>
      <c r="D454" s="164"/>
      <c r="E454" s="165"/>
      <c r="I454" s="164"/>
      <c r="J454" s="164"/>
      <c r="K454" s="165"/>
      <c r="Q454" s="165"/>
      <c r="R454" s="165"/>
      <c r="S454" s="165"/>
    </row>
    <row r="455" spans="3:19">
      <c r="C455" s="164"/>
      <c r="D455" s="164"/>
      <c r="E455" s="165"/>
      <c r="I455" s="164"/>
      <c r="J455" s="164"/>
      <c r="K455" s="165"/>
      <c r="Q455" s="165"/>
      <c r="R455" s="165"/>
      <c r="S455" s="165"/>
    </row>
    <row r="456" spans="3:19">
      <c r="C456" s="164"/>
      <c r="D456" s="164"/>
      <c r="E456" s="165"/>
      <c r="I456" s="164"/>
      <c r="J456" s="164"/>
      <c r="K456" s="165"/>
      <c r="Q456" s="165"/>
      <c r="R456" s="165"/>
      <c r="S456" s="165"/>
    </row>
    <row r="457" spans="3:19">
      <c r="C457" s="164"/>
      <c r="D457" s="164"/>
      <c r="E457" s="165"/>
      <c r="I457" s="164"/>
      <c r="J457" s="164"/>
      <c r="K457" s="165"/>
      <c r="Q457" s="165"/>
      <c r="R457" s="165"/>
      <c r="S457" s="165"/>
    </row>
    <row r="458" spans="3:19">
      <c r="C458" s="164"/>
      <c r="D458" s="164"/>
      <c r="E458" s="165"/>
      <c r="I458" s="164"/>
      <c r="J458" s="164"/>
      <c r="K458" s="165"/>
      <c r="Q458" s="165"/>
      <c r="R458" s="165"/>
      <c r="S458" s="165"/>
    </row>
    <row r="459" spans="3:19">
      <c r="C459" s="164"/>
      <c r="D459" s="164"/>
      <c r="E459" s="165"/>
      <c r="I459" s="164"/>
      <c r="J459" s="164"/>
      <c r="K459" s="165"/>
      <c r="Q459" s="165"/>
      <c r="R459" s="165"/>
      <c r="S459" s="165"/>
    </row>
    <row r="460" spans="3:19">
      <c r="C460" s="164"/>
      <c r="D460" s="164"/>
      <c r="E460" s="165"/>
      <c r="I460" s="164"/>
      <c r="J460" s="164"/>
      <c r="K460" s="165"/>
      <c r="Q460" s="165"/>
      <c r="R460" s="165"/>
      <c r="S460" s="165"/>
    </row>
    <row r="461" spans="3:19">
      <c r="C461" s="164"/>
      <c r="D461" s="164"/>
      <c r="E461" s="165"/>
      <c r="I461" s="164"/>
      <c r="J461" s="164"/>
      <c r="K461" s="165"/>
      <c r="Q461" s="165"/>
      <c r="R461" s="165"/>
      <c r="S461" s="165"/>
    </row>
    <row r="462" spans="3:19">
      <c r="C462" s="164"/>
      <c r="D462" s="164"/>
      <c r="E462" s="165"/>
      <c r="I462" s="164"/>
      <c r="J462" s="164"/>
      <c r="K462" s="165"/>
      <c r="Q462" s="165"/>
      <c r="R462" s="165"/>
      <c r="S462" s="165"/>
    </row>
    <row r="463" spans="3:19">
      <c r="C463" s="164"/>
      <c r="D463" s="164"/>
      <c r="E463" s="165"/>
      <c r="I463" s="164"/>
      <c r="J463" s="164"/>
      <c r="K463" s="165"/>
      <c r="Q463" s="165"/>
      <c r="R463" s="165"/>
      <c r="S463" s="165"/>
    </row>
    <row r="464" spans="3:19">
      <c r="C464" s="164"/>
      <c r="D464" s="164"/>
      <c r="E464" s="165"/>
      <c r="I464" s="164"/>
      <c r="J464" s="164"/>
      <c r="K464" s="165"/>
      <c r="Q464" s="165"/>
      <c r="R464" s="165"/>
      <c r="S464" s="165"/>
    </row>
    <row r="465" spans="3:19">
      <c r="C465" s="164"/>
      <c r="D465" s="164"/>
      <c r="E465" s="165"/>
      <c r="I465" s="164"/>
      <c r="J465" s="164"/>
      <c r="K465" s="165"/>
      <c r="N465" s="166"/>
      <c r="Q465" s="165"/>
      <c r="R465" s="165"/>
      <c r="S465" s="165"/>
    </row>
    <row r="466" spans="3:19">
      <c r="C466" s="164"/>
      <c r="D466" s="164"/>
      <c r="E466" s="165"/>
      <c r="I466" s="164"/>
      <c r="J466" s="164"/>
      <c r="K466" s="165"/>
      <c r="N466" s="166"/>
      <c r="Q466" s="165"/>
      <c r="R466" s="165"/>
      <c r="S466" s="165"/>
    </row>
    <row r="467" spans="3:19">
      <c r="C467" s="164"/>
      <c r="D467" s="164"/>
      <c r="E467" s="165"/>
      <c r="I467" s="164"/>
      <c r="J467" s="164"/>
      <c r="K467" s="165"/>
      <c r="Q467" s="165"/>
      <c r="R467" s="165"/>
      <c r="S467" s="165"/>
    </row>
    <row r="468" spans="3:19">
      <c r="C468" s="164"/>
      <c r="D468" s="164"/>
      <c r="E468" s="165"/>
      <c r="I468" s="164"/>
      <c r="J468" s="164"/>
      <c r="K468" s="165"/>
      <c r="Q468" s="165"/>
      <c r="R468" s="165"/>
      <c r="S468" s="165"/>
    </row>
    <row r="469" spans="3:19">
      <c r="C469" s="164"/>
      <c r="D469" s="164"/>
      <c r="E469" s="165"/>
      <c r="I469" s="164"/>
      <c r="J469" s="164"/>
      <c r="K469" s="165"/>
      <c r="Q469" s="165"/>
      <c r="R469" s="165"/>
      <c r="S469" s="165"/>
    </row>
    <row r="470" spans="3:19">
      <c r="C470" s="164"/>
      <c r="D470" s="164"/>
      <c r="E470" s="165"/>
      <c r="I470" s="164"/>
      <c r="J470" s="164"/>
      <c r="K470" s="165"/>
      <c r="Q470" s="165"/>
      <c r="R470" s="165"/>
      <c r="S470" s="165"/>
    </row>
    <row r="471" spans="3:19">
      <c r="C471" s="164"/>
      <c r="D471" s="164"/>
      <c r="E471" s="165"/>
      <c r="J471" s="164"/>
      <c r="K471" s="165"/>
      <c r="Q471" s="165"/>
      <c r="R471" s="165"/>
      <c r="S471" s="165"/>
    </row>
    <row r="472" spans="3:19">
      <c r="C472" s="164"/>
      <c r="D472" s="164"/>
      <c r="E472" s="165"/>
      <c r="I472" s="164"/>
      <c r="K472" s="165"/>
      <c r="L472" s="166"/>
      <c r="Q472" s="165"/>
      <c r="R472" s="165"/>
      <c r="S472" s="165"/>
    </row>
    <row r="473" spans="3:19">
      <c r="C473" s="164"/>
      <c r="D473" s="164"/>
      <c r="E473" s="165"/>
      <c r="J473" s="164"/>
      <c r="K473" s="165"/>
      <c r="L473" s="166"/>
      <c r="Q473" s="165"/>
      <c r="R473" s="165"/>
      <c r="S473" s="165"/>
    </row>
    <row r="474" spans="3:19">
      <c r="C474" s="164"/>
      <c r="D474" s="164"/>
      <c r="E474" s="165"/>
      <c r="I474" s="164"/>
      <c r="J474" s="164"/>
      <c r="K474" s="165"/>
      <c r="Q474" s="165"/>
      <c r="R474" s="165"/>
      <c r="S474" s="165"/>
    </row>
    <row r="475" spans="3:19">
      <c r="C475" s="164"/>
      <c r="D475" s="164"/>
      <c r="E475" s="165"/>
      <c r="I475" s="164"/>
      <c r="J475" s="164"/>
      <c r="K475" s="165"/>
      <c r="Q475" s="165"/>
      <c r="R475" s="165"/>
      <c r="S475" s="165"/>
    </row>
    <row r="476" spans="3:19">
      <c r="C476" s="164"/>
      <c r="D476" s="164"/>
      <c r="E476" s="165"/>
      <c r="I476" s="164"/>
      <c r="J476" s="164"/>
      <c r="K476" s="165"/>
      <c r="Q476" s="165"/>
      <c r="R476" s="165"/>
      <c r="S476" s="165"/>
    </row>
    <row r="477" spans="3:19">
      <c r="C477" s="164"/>
      <c r="D477" s="164"/>
      <c r="E477" s="165"/>
      <c r="I477" s="164"/>
      <c r="J477" s="164"/>
      <c r="K477" s="165"/>
      <c r="Q477" s="165"/>
      <c r="R477" s="165"/>
      <c r="S477" s="165"/>
    </row>
    <row r="478" spans="3:19">
      <c r="C478" s="164"/>
      <c r="D478" s="164"/>
      <c r="E478" s="165"/>
      <c r="I478" s="164"/>
      <c r="J478" s="164"/>
      <c r="K478" s="165"/>
      <c r="Q478" s="165"/>
      <c r="R478" s="165"/>
      <c r="S478" s="165"/>
    </row>
    <row r="479" spans="3:19">
      <c r="C479" s="164"/>
      <c r="D479" s="164"/>
      <c r="E479" s="165"/>
      <c r="I479" s="164"/>
      <c r="J479" s="164"/>
      <c r="K479" s="165"/>
      <c r="Q479" s="165"/>
      <c r="R479" s="165"/>
      <c r="S479" s="165"/>
    </row>
    <row r="480" spans="3:19">
      <c r="C480" s="164"/>
      <c r="D480" s="164"/>
      <c r="E480" s="165"/>
      <c r="I480" s="164"/>
      <c r="J480" s="164"/>
      <c r="K480" s="165"/>
      <c r="Q480" s="165"/>
      <c r="R480" s="165"/>
      <c r="S480" s="165"/>
    </row>
    <row r="481" spans="3:19">
      <c r="C481" s="164"/>
      <c r="D481" s="164"/>
      <c r="E481" s="165"/>
      <c r="I481" s="164"/>
      <c r="J481" s="164"/>
      <c r="K481" s="165"/>
      <c r="Q481" s="165"/>
      <c r="R481" s="165"/>
      <c r="S481" s="165"/>
    </row>
    <row r="482" spans="3:19">
      <c r="C482" s="164"/>
      <c r="D482" s="164"/>
      <c r="E482" s="165"/>
      <c r="I482" s="164"/>
      <c r="J482" s="164"/>
      <c r="K482" s="165"/>
      <c r="Q482" s="165"/>
      <c r="R482" s="165"/>
      <c r="S482" s="165"/>
    </row>
    <row r="483" spans="3:19">
      <c r="C483" s="164"/>
      <c r="D483" s="164"/>
      <c r="E483" s="165"/>
      <c r="I483" s="164"/>
      <c r="J483" s="164"/>
      <c r="K483" s="165"/>
      <c r="Q483" s="165"/>
      <c r="R483" s="165"/>
      <c r="S483" s="165"/>
    </row>
    <row r="484" spans="3:19">
      <c r="C484" s="164"/>
      <c r="D484" s="164"/>
      <c r="E484" s="165"/>
      <c r="I484" s="164"/>
      <c r="J484" s="164"/>
      <c r="K484" s="165"/>
      <c r="Q484" s="165"/>
      <c r="R484" s="165"/>
      <c r="S484" s="165"/>
    </row>
    <row r="485" spans="3:19">
      <c r="C485" s="164"/>
      <c r="D485" s="164"/>
      <c r="E485" s="165"/>
      <c r="I485" s="164"/>
      <c r="J485" s="164"/>
      <c r="K485" s="165"/>
      <c r="Q485" s="165"/>
      <c r="R485" s="165"/>
      <c r="S485" s="165"/>
    </row>
    <row r="486" spans="3:19">
      <c r="C486" s="164"/>
      <c r="D486" s="164"/>
      <c r="E486" s="165"/>
      <c r="I486" s="164"/>
      <c r="J486" s="164"/>
      <c r="K486" s="165"/>
      <c r="Q486" s="165"/>
      <c r="R486" s="165"/>
      <c r="S486" s="165"/>
    </row>
    <row r="487" spans="3:19">
      <c r="C487" s="164"/>
      <c r="D487" s="164"/>
      <c r="E487" s="165"/>
      <c r="I487" s="164"/>
      <c r="J487" s="164"/>
      <c r="K487" s="165"/>
      <c r="Q487" s="165"/>
      <c r="R487" s="165"/>
      <c r="S487" s="165"/>
    </row>
    <row r="488" spans="3:19">
      <c r="C488" s="164"/>
      <c r="D488" s="164"/>
      <c r="E488" s="165"/>
      <c r="I488" s="164"/>
      <c r="J488" s="164"/>
      <c r="K488" s="165"/>
      <c r="Q488" s="165"/>
      <c r="R488" s="165"/>
      <c r="S488" s="165"/>
    </row>
    <row r="489" spans="3:19">
      <c r="C489" s="164"/>
      <c r="D489" s="164"/>
      <c r="E489" s="165"/>
      <c r="I489" s="164"/>
      <c r="J489" s="164"/>
      <c r="K489" s="165"/>
      <c r="Q489" s="165"/>
      <c r="R489" s="165"/>
      <c r="S489" s="165"/>
    </row>
    <row r="490" spans="3:19">
      <c r="C490" s="164"/>
      <c r="D490" s="164"/>
      <c r="E490" s="165"/>
      <c r="I490" s="164"/>
      <c r="J490" s="164"/>
      <c r="K490" s="165"/>
      <c r="Q490" s="165"/>
      <c r="R490" s="165"/>
      <c r="S490" s="165"/>
    </row>
    <row r="491" spans="3:19">
      <c r="C491" s="164"/>
      <c r="D491" s="164"/>
      <c r="E491" s="165"/>
      <c r="I491" s="164"/>
      <c r="J491" s="164"/>
      <c r="K491" s="165"/>
      <c r="Q491" s="165"/>
      <c r="R491" s="165"/>
      <c r="S491" s="165"/>
    </row>
    <row r="492" spans="3:19">
      <c r="C492" s="164"/>
      <c r="D492" s="164"/>
      <c r="E492" s="165"/>
      <c r="I492" s="164"/>
      <c r="J492" s="164"/>
      <c r="K492" s="165"/>
      <c r="Q492" s="165"/>
      <c r="R492" s="165"/>
      <c r="S492" s="165"/>
    </row>
    <row r="493" spans="3:19">
      <c r="C493" s="164"/>
      <c r="D493" s="164"/>
      <c r="E493" s="165"/>
      <c r="I493" s="164"/>
      <c r="J493" s="164"/>
      <c r="K493" s="165"/>
      <c r="Q493" s="165"/>
      <c r="R493" s="165"/>
      <c r="S493" s="165"/>
    </row>
    <row r="494" spans="3:19">
      <c r="C494" s="164"/>
      <c r="D494" s="164"/>
      <c r="E494" s="165"/>
      <c r="I494" s="164"/>
      <c r="J494" s="164"/>
      <c r="K494" s="165"/>
      <c r="Q494" s="165"/>
      <c r="R494" s="165"/>
      <c r="S494" s="165"/>
    </row>
    <row r="495" spans="3:19">
      <c r="C495" s="164"/>
      <c r="D495" s="164"/>
      <c r="E495" s="165"/>
      <c r="I495" s="164"/>
      <c r="J495" s="164"/>
      <c r="K495" s="165"/>
      <c r="Q495" s="165"/>
      <c r="R495" s="165"/>
      <c r="S495" s="165"/>
    </row>
    <row r="496" spans="3:19">
      <c r="C496" s="164"/>
      <c r="D496" s="164"/>
      <c r="E496" s="165"/>
      <c r="I496" s="164"/>
      <c r="J496" s="164"/>
      <c r="K496" s="165"/>
      <c r="Q496" s="165"/>
      <c r="R496" s="165"/>
      <c r="S496" s="165"/>
    </row>
    <row r="497" spans="3:19">
      <c r="C497" s="164"/>
      <c r="D497" s="164"/>
      <c r="E497" s="165"/>
      <c r="I497" s="164"/>
      <c r="J497" s="164"/>
      <c r="K497" s="165"/>
      <c r="Q497" s="165"/>
      <c r="R497" s="165"/>
      <c r="S497" s="165"/>
    </row>
    <row r="498" spans="3:19">
      <c r="C498" s="164"/>
      <c r="D498" s="164"/>
      <c r="E498" s="165"/>
      <c r="I498" s="164"/>
      <c r="J498" s="164"/>
      <c r="K498" s="165"/>
      <c r="Q498" s="165"/>
      <c r="R498" s="165"/>
      <c r="S498" s="165"/>
    </row>
    <row r="499" spans="3:19">
      <c r="C499" s="164"/>
      <c r="D499" s="164"/>
      <c r="E499" s="165"/>
      <c r="I499" s="164"/>
      <c r="J499" s="164"/>
      <c r="K499" s="165"/>
      <c r="Q499" s="165"/>
      <c r="R499" s="165"/>
      <c r="S499" s="165"/>
    </row>
    <row r="500" spans="3:19">
      <c r="C500" s="164"/>
      <c r="D500" s="164"/>
      <c r="E500" s="165"/>
      <c r="I500" s="164"/>
      <c r="J500" s="164"/>
      <c r="K500" s="165"/>
      <c r="Q500" s="165"/>
      <c r="R500" s="165"/>
      <c r="S500" s="165"/>
    </row>
    <row r="501" spans="3:19">
      <c r="C501" s="164"/>
      <c r="D501" s="164"/>
      <c r="E501" s="165"/>
      <c r="I501" s="164"/>
      <c r="J501" s="164"/>
      <c r="K501" s="165"/>
      <c r="Q501" s="165"/>
      <c r="R501" s="165"/>
      <c r="S501" s="165"/>
    </row>
    <row r="502" spans="3:19">
      <c r="E502" s="163"/>
      <c r="K502" s="163"/>
      <c r="Q502" s="163"/>
      <c r="R502" s="163"/>
      <c r="S502" s="163"/>
    </row>
    <row r="503" spans="3:19">
      <c r="E503" s="163"/>
      <c r="K503" s="163"/>
      <c r="Q503" s="163"/>
      <c r="R503" s="163"/>
      <c r="S503" s="163"/>
    </row>
    <row r="504" spans="3:19">
      <c r="E504" s="163"/>
      <c r="K504" s="163"/>
      <c r="Q504" s="163"/>
      <c r="R504" s="163"/>
      <c r="S504" s="163"/>
    </row>
    <row r="505" spans="3:19">
      <c r="E505" s="163"/>
      <c r="K505" s="163"/>
      <c r="Q505" s="163"/>
      <c r="R505" s="163"/>
      <c r="S505" s="163"/>
    </row>
    <row r="506" spans="3:19">
      <c r="E506" s="163"/>
      <c r="K506" s="163"/>
      <c r="Q506" s="163"/>
      <c r="R506" s="163"/>
      <c r="S506" s="163"/>
    </row>
    <row r="507" spans="3:19">
      <c r="E507" s="163"/>
      <c r="K507" s="163"/>
      <c r="Q507" s="163"/>
      <c r="R507" s="163"/>
      <c r="S507" s="163"/>
    </row>
    <row r="508" spans="3:19">
      <c r="E508" s="163"/>
      <c r="K508" s="163"/>
      <c r="Q508" s="163"/>
      <c r="R508" s="163"/>
      <c r="S508" s="163"/>
    </row>
    <row r="509" spans="3:19">
      <c r="E509" s="163"/>
      <c r="K509" s="163"/>
      <c r="Q509" s="163"/>
      <c r="R509" s="163"/>
      <c r="S509" s="163"/>
    </row>
    <row r="510" spans="3:19">
      <c r="E510" s="163"/>
      <c r="K510" s="163"/>
      <c r="Q510" s="163"/>
      <c r="R510" s="163"/>
      <c r="S510" s="163"/>
    </row>
    <row r="511" spans="3:19">
      <c r="E511" s="163"/>
      <c r="K511" s="163"/>
      <c r="Q511" s="163"/>
      <c r="R511" s="163"/>
      <c r="S511" s="163"/>
    </row>
    <row r="512" spans="3:19">
      <c r="E512" s="163"/>
      <c r="K512" s="163"/>
      <c r="Q512" s="163"/>
      <c r="R512" s="163"/>
      <c r="S512" s="163"/>
    </row>
    <row r="513" spans="5:19">
      <c r="E513" s="163"/>
      <c r="K513" s="163"/>
      <c r="Q513" s="163"/>
      <c r="R513" s="163"/>
      <c r="S513" s="163"/>
    </row>
    <row r="514" spans="5:19">
      <c r="E514" s="163"/>
      <c r="K514" s="163"/>
      <c r="Q514" s="163"/>
      <c r="R514" s="163"/>
      <c r="S514" s="163"/>
    </row>
    <row r="515" spans="5:19">
      <c r="E515" s="163"/>
      <c r="K515" s="163"/>
      <c r="Q515" s="163"/>
      <c r="R515" s="163"/>
      <c r="S515" s="163"/>
    </row>
    <row r="516" spans="5:19">
      <c r="E516" s="163"/>
      <c r="K516" s="163"/>
      <c r="Q516" s="163"/>
      <c r="R516" s="163"/>
      <c r="S516" s="163"/>
    </row>
    <row r="517" spans="5:19">
      <c r="E517" s="163"/>
      <c r="K517" s="163"/>
      <c r="Q517" s="163"/>
      <c r="R517" s="163"/>
      <c r="S517" s="163"/>
    </row>
    <row r="518" spans="5:19">
      <c r="E518" s="163"/>
      <c r="K518" s="163"/>
      <c r="Q518" s="163"/>
      <c r="R518" s="163"/>
      <c r="S518" s="163"/>
    </row>
    <row r="519" spans="5:19">
      <c r="E519" s="163"/>
      <c r="K519" s="163"/>
      <c r="Q519" s="163"/>
      <c r="R519" s="163"/>
      <c r="S519" s="163"/>
    </row>
    <row r="520" spans="5:19">
      <c r="E520" s="163"/>
      <c r="K520" s="163"/>
      <c r="Q520" s="163"/>
      <c r="R520" s="163"/>
      <c r="S520" s="163"/>
    </row>
    <row r="521" spans="5:19">
      <c r="E521" s="163"/>
      <c r="K521" s="163"/>
      <c r="Q521" s="163"/>
      <c r="R521" s="163"/>
      <c r="S521" s="163"/>
    </row>
    <row r="522" spans="5:19">
      <c r="E522" s="163"/>
      <c r="K522" s="163"/>
      <c r="Q522" s="163"/>
      <c r="R522" s="163"/>
      <c r="S522" s="163"/>
    </row>
    <row r="523" spans="5:19">
      <c r="E523" s="163"/>
      <c r="K523" s="163"/>
      <c r="Q523" s="163"/>
      <c r="R523" s="163"/>
      <c r="S523" s="163"/>
    </row>
    <row r="524" spans="5:19">
      <c r="E524" s="163"/>
      <c r="K524" s="163"/>
      <c r="Q524" s="163"/>
      <c r="R524" s="163"/>
      <c r="S524" s="163"/>
    </row>
    <row r="525" spans="5:19">
      <c r="E525" s="163"/>
      <c r="K525" s="163"/>
      <c r="Q525" s="163"/>
      <c r="R525" s="163"/>
      <c r="S525" s="163"/>
    </row>
    <row r="526" spans="5:19">
      <c r="E526" s="163"/>
      <c r="K526" s="163"/>
      <c r="Q526" s="163"/>
      <c r="R526" s="163"/>
      <c r="S526" s="163"/>
    </row>
    <row r="527" spans="5:19">
      <c r="E527" s="163"/>
      <c r="K527" s="163"/>
      <c r="Q527" s="163"/>
      <c r="R527" s="163"/>
      <c r="S527" s="163"/>
    </row>
    <row r="528" spans="5:19">
      <c r="E528" s="163"/>
      <c r="K528" s="163"/>
      <c r="Q528" s="163"/>
      <c r="R528" s="163"/>
      <c r="S528" s="163"/>
    </row>
    <row r="529" spans="5:19">
      <c r="E529" s="163"/>
      <c r="K529" s="163"/>
      <c r="Q529" s="163"/>
      <c r="R529" s="163"/>
      <c r="S529" s="163"/>
    </row>
    <row r="530" spans="5:19">
      <c r="E530" s="163"/>
      <c r="K530" s="163"/>
      <c r="Q530" s="163"/>
      <c r="R530" s="163"/>
      <c r="S530" s="163"/>
    </row>
    <row r="531" spans="5:19">
      <c r="E531" s="163"/>
      <c r="K531" s="163"/>
      <c r="Q531" s="163"/>
      <c r="R531" s="163"/>
      <c r="S531" s="163"/>
    </row>
    <row r="532" spans="5:19">
      <c r="E532" s="163"/>
      <c r="K532" s="163"/>
      <c r="Q532" s="163"/>
      <c r="R532" s="163"/>
      <c r="S532" s="163"/>
    </row>
    <row r="533" spans="5:19">
      <c r="E533" s="163"/>
      <c r="K533" s="163"/>
      <c r="Q533" s="163"/>
      <c r="R533" s="163"/>
      <c r="S533" s="163"/>
    </row>
    <row r="534" spans="5:19">
      <c r="E534" s="163"/>
      <c r="K534" s="163"/>
      <c r="Q534" s="163"/>
      <c r="R534" s="163"/>
      <c r="S534" s="163"/>
    </row>
    <row r="535" spans="5:19">
      <c r="E535" s="163"/>
      <c r="K535" s="163"/>
      <c r="Q535" s="163"/>
      <c r="R535" s="163"/>
      <c r="S535" s="163"/>
    </row>
    <row r="536" spans="5:19">
      <c r="E536" s="163"/>
      <c r="K536" s="163"/>
      <c r="Q536" s="163"/>
      <c r="R536" s="163"/>
      <c r="S536" s="163"/>
    </row>
    <row r="537" spans="5:19">
      <c r="E537" s="163"/>
      <c r="K537" s="163"/>
      <c r="Q537" s="163"/>
      <c r="R537" s="163"/>
      <c r="S537" s="163"/>
    </row>
    <row r="538" spans="5:19">
      <c r="E538" s="163"/>
      <c r="K538" s="163"/>
      <c r="Q538" s="163"/>
      <c r="R538" s="163"/>
      <c r="S538" s="163"/>
    </row>
    <row r="539" spans="5:19">
      <c r="E539" s="163"/>
      <c r="K539" s="163"/>
      <c r="Q539" s="163"/>
      <c r="R539" s="163"/>
      <c r="S539" s="163"/>
    </row>
    <row r="540" spans="5:19">
      <c r="E540" s="163"/>
      <c r="K540" s="163"/>
      <c r="Q540" s="163"/>
      <c r="R540" s="163"/>
      <c r="S540" s="163"/>
    </row>
    <row r="541" spans="5:19">
      <c r="E541" s="163"/>
      <c r="K541" s="163"/>
      <c r="Q541" s="163"/>
      <c r="R541" s="163"/>
      <c r="S541" s="163"/>
    </row>
    <row r="542" spans="5:19">
      <c r="E542" s="163"/>
      <c r="K542" s="163"/>
      <c r="Q542" s="163"/>
      <c r="R542" s="163"/>
      <c r="S542" s="163"/>
    </row>
    <row r="543" spans="5:19">
      <c r="E543" s="163"/>
      <c r="K543" s="163"/>
      <c r="Q543" s="163"/>
      <c r="R543" s="163"/>
      <c r="S543" s="163"/>
    </row>
    <row r="544" spans="5:19">
      <c r="E544" s="163"/>
      <c r="K544" s="163"/>
      <c r="Q544" s="163"/>
      <c r="R544" s="163"/>
      <c r="S544" s="163"/>
    </row>
    <row r="545" spans="5:19">
      <c r="E545" s="163"/>
      <c r="K545" s="163"/>
      <c r="Q545" s="163"/>
      <c r="R545" s="163"/>
      <c r="S545" s="163"/>
    </row>
    <row r="546" spans="5:19">
      <c r="E546" s="163"/>
      <c r="K546" s="163"/>
      <c r="Q546" s="163"/>
      <c r="R546" s="163"/>
      <c r="S546" s="163"/>
    </row>
    <row r="547" spans="5:19">
      <c r="E547" s="163"/>
      <c r="K547" s="163"/>
      <c r="Q547" s="163"/>
      <c r="R547" s="163"/>
      <c r="S547" s="163"/>
    </row>
    <row r="548" spans="5:19">
      <c r="E548" s="163"/>
      <c r="K548" s="163"/>
      <c r="Q548" s="163"/>
      <c r="R548" s="163"/>
      <c r="S548" s="163"/>
    </row>
    <row r="549" spans="5:19">
      <c r="E549" s="163"/>
      <c r="K549" s="163"/>
      <c r="Q549" s="163"/>
      <c r="R549" s="163"/>
      <c r="S549" s="163"/>
    </row>
    <row r="550" spans="5:19">
      <c r="E550" s="163"/>
      <c r="K550" s="163"/>
      <c r="Q550" s="163"/>
      <c r="R550" s="163"/>
      <c r="S550" s="163"/>
    </row>
    <row r="551" spans="5:19">
      <c r="E551" s="163"/>
      <c r="K551" s="163"/>
      <c r="Q551" s="163"/>
      <c r="R551" s="163"/>
      <c r="S551" s="163"/>
    </row>
    <row r="552" spans="5:19">
      <c r="E552" s="163"/>
      <c r="K552" s="163"/>
      <c r="Q552" s="163"/>
      <c r="R552" s="163"/>
      <c r="S552" s="163"/>
    </row>
    <row r="553" spans="5:19">
      <c r="E553" s="163"/>
      <c r="K553" s="163"/>
      <c r="Q553" s="163"/>
      <c r="R553" s="163"/>
      <c r="S553" s="163"/>
    </row>
    <row r="554" spans="5:19">
      <c r="E554" s="163"/>
      <c r="K554" s="163"/>
      <c r="Q554" s="163"/>
      <c r="R554" s="163"/>
      <c r="S554" s="163"/>
    </row>
    <row r="555" spans="5:19">
      <c r="E555" s="163"/>
      <c r="K555" s="163"/>
      <c r="Q555" s="163"/>
      <c r="R555" s="163"/>
      <c r="S555" s="163"/>
    </row>
    <row r="556" spans="5:19">
      <c r="E556" s="163"/>
      <c r="K556" s="163"/>
      <c r="Q556" s="163"/>
      <c r="R556" s="163"/>
      <c r="S556" s="163"/>
    </row>
    <row r="557" spans="5:19">
      <c r="E557" s="163"/>
      <c r="K557" s="163"/>
      <c r="Q557" s="163"/>
      <c r="R557" s="163"/>
      <c r="S557" s="163"/>
    </row>
    <row r="558" spans="5:19">
      <c r="E558" s="163"/>
      <c r="K558" s="163"/>
      <c r="Q558" s="163"/>
      <c r="R558" s="163"/>
      <c r="S558" s="163"/>
    </row>
    <row r="559" spans="5:19">
      <c r="E559" s="163"/>
      <c r="K559" s="163"/>
      <c r="Q559" s="163"/>
      <c r="R559" s="163"/>
      <c r="S559" s="163"/>
    </row>
    <row r="560" spans="5:19">
      <c r="E560" s="163"/>
      <c r="K560" s="163"/>
      <c r="Q560" s="163"/>
      <c r="R560" s="163"/>
      <c r="S560" s="163"/>
    </row>
    <row r="561" spans="5:19">
      <c r="E561" s="163"/>
      <c r="K561" s="163"/>
      <c r="Q561" s="163"/>
      <c r="R561" s="163"/>
      <c r="S561" s="163"/>
    </row>
    <row r="562" spans="5:19">
      <c r="E562" s="163"/>
      <c r="K562" s="163"/>
      <c r="Q562" s="163"/>
      <c r="R562" s="163"/>
      <c r="S562" s="163"/>
    </row>
    <row r="563" spans="5:19">
      <c r="E563" s="163"/>
      <c r="K563" s="163"/>
      <c r="Q563" s="163"/>
      <c r="R563" s="163"/>
      <c r="S563" s="163"/>
    </row>
    <row r="564" spans="5:19">
      <c r="E564" s="163"/>
      <c r="K564" s="163"/>
      <c r="Q564" s="163"/>
      <c r="R564" s="163"/>
      <c r="S564" s="163"/>
    </row>
    <row r="565" spans="5:19">
      <c r="E565" s="163"/>
      <c r="K565" s="163"/>
      <c r="Q565" s="163"/>
      <c r="R565" s="163"/>
      <c r="S565" s="163"/>
    </row>
    <row r="566" spans="5:19">
      <c r="E566" s="163"/>
      <c r="K566" s="163"/>
      <c r="Q566" s="163"/>
      <c r="R566" s="163"/>
      <c r="S566" s="163"/>
    </row>
    <row r="567" spans="5:19">
      <c r="E567" s="163"/>
      <c r="K567" s="163"/>
      <c r="Q567" s="163"/>
      <c r="R567" s="163"/>
      <c r="S567" s="163"/>
    </row>
    <row r="568" spans="5:19">
      <c r="E568" s="163"/>
      <c r="K568" s="163"/>
      <c r="Q568" s="163"/>
      <c r="R568" s="163"/>
      <c r="S568" s="163"/>
    </row>
    <row r="569" spans="5:19">
      <c r="E569" s="163"/>
      <c r="K569" s="163"/>
      <c r="Q569" s="163"/>
      <c r="R569" s="163"/>
      <c r="S569" s="163"/>
    </row>
    <row r="570" spans="5:19">
      <c r="E570" s="163"/>
      <c r="K570" s="163"/>
      <c r="Q570" s="163"/>
      <c r="R570" s="163"/>
      <c r="S570" s="163"/>
    </row>
    <row r="571" spans="5:19">
      <c r="E571" s="163"/>
      <c r="K571" s="163"/>
      <c r="Q571" s="163"/>
      <c r="R571" s="163"/>
      <c r="S571" s="163"/>
    </row>
    <row r="572" spans="5:19">
      <c r="E572" s="163"/>
      <c r="K572" s="163"/>
      <c r="Q572" s="163"/>
      <c r="R572" s="163"/>
      <c r="S572" s="163"/>
    </row>
    <row r="573" spans="5:19">
      <c r="E573" s="163"/>
      <c r="K573" s="163"/>
      <c r="Q573" s="163"/>
      <c r="R573" s="163"/>
      <c r="S573" s="163"/>
    </row>
    <row r="574" spans="5:19">
      <c r="E574" s="163"/>
      <c r="K574" s="163"/>
      <c r="Q574" s="163"/>
      <c r="R574" s="163"/>
      <c r="S574" s="163"/>
    </row>
    <row r="575" spans="5:19">
      <c r="E575" s="163"/>
      <c r="K575" s="163"/>
      <c r="Q575" s="163"/>
      <c r="R575" s="163"/>
      <c r="S575" s="163"/>
    </row>
    <row r="576" spans="5:19">
      <c r="E576" s="163"/>
      <c r="K576" s="163"/>
      <c r="Q576" s="163"/>
      <c r="R576" s="163"/>
      <c r="S576" s="163"/>
    </row>
    <row r="577" spans="5:19">
      <c r="E577" s="163"/>
      <c r="K577" s="163"/>
      <c r="Q577" s="163"/>
      <c r="R577" s="163"/>
      <c r="S577" s="163"/>
    </row>
    <row r="578" spans="5:19">
      <c r="E578" s="163"/>
      <c r="K578" s="163"/>
      <c r="Q578" s="163"/>
      <c r="R578" s="163"/>
      <c r="S578" s="163"/>
    </row>
    <row r="579" spans="5:19">
      <c r="E579" s="163"/>
      <c r="K579" s="163"/>
      <c r="Q579" s="163"/>
      <c r="R579" s="163"/>
      <c r="S579" s="163"/>
    </row>
    <row r="580" spans="5:19">
      <c r="E580" s="163"/>
      <c r="K580" s="163"/>
      <c r="Q580" s="163"/>
      <c r="R580" s="163"/>
      <c r="S580" s="163"/>
    </row>
    <row r="581" spans="5:19">
      <c r="E581" s="163"/>
      <c r="K581" s="163"/>
      <c r="Q581" s="163"/>
      <c r="R581" s="163"/>
      <c r="S581" s="163"/>
    </row>
    <row r="582" spans="5:19">
      <c r="E582" s="163"/>
      <c r="K582" s="163"/>
      <c r="Q582" s="163"/>
      <c r="R582" s="163"/>
      <c r="S582" s="163"/>
    </row>
    <row r="583" spans="5:19">
      <c r="E583" s="163"/>
      <c r="K583" s="163"/>
      <c r="Q583" s="163"/>
      <c r="R583" s="163"/>
      <c r="S583" s="163"/>
    </row>
    <row r="584" spans="5:19">
      <c r="E584" s="163"/>
      <c r="K584" s="163"/>
      <c r="Q584" s="163"/>
      <c r="R584" s="163"/>
      <c r="S584" s="163"/>
    </row>
    <row r="585" spans="5:19">
      <c r="E585" s="163"/>
      <c r="K585" s="163"/>
      <c r="Q585" s="163"/>
      <c r="R585" s="163"/>
      <c r="S585" s="163"/>
    </row>
    <row r="586" spans="5:19">
      <c r="E586" s="163"/>
      <c r="K586" s="163"/>
      <c r="Q586" s="163"/>
      <c r="R586" s="163"/>
      <c r="S586" s="163"/>
    </row>
    <row r="587" spans="5:19">
      <c r="E587" s="163"/>
      <c r="K587" s="163"/>
      <c r="Q587" s="163"/>
      <c r="R587" s="163"/>
      <c r="S587" s="163"/>
    </row>
    <row r="588" spans="5:19">
      <c r="E588" s="163"/>
      <c r="K588" s="163"/>
      <c r="Q588" s="163"/>
      <c r="R588" s="163"/>
      <c r="S588" s="163"/>
    </row>
    <row r="589" spans="5:19">
      <c r="E589" s="163"/>
      <c r="K589" s="163"/>
      <c r="Q589" s="163"/>
      <c r="R589" s="163"/>
      <c r="S589" s="163"/>
    </row>
    <row r="590" spans="5:19">
      <c r="E590" s="163"/>
      <c r="K590" s="163"/>
      <c r="Q590" s="163"/>
      <c r="R590" s="163"/>
      <c r="S590" s="163"/>
    </row>
    <row r="591" spans="5:19">
      <c r="E591" s="163"/>
      <c r="K591" s="163"/>
      <c r="Q591" s="163"/>
      <c r="R591" s="163"/>
      <c r="S591" s="163"/>
    </row>
    <row r="592" spans="5:19">
      <c r="E592" s="163"/>
      <c r="K592" s="163"/>
      <c r="Q592" s="163"/>
      <c r="R592" s="163"/>
      <c r="S592" s="163"/>
    </row>
    <row r="593" spans="5:19">
      <c r="E593" s="163"/>
      <c r="K593" s="163"/>
      <c r="Q593" s="163"/>
      <c r="R593" s="163"/>
      <c r="S593" s="163"/>
    </row>
    <row r="594" spans="5:19">
      <c r="E594" s="163"/>
      <c r="K594" s="163"/>
      <c r="Q594" s="163"/>
      <c r="R594" s="163"/>
      <c r="S594" s="163"/>
    </row>
    <row r="595" spans="5:19">
      <c r="E595" s="163"/>
      <c r="K595" s="163"/>
      <c r="Q595" s="163"/>
      <c r="R595" s="163"/>
      <c r="S595" s="163"/>
    </row>
    <row r="596" spans="5:19">
      <c r="E596" s="163"/>
      <c r="K596" s="163"/>
      <c r="Q596" s="163"/>
      <c r="R596" s="163"/>
      <c r="S596" s="163"/>
    </row>
    <row r="597" spans="5:19">
      <c r="E597" s="163"/>
      <c r="K597" s="163"/>
      <c r="Q597" s="163"/>
      <c r="R597" s="163"/>
      <c r="S597" s="163"/>
    </row>
    <row r="598" spans="5:19">
      <c r="E598" s="163"/>
      <c r="K598" s="163"/>
      <c r="Q598" s="163"/>
      <c r="R598" s="163"/>
      <c r="S598" s="163"/>
    </row>
    <row r="599" spans="5:19">
      <c r="E599" s="163"/>
      <c r="K599" s="163"/>
      <c r="Q599" s="163"/>
      <c r="R599" s="163"/>
      <c r="S599" s="163"/>
    </row>
    <row r="600" spans="5:19">
      <c r="E600" s="163"/>
      <c r="K600" s="163"/>
      <c r="Q600" s="163"/>
      <c r="R600" s="163"/>
      <c r="S600" s="163"/>
    </row>
    <row r="601" spans="5:19">
      <c r="E601" s="163"/>
      <c r="K601" s="163"/>
      <c r="Q601" s="163"/>
      <c r="R601" s="163"/>
      <c r="S601" s="163"/>
    </row>
    <row r="602" spans="5:19">
      <c r="E602" s="163"/>
      <c r="K602" s="163"/>
      <c r="Q602" s="163"/>
      <c r="R602" s="163"/>
      <c r="S602" s="163"/>
    </row>
    <row r="603" spans="5:19">
      <c r="E603" s="163"/>
      <c r="K603" s="163"/>
      <c r="Q603" s="163"/>
      <c r="R603" s="163"/>
      <c r="S603" s="163"/>
    </row>
    <row r="604" spans="5:19">
      <c r="E604" s="163"/>
      <c r="K604" s="163"/>
      <c r="Q604" s="163"/>
      <c r="R604" s="163"/>
      <c r="S604" s="163"/>
    </row>
    <row r="605" spans="5:19">
      <c r="E605" s="163"/>
      <c r="K605" s="163"/>
      <c r="Q605" s="163"/>
      <c r="R605" s="163"/>
      <c r="S605" s="163"/>
    </row>
    <row r="606" spans="5:19">
      <c r="E606" s="163"/>
      <c r="K606" s="163"/>
      <c r="Q606" s="163"/>
      <c r="R606" s="163"/>
      <c r="S606" s="163"/>
    </row>
    <row r="607" spans="5:19">
      <c r="E607" s="163"/>
      <c r="K607" s="163"/>
      <c r="Q607" s="163"/>
      <c r="R607" s="163"/>
      <c r="S607" s="163"/>
    </row>
    <row r="608" spans="5:19">
      <c r="E608" s="163"/>
      <c r="K608" s="163"/>
      <c r="Q608" s="163"/>
      <c r="R608" s="163"/>
      <c r="S608" s="163"/>
    </row>
    <row r="609" spans="5:19">
      <c r="E609" s="163"/>
      <c r="K609" s="163"/>
      <c r="Q609" s="163"/>
      <c r="R609" s="163"/>
      <c r="S609" s="163"/>
    </row>
    <row r="610" spans="5:19">
      <c r="E610" s="163"/>
      <c r="K610" s="163"/>
      <c r="Q610" s="163"/>
      <c r="R610" s="163"/>
      <c r="S610" s="163"/>
    </row>
    <row r="611" spans="5:19">
      <c r="E611" s="163"/>
      <c r="K611" s="163"/>
      <c r="Q611" s="163"/>
      <c r="R611" s="163"/>
      <c r="S611" s="163"/>
    </row>
    <row r="612" spans="5:19">
      <c r="E612" s="163"/>
      <c r="K612" s="163"/>
      <c r="Q612" s="163"/>
      <c r="R612" s="163"/>
      <c r="S612" s="163"/>
    </row>
    <row r="613" spans="5:19">
      <c r="E613" s="163"/>
      <c r="K613" s="163"/>
      <c r="Q613" s="163"/>
      <c r="R613" s="163"/>
      <c r="S613" s="163"/>
    </row>
    <row r="614" spans="5:19">
      <c r="E614" s="163"/>
      <c r="K614" s="163"/>
      <c r="Q614" s="163"/>
      <c r="R614" s="163"/>
      <c r="S614" s="163"/>
    </row>
    <row r="615" spans="5:19">
      <c r="E615" s="163"/>
      <c r="K615" s="163"/>
      <c r="Q615" s="163"/>
      <c r="R615" s="163"/>
      <c r="S615" s="163"/>
    </row>
    <row r="616" spans="5:19">
      <c r="E616" s="163"/>
      <c r="K616" s="163"/>
      <c r="Q616" s="163"/>
      <c r="R616" s="163"/>
      <c r="S616" s="163"/>
    </row>
    <row r="617" spans="5:19">
      <c r="E617" s="163"/>
      <c r="K617" s="163"/>
      <c r="Q617" s="163"/>
      <c r="R617" s="163"/>
      <c r="S617" s="163"/>
    </row>
    <row r="618" spans="5:19">
      <c r="E618" s="163"/>
      <c r="K618" s="163"/>
      <c r="Q618" s="163"/>
      <c r="R618" s="163"/>
      <c r="S618" s="163"/>
    </row>
    <row r="619" spans="5:19">
      <c r="E619" s="163"/>
      <c r="K619" s="163"/>
      <c r="Q619" s="163"/>
      <c r="R619" s="163"/>
      <c r="S619" s="163"/>
    </row>
    <row r="620" spans="5:19">
      <c r="E620" s="163"/>
      <c r="K620" s="163"/>
      <c r="Q620" s="163"/>
      <c r="R620" s="163"/>
      <c r="S620" s="163"/>
    </row>
    <row r="621" spans="5:19">
      <c r="E621" s="163"/>
      <c r="K621" s="163"/>
      <c r="Q621" s="163"/>
      <c r="R621" s="163"/>
      <c r="S621" s="163"/>
    </row>
    <row r="622" spans="5:19">
      <c r="E622" s="163"/>
      <c r="K622" s="163"/>
      <c r="Q622" s="163"/>
      <c r="R622" s="163"/>
      <c r="S622" s="163"/>
    </row>
    <row r="623" spans="5:19">
      <c r="E623" s="163"/>
      <c r="K623" s="163"/>
      <c r="Q623" s="163"/>
      <c r="R623" s="163"/>
      <c r="S623" s="163"/>
    </row>
    <row r="624" spans="5:19">
      <c r="E624" s="163"/>
      <c r="K624" s="163"/>
      <c r="Q624" s="163"/>
      <c r="R624" s="163"/>
      <c r="S624" s="163"/>
    </row>
    <row r="625" spans="5:19">
      <c r="E625" s="163"/>
      <c r="K625" s="163"/>
      <c r="Q625" s="163"/>
      <c r="R625" s="163"/>
      <c r="S625" s="163"/>
    </row>
    <row r="626" spans="5:19">
      <c r="E626" s="163"/>
      <c r="K626" s="163"/>
      <c r="Q626" s="163"/>
      <c r="R626" s="163"/>
      <c r="S626" s="163"/>
    </row>
    <row r="627" spans="5:19">
      <c r="E627" s="163"/>
      <c r="K627" s="163"/>
      <c r="Q627" s="163"/>
      <c r="R627" s="163"/>
      <c r="S627" s="163"/>
    </row>
    <row r="628" spans="5:19">
      <c r="E628" s="163"/>
      <c r="K628" s="163"/>
      <c r="Q628" s="163"/>
      <c r="R628" s="163"/>
      <c r="S628" s="163"/>
    </row>
    <row r="629" spans="5:19">
      <c r="E629" s="163"/>
      <c r="K629" s="163"/>
      <c r="Q629" s="163"/>
      <c r="R629" s="163"/>
      <c r="S629" s="163"/>
    </row>
    <row r="630" spans="5:19">
      <c r="E630" s="163"/>
      <c r="K630" s="163"/>
      <c r="Q630" s="163"/>
      <c r="R630" s="163"/>
      <c r="S630" s="163"/>
    </row>
    <row r="631" spans="5:19">
      <c r="E631" s="163"/>
      <c r="K631" s="163"/>
      <c r="Q631" s="163"/>
      <c r="R631" s="163"/>
      <c r="S631" s="163"/>
    </row>
    <row r="632" spans="5:19">
      <c r="E632" s="163"/>
      <c r="K632" s="163"/>
      <c r="Q632" s="163"/>
      <c r="R632" s="163"/>
      <c r="S632" s="163"/>
    </row>
    <row r="633" spans="5:19">
      <c r="E633" s="163"/>
      <c r="K633" s="163"/>
      <c r="Q633" s="163"/>
      <c r="R633" s="163"/>
      <c r="S633" s="163"/>
    </row>
    <row r="634" spans="5:19">
      <c r="E634" s="163"/>
      <c r="K634" s="163"/>
      <c r="Q634" s="163"/>
      <c r="R634" s="163"/>
      <c r="S634" s="163"/>
    </row>
    <row r="635" spans="5:19">
      <c r="E635" s="163"/>
      <c r="K635" s="163"/>
      <c r="Q635" s="163"/>
      <c r="R635" s="163"/>
      <c r="S635" s="163"/>
    </row>
    <row r="636" spans="5:19">
      <c r="E636" s="163"/>
      <c r="K636" s="163"/>
      <c r="Q636" s="163"/>
      <c r="R636" s="163"/>
      <c r="S636" s="163"/>
    </row>
    <row r="637" spans="5:19">
      <c r="E637" s="163"/>
      <c r="K637" s="163"/>
      <c r="Q637" s="163"/>
      <c r="R637" s="163"/>
      <c r="S637" s="163"/>
    </row>
    <row r="638" spans="5:19">
      <c r="E638" s="163"/>
      <c r="K638" s="163"/>
      <c r="Q638" s="163"/>
      <c r="R638" s="163"/>
      <c r="S638" s="163"/>
    </row>
    <row r="639" spans="5:19">
      <c r="E639" s="163"/>
      <c r="K639" s="163"/>
      <c r="Q639" s="163"/>
      <c r="R639" s="163"/>
      <c r="S639" s="163"/>
    </row>
    <row r="640" spans="5:19">
      <c r="E640" s="163"/>
      <c r="K640" s="163"/>
      <c r="Q640" s="163"/>
      <c r="R640" s="163"/>
      <c r="S640" s="163"/>
    </row>
    <row r="641" spans="5:19">
      <c r="E641" s="163"/>
      <c r="K641" s="163"/>
      <c r="Q641" s="163"/>
      <c r="R641" s="163"/>
      <c r="S641" s="163"/>
    </row>
    <row r="642" spans="5:19">
      <c r="E642" s="163"/>
      <c r="K642" s="163"/>
      <c r="Q642" s="163"/>
      <c r="R642" s="163"/>
      <c r="S642" s="163"/>
    </row>
    <row r="643" spans="5:19">
      <c r="E643" s="163"/>
      <c r="K643" s="163"/>
      <c r="Q643" s="163"/>
      <c r="R643" s="163"/>
      <c r="S643" s="163"/>
    </row>
    <row r="644" spans="5:19">
      <c r="E644" s="163"/>
      <c r="K644" s="163"/>
      <c r="Q644" s="163"/>
      <c r="R644" s="163"/>
      <c r="S644" s="163"/>
    </row>
    <row r="645" spans="5:19">
      <c r="E645" s="163"/>
      <c r="K645" s="163"/>
      <c r="Q645" s="163"/>
      <c r="R645" s="163"/>
      <c r="S645" s="163"/>
    </row>
    <row r="646" spans="5:19">
      <c r="E646" s="163"/>
      <c r="K646" s="163"/>
      <c r="Q646" s="163"/>
      <c r="R646" s="163"/>
      <c r="S646" s="163"/>
    </row>
    <row r="647" spans="5:19">
      <c r="E647" s="163"/>
      <c r="K647" s="163"/>
      <c r="Q647" s="163"/>
      <c r="R647" s="163"/>
      <c r="S647" s="163"/>
    </row>
    <row r="648" spans="5:19">
      <c r="E648" s="163"/>
      <c r="K648" s="163"/>
      <c r="Q648" s="163"/>
      <c r="R648" s="163"/>
      <c r="S648" s="163"/>
    </row>
    <row r="649" spans="5:19">
      <c r="E649" s="163"/>
      <c r="K649" s="163"/>
      <c r="Q649" s="163"/>
      <c r="R649" s="163"/>
      <c r="S649" s="163"/>
    </row>
    <row r="650" spans="5:19">
      <c r="E650" s="163"/>
      <c r="K650" s="163"/>
      <c r="Q650" s="163"/>
      <c r="R650" s="163"/>
      <c r="S650" s="163"/>
    </row>
    <row r="651" spans="5:19">
      <c r="E651" s="163"/>
      <c r="K651" s="163"/>
      <c r="Q651" s="163"/>
      <c r="R651" s="163"/>
      <c r="S651" s="163"/>
    </row>
    <row r="652" spans="5:19">
      <c r="E652" s="163"/>
      <c r="K652" s="163"/>
      <c r="Q652" s="163"/>
      <c r="R652" s="163"/>
      <c r="S652" s="163"/>
    </row>
    <row r="653" spans="5:19">
      <c r="E653" s="163"/>
      <c r="K653" s="163"/>
      <c r="Q653" s="163"/>
      <c r="R653" s="163"/>
      <c r="S653" s="163"/>
    </row>
    <row r="654" spans="5:19">
      <c r="E654" s="163"/>
      <c r="K654" s="163"/>
      <c r="Q654" s="163"/>
      <c r="R654" s="163"/>
      <c r="S654" s="163"/>
    </row>
    <row r="655" spans="5:19">
      <c r="E655" s="163"/>
      <c r="K655" s="163"/>
      <c r="Q655" s="163"/>
      <c r="R655" s="163"/>
      <c r="S655" s="163"/>
    </row>
    <row r="656" spans="5:19">
      <c r="E656" s="163"/>
      <c r="K656" s="163"/>
      <c r="Q656" s="163"/>
      <c r="R656" s="163"/>
      <c r="S656" s="163"/>
    </row>
    <row r="657" spans="5:19">
      <c r="E657" s="163"/>
      <c r="K657" s="163"/>
      <c r="Q657" s="163"/>
      <c r="R657" s="163"/>
      <c r="S657" s="163"/>
    </row>
    <row r="658" spans="5:19">
      <c r="E658" s="163"/>
      <c r="K658" s="163"/>
      <c r="Q658" s="163"/>
      <c r="R658" s="163"/>
      <c r="S658" s="163"/>
    </row>
    <row r="659" spans="5:19">
      <c r="E659" s="163"/>
      <c r="K659" s="163"/>
      <c r="Q659" s="163"/>
      <c r="R659" s="163"/>
      <c r="S659" s="163"/>
    </row>
    <row r="660" spans="5:19">
      <c r="E660" s="163"/>
      <c r="K660" s="163"/>
      <c r="Q660" s="163"/>
      <c r="R660" s="163"/>
      <c r="S660" s="163"/>
    </row>
    <row r="661" spans="5:19">
      <c r="E661" s="163"/>
      <c r="K661" s="163"/>
      <c r="Q661" s="163"/>
      <c r="R661" s="163"/>
      <c r="S661" s="163"/>
    </row>
    <row r="662" spans="5:19">
      <c r="E662" s="163"/>
      <c r="K662" s="163"/>
      <c r="Q662" s="163"/>
      <c r="R662" s="163"/>
      <c r="S662" s="163"/>
    </row>
    <row r="663" spans="5:19">
      <c r="E663" s="163"/>
      <c r="K663" s="163"/>
      <c r="Q663" s="163"/>
      <c r="R663" s="163"/>
      <c r="S663" s="163"/>
    </row>
    <row r="664" spans="5:19">
      <c r="E664" s="163"/>
      <c r="K664" s="163"/>
      <c r="Q664" s="163"/>
      <c r="R664" s="163"/>
      <c r="S664" s="163"/>
    </row>
    <row r="665" spans="5:19">
      <c r="E665" s="163"/>
      <c r="K665" s="163"/>
      <c r="Q665" s="163"/>
      <c r="R665" s="163"/>
      <c r="S665" s="163"/>
    </row>
    <row r="666" spans="5:19">
      <c r="E666" s="163"/>
      <c r="K666" s="163"/>
      <c r="Q666" s="163"/>
      <c r="R666" s="163"/>
      <c r="S666" s="163"/>
    </row>
    <row r="667" spans="5:19">
      <c r="E667" s="163"/>
      <c r="K667" s="163"/>
      <c r="Q667" s="163"/>
      <c r="R667" s="163"/>
      <c r="S667" s="163"/>
    </row>
    <row r="668" spans="5:19">
      <c r="E668" s="163"/>
      <c r="K668" s="163"/>
      <c r="Q668" s="163"/>
      <c r="R668" s="163"/>
      <c r="S668" s="163"/>
    </row>
    <row r="669" spans="5:19">
      <c r="E669" s="163"/>
      <c r="K669" s="163"/>
      <c r="Q669" s="163"/>
      <c r="R669" s="163"/>
      <c r="S669" s="163"/>
    </row>
    <row r="670" spans="5:19">
      <c r="E670" s="163"/>
      <c r="K670" s="163"/>
      <c r="Q670" s="163"/>
      <c r="R670" s="163"/>
      <c r="S670" s="163"/>
    </row>
    <row r="671" spans="5:19">
      <c r="E671" s="163"/>
      <c r="K671" s="163"/>
      <c r="Q671" s="163"/>
      <c r="R671" s="163"/>
      <c r="S671" s="163"/>
    </row>
    <row r="672" spans="5:19">
      <c r="E672" s="163"/>
      <c r="K672" s="163"/>
      <c r="Q672" s="163"/>
      <c r="R672" s="163"/>
      <c r="S672" s="163"/>
    </row>
    <row r="673" spans="5:19">
      <c r="E673" s="163"/>
      <c r="K673" s="163"/>
      <c r="Q673" s="163"/>
      <c r="R673" s="163"/>
      <c r="S673" s="163"/>
    </row>
    <row r="674" spans="5:19">
      <c r="E674" s="163"/>
      <c r="K674" s="163"/>
      <c r="Q674" s="163"/>
      <c r="R674" s="163"/>
      <c r="S674" s="163"/>
    </row>
    <row r="675" spans="5:19">
      <c r="E675" s="163"/>
      <c r="K675" s="163"/>
      <c r="Q675" s="163"/>
      <c r="R675" s="163"/>
      <c r="S675" s="163"/>
    </row>
    <row r="676" spans="5:19">
      <c r="E676" s="163"/>
      <c r="K676" s="163"/>
      <c r="Q676" s="163"/>
      <c r="R676" s="163"/>
      <c r="S676" s="163"/>
    </row>
    <row r="677" spans="5:19">
      <c r="E677" s="163"/>
      <c r="K677" s="163"/>
      <c r="Q677" s="163"/>
      <c r="R677" s="163"/>
      <c r="S677" s="163"/>
    </row>
    <row r="678" spans="5:19">
      <c r="E678" s="163"/>
      <c r="K678" s="163"/>
      <c r="Q678" s="163"/>
      <c r="R678" s="163"/>
      <c r="S678" s="163"/>
    </row>
    <row r="679" spans="5:19">
      <c r="E679" s="163"/>
      <c r="K679" s="163"/>
      <c r="Q679" s="163"/>
      <c r="R679" s="163"/>
      <c r="S679" s="163"/>
    </row>
    <row r="680" spans="5:19">
      <c r="E680" s="163"/>
      <c r="K680" s="163"/>
      <c r="Q680" s="163"/>
      <c r="R680" s="163"/>
      <c r="S680" s="163"/>
    </row>
    <row r="681" spans="5:19">
      <c r="E681" s="163"/>
      <c r="K681" s="163"/>
      <c r="Q681" s="163"/>
      <c r="R681" s="163"/>
      <c r="S681" s="163"/>
    </row>
    <row r="682" spans="5:19">
      <c r="E682" s="163"/>
      <c r="K682" s="163"/>
      <c r="Q682" s="163"/>
      <c r="R682" s="163"/>
      <c r="S682" s="163"/>
    </row>
    <row r="683" spans="5:19">
      <c r="E683" s="163"/>
      <c r="K683" s="163"/>
      <c r="Q683" s="163"/>
      <c r="R683" s="163"/>
      <c r="S683" s="163"/>
    </row>
    <row r="684" spans="5:19">
      <c r="E684" s="163"/>
      <c r="K684" s="163"/>
      <c r="Q684" s="163"/>
      <c r="R684" s="163"/>
      <c r="S684" s="163"/>
    </row>
    <row r="685" spans="5:19">
      <c r="E685" s="163"/>
      <c r="K685" s="163"/>
      <c r="Q685" s="163"/>
      <c r="R685" s="163"/>
      <c r="S685" s="163"/>
    </row>
    <row r="686" spans="5:19">
      <c r="E686" s="163"/>
      <c r="K686" s="163"/>
      <c r="Q686" s="163"/>
      <c r="R686" s="163"/>
      <c r="S686" s="163"/>
    </row>
    <row r="687" spans="5:19">
      <c r="E687" s="163"/>
      <c r="K687" s="163"/>
      <c r="Q687" s="163"/>
      <c r="R687" s="163"/>
      <c r="S687" s="163"/>
    </row>
    <row r="688" spans="5:19">
      <c r="E688" s="163"/>
      <c r="K688" s="163"/>
      <c r="Q688" s="163"/>
      <c r="R688" s="163"/>
      <c r="S688" s="163"/>
    </row>
    <row r="689" spans="5:19">
      <c r="E689" s="163"/>
      <c r="K689" s="163"/>
      <c r="Q689" s="163"/>
      <c r="R689" s="163"/>
      <c r="S689" s="163"/>
    </row>
    <row r="690" spans="5:19">
      <c r="E690" s="163"/>
      <c r="K690" s="163"/>
      <c r="Q690" s="163"/>
      <c r="R690" s="163"/>
      <c r="S690" s="163"/>
    </row>
    <row r="691" spans="5:19">
      <c r="E691" s="163"/>
      <c r="K691" s="163"/>
      <c r="Q691" s="163"/>
      <c r="R691" s="163"/>
      <c r="S691" s="163"/>
    </row>
    <row r="692" spans="5:19">
      <c r="E692" s="163"/>
      <c r="K692" s="163"/>
      <c r="Q692" s="163"/>
      <c r="R692" s="163"/>
      <c r="S692" s="163"/>
    </row>
    <row r="693" spans="5:19">
      <c r="E693" s="163"/>
      <c r="K693" s="163"/>
      <c r="Q693" s="163"/>
      <c r="R693" s="163"/>
      <c r="S693" s="163"/>
    </row>
    <row r="694" spans="5:19">
      <c r="E694" s="163"/>
      <c r="K694" s="163"/>
      <c r="Q694" s="163"/>
      <c r="R694" s="163"/>
      <c r="S694" s="163"/>
    </row>
    <row r="695" spans="5:19">
      <c r="E695" s="163"/>
      <c r="K695" s="163"/>
      <c r="Q695" s="163"/>
      <c r="R695" s="163"/>
      <c r="S695" s="163"/>
    </row>
    <row r="696" spans="5:19">
      <c r="E696" s="163"/>
      <c r="K696" s="163"/>
      <c r="Q696" s="163"/>
      <c r="R696" s="163"/>
      <c r="S696" s="163"/>
    </row>
    <row r="697" spans="5:19">
      <c r="E697" s="163"/>
      <c r="K697" s="163"/>
      <c r="Q697" s="163"/>
      <c r="R697" s="163"/>
      <c r="S697" s="163"/>
    </row>
    <row r="698" spans="5:19">
      <c r="E698" s="163"/>
      <c r="K698" s="163"/>
      <c r="Q698" s="163"/>
      <c r="R698" s="163"/>
      <c r="S698" s="163"/>
    </row>
    <row r="699" spans="5:19">
      <c r="E699" s="163"/>
      <c r="K699" s="163"/>
      <c r="Q699" s="163"/>
      <c r="R699" s="163"/>
      <c r="S699" s="163"/>
    </row>
    <row r="700" spans="5:19">
      <c r="E700" s="163"/>
      <c r="K700" s="163"/>
      <c r="Q700" s="163"/>
      <c r="R700" s="163"/>
      <c r="S700" s="163"/>
    </row>
    <row r="701" spans="5:19">
      <c r="E701" s="163"/>
      <c r="K701" s="163"/>
      <c r="Q701" s="163"/>
      <c r="R701" s="163"/>
      <c r="S701" s="163"/>
    </row>
    <row r="702" spans="5:19">
      <c r="E702" s="163"/>
      <c r="K702" s="163"/>
      <c r="Q702" s="163"/>
      <c r="R702" s="163"/>
      <c r="S702" s="163"/>
    </row>
    <row r="703" spans="5:19">
      <c r="E703" s="163"/>
      <c r="K703" s="163"/>
      <c r="Q703" s="163"/>
      <c r="R703" s="163"/>
      <c r="S703" s="163"/>
    </row>
    <row r="704" spans="5:19">
      <c r="E704" s="163"/>
      <c r="K704" s="163"/>
      <c r="Q704" s="163"/>
      <c r="R704" s="163"/>
      <c r="S704" s="163"/>
    </row>
    <row r="705" spans="5:19">
      <c r="E705" s="163"/>
      <c r="K705" s="163"/>
      <c r="Q705" s="163"/>
      <c r="R705" s="163"/>
      <c r="S705" s="163"/>
    </row>
    <row r="706" spans="5:19">
      <c r="E706" s="163"/>
      <c r="K706" s="163"/>
      <c r="Q706" s="163"/>
      <c r="R706" s="163"/>
      <c r="S706" s="163"/>
    </row>
    <row r="707" spans="5:19">
      <c r="E707" s="163"/>
      <c r="K707" s="163"/>
      <c r="Q707" s="163"/>
      <c r="R707" s="163"/>
      <c r="S707" s="163"/>
    </row>
    <row r="708" spans="5:19">
      <c r="E708" s="163"/>
      <c r="K708" s="163"/>
      <c r="Q708" s="163"/>
      <c r="R708" s="163"/>
      <c r="S708" s="163"/>
    </row>
    <row r="709" spans="5:19">
      <c r="E709" s="163"/>
      <c r="K709" s="163"/>
      <c r="Q709" s="163"/>
      <c r="R709" s="163"/>
      <c r="S709" s="163"/>
    </row>
    <row r="710" spans="5:19">
      <c r="E710" s="163"/>
      <c r="K710" s="163"/>
      <c r="Q710" s="163"/>
      <c r="R710" s="163"/>
      <c r="S710" s="163"/>
    </row>
    <row r="711" spans="5:19">
      <c r="E711" s="163"/>
      <c r="K711" s="163"/>
      <c r="Q711" s="163"/>
      <c r="R711" s="163"/>
      <c r="S711" s="163"/>
    </row>
    <row r="712" spans="5:19">
      <c r="E712" s="163"/>
      <c r="K712" s="163"/>
      <c r="Q712" s="163"/>
      <c r="R712" s="163"/>
      <c r="S712" s="163"/>
    </row>
    <row r="713" spans="5:19">
      <c r="E713" s="163"/>
      <c r="K713" s="163"/>
      <c r="Q713" s="163"/>
      <c r="R713" s="163"/>
      <c r="S713" s="163"/>
    </row>
    <row r="714" spans="5:19">
      <c r="E714" s="163"/>
      <c r="K714" s="163"/>
      <c r="Q714" s="163"/>
      <c r="R714" s="163"/>
      <c r="S714" s="163"/>
    </row>
    <row r="715" spans="5:19">
      <c r="E715" s="163"/>
      <c r="K715" s="163"/>
      <c r="Q715" s="163"/>
      <c r="R715" s="163"/>
      <c r="S715" s="163"/>
    </row>
    <row r="716" spans="5:19">
      <c r="E716" s="163"/>
      <c r="K716" s="163"/>
      <c r="Q716" s="163"/>
      <c r="R716" s="163"/>
      <c r="S716" s="163"/>
    </row>
    <row r="717" spans="5:19">
      <c r="E717" s="163"/>
      <c r="K717" s="163"/>
      <c r="Q717" s="163"/>
      <c r="R717" s="163"/>
      <c r="S717" s="163"/>
    </row>
    <row r="718" spans="5:19">
      <c r="E718" s="163"/>
      <c r="K718" s="163"/>
      <c r="Q718" s="163"/>
      <c r="R718" s="163"/>
      <c r="S718" s="163"/>
    </row>
    <row r="719" spans="5:19">
      <c r="E719" s="163"/>
      <c r="K719" s="163"/>
      <c r="Q719" s="163"/>
      <c r="R719" s="163"/>
      <c r="S719" s="163"/>
    </row>
    <row r="720" spans="5:19">
      <c r="E720" s="163"/>
      <c r="K720" s="163"/>
      <c r="Q720" s="163"/>
      <c r="R720" s="163"/>
      <c r="S720" s="163"/>
    </row>
    <row r="721" spans="5:19">
      <c r="E721" s="163"/>
      <c r="K721" s="163"/>
      <c r="Q721" s="163"/>
      <c r="R721" s="163"/>
      <c r="S721" s="163"/>
    </row>
    <row r="722" spans="5:19">
      <c r="E722" s="163"/>
      <c r="K722" s="163"/>
      <c r="Q722" s="163"/>
      <c r="R722" s="163"/>
      <c r="S722" s="163"/>
    </row>
    <row r="723" spans="5:19">
      <c r="E723" s="163"/>
      <c r="K723" s="163"/>
      <c r="Q723" s="163"/>
      <c r="R723" s="163"/>
      <c r="S723" s="163"/>
    </row>
    <row r="724" spans="5:19">
      <c r="E724" s="163"/>
      <c r="K724" s="163"/>
      <c r="Q724" s="163"/>
      <c r="R724" s="163"/>
      <c r="S724" s="163"/>
    </row>
    <row r="725" spans="5:19">
      <c r="E725" s="163"/>
      <c r="K725" s="163"/>
      <c r="Q725" s="163"/>
      <c r="R725" s="163"/>
      <c r="S725" s="163"/>
    </row>
    <row r="726" spans="5:19">
      <c r="E726" s="163"/>
      <c r="K726" s="163"/>
      <c r="Q726" s="163"/>
      <c r="R726" s="163"/>
      <c r="S726" s="163"/>
    </row>
    <row r="727" spans="5:19">
      <c r="E727" s="163"/>
      <c r="K727" s="163"/>
      <c r="Q727" s="163"/>
      <c r="R727" s="163"/>
      <c r="S727" s="163"/>
    </row>
    <row r="728" spans="5:19">
      <c r="E728" s="163"/>
      <c r="K728" s="163"/>
      <c r="Q728" s="163"/>
      <c r="R728" s="163"/>
      <c r="S728" s="163"/>
    </row>
    <row r="729" spans="5:19">
      <c r="E729" s="163"/>
      <c r="K729" s="163"/>
      <c r="Q729" s="163"/>
      <c r="R729" s="163"/>
      <c r="S729" s="163"/>
    </row>
    <row r="730" spans="5:19">
      <c r="E730" s="163"/>
      <c r="K730" s="163"/>
      <c r="Q730" s="163"/>
      <c r="R730" s="163"/>
      <c r="S730" s="163"/>
    </row>
    <row r="731" spans="5:19">
      <c r="E731" s="163"/>
      <c r="K731" s="163"/>
      <c r="Q731" s="163"/>
      <c r="R731" s="163"/>
      <c r="S731" s="163"/>
    </row>
    <row r="732" spans="5:19">
      <c r="E732" s="163"/>
      <c r="K732" s="163"/>
      <c r="Q732" s="163"/>
      <c r="R732" s="163"/>
      <c r="S732" s="163"/>
    </row>
    <row r="733" spans="5:19">
      <c r="E733" s="163"/>
      <c r="K733" s="163"/>
      <c r="Q733" s="163"/>
      <c r="R733" s="163"/>
      <c r="S733" s="163"/>
    </row>
    <row r="734" spans="5:19">
      <c r="E734" s="163"/>
      <c r="K734" s="163"/>
      <c r="Q734" s="163"/>
      <c r="R734" s="163"/>
      <c r="S734" s="163"/>
    </row>
    <row r="735" spans="5:19">
      <c r="E735" s="163"/>
      <c r="K735" s="163"/>
      <c r="Q735" s="163"/>
      <c r="R735" s="163"/>
      <c r="S735" s="163"/>
    </row>
    <row r="736" spans="5:19">
      <c r="E736" s="163"/>
      <c r="K736" s="163"/>
      <c r="Q736" s="163"/>
      <c r="R736" s="163"/>
      <c r="S736" s="163"/>
    </row>
    <row r="737" spans="5:19">
      <c r="E737" s="163"/>
      <c r="K737" s="163"/>
      <c r="Q737" s="163"/>
      <c r="R737" s="163"/>
      <c r="S737" s="163"/>
    </row>
    <row r="738" spans="5:19">
      <c r="E738" s="163"/>
      <c r="K738" s="163"/>
      <c r="Q738" s="163"/>
      <c r="R738" s="163"/>
      <c r="S738" s="163"/>
    </row>
    <row r="739" spans="5:19">
      <c r="E739" s="163"/>
      <c r="K739" s="163"/>
      <c r="Q739" s="163"/>
      <c r="R739" s="163"/>
      <c r="S739" s="163"/>
    </row>
    <row r="740" spans="5:19">
      <c r="E740" s="163"/>
      <c r="K740" s="163"/>
      <c r="Q740" s="163"/>
      <c r="R740" s="163"/>
      <c r="S740" s="163"/>
    </row>
    <row r="741" spans="5:19">
      <c r="E741" s="163"/>
      <c r="K741" s="163"/>
      <c r="Q741" s="163"/>
      <c r="R741" s="163"/>
      <c r="S741" s="163"/>
    </row>
    <row r="742" spans="5:19">
      <c r="E742" s="163"/>
      <c r="K742" s="163"/>
      <c r="Q742" s="163"/>
      <c r="R742" s="163"/>
      <c r="S742" s="163"/>
    </row>
    <row r="743" spans="5:19">
      <c r="E743" s="163"/>
      <c r="K743" s="163"/>
      <c r="Q743" s="163"/>
      <c r="R743" s="163"/>
      <c r="S743" s="163"/>
    </row>
    <row r="744" spans="5:19">
      <c r="E744" s="163"/>
      <c r="K744" s="163"/>
      <c r="Q744" s="163"/>
      <c r="R744" s="163"/>
      <c r="S744" s="163"/>
    </row>
    <row r="745" spans="5:19">
      <c r="E745" s="163"/>
      <c r="K745" s="163"/>
      <c r="Q745" s="163"/>
      <c r="R745" s="163"/>
      <c r="S745" s="163"/>
    </row>
    <row r="746" spans="5:19">
      <c r="E746" s="163"/>
      <c r="K746" s="163"/>
      <c r="Q746" s="163"/>
      <c r="R746" s="163"/>
      <c r="S746" s="163"/>
    </row>
    <row r="747" spans="5:19">
      <c r="E747" s="163"/>
      <c r="K747" s="163"/>
      <c r="Q747" s="163"/>
      <c r="R747" s="163"/>
      <c r="S747" s="163"/>
    </row>
    <row r="748" spans="5:19">
      <c r="E748" s="163"/>
      <c r="K748" s="163"/>
      <c r="Q748" s="163"/>
      <c r="R748" s="163"/>
      <c r="S748" s="163"/>
    </row>
    <row r="749" spans="5:19">
      <c r="E749" s="163"/>
      <c r="K749" s="163"/>
      <c r="Q749" s="163"/>
      <c r="R749" s="163"/>
      <c r="S749" s="163"/>
    </row>
    <row r="750" spans="5:19">
      <c r="E750" s="163"/>
      <c r="K750" s="163"/>
      <c r="Q750" s="163"/>
      <c r="R750" s="163"/>
      <c r="S750" s="163"/>
    </row>
    <row r="751" spans="5:19">
      <c r="E751" s="163"/>
      <c r="K751" s="163"/>
      <c r="Q751" s="163"/>
      <c r="R751" s="163"/>
      <c r="S751" s="163"/>
    </row>
    <row r="752" spans="5:19">
      <c r="E752" s="163"/>
      <c r="K752" s="163"/>
      <c r="Q752" s="163"/>
      <c r="R752" s="163"/>
      <c r="S752" s="163"/>
    </row>
    <row r="753" spans="5:19">
      <c r="E753" s="163"/>
      <c r="K753" s="163"/>
      <c r="Q753" s="163"/>
      <c r="R753" s="163"/>
      <c r="S753" s="163"/>
    </row>
    <row r="754" spans="5:19">
      <c r="E754" s="163"/>
      <c r="K754" s="163"/>
      <c r="Q754" s="163"/>
      <c r="R754" s="163"/>
      <c r="S754" s="163"/>
    </row>
    <row r="755" spans="5:19">
      <c r="E755" s="163"/>
      <c r="K755" s="163"/>
      <c r="Q755" s="163"/>
      <c r="R755" s="163"/>
      <c r="S755" s="163"/>
    </row>
    <row r="756" spans="5:19">
      <c r="E756" s="163"/>
      <c r="K756" s="163"/>
      <c r="Q756" s="163"/>
      <c r="R756" s="163"/>
      <c r="S756" s="163"/>
    </row>
    <row r="757" spans="5:19">
      <c r="E757" s="163"/>
      <c r="K757" s="163"/>
      <c r="Q757" s="163"/>
      <c r="R757" s="163"/>
      <c r="S757" s="163"/>
    </row>
    <row r="758" spans="5:19">
      <c r="E758" s="163"/>
      <c r="K758" s="163"/>
      <c r="Q758" s="163"/>
      <c r="R758" s="163"/>
      <c r="S758" s="163"/>
    </row>
    <row r="759" spans="5:19">
      <c r="E759" s="163"/>
      <c r="K759" s="163"/>
      <c r="Q759" s="163"/>
      <c r="R759" s="163"/>
      <c r="S759" s="163"/>
    </row>
    <row r="760" spans="5:19">
      <c r="E760" s="163"/>
      <c r="K760" s="163"/>
      <c r="Q760" s="163"/>
      <c r="R760" s="163"/>
      <c r="S760" s="163"/>
    </row>
    <row r="761" spans="5:19">
      <c r="E761" s="163"/>
      <c r="K761" s="163"/>
      <c r="Q761" s="163"/>
      <c r="R761" s="163"/>
      <c r="S761" s="163"/>
    </row>
    <row r="762" spans="5:19">
      <c r="E762" s="163"/>
      <c r="K762" s="163"/>
      <c r="Q762" s="163"/>
      <c r="R762" s="163"/>
      <c r="S762" s="163"/>
    </row>
    <row r="763" spans="5:19">
      <c r="E763" s="163"/>
      <c r="K763" s="163"/>
      <c r="Q763" s="163"/>
      <c r="R763" s="163"/>
      <c r="S763" s="163"/>
    </row>
    <row r="764" spans="5:19">
      <c r="E764" s="163"/>
      <c r="K764" s="163"/>
      <c r="Q764" s="163"/>
      <c r="R764" s="163"/>
      <c r="S764" s="163"/>
    </row>
    <row r="765" spans="5:19">
      <c r="E765" s="163"/>
      <c r="K765" s="163"/>
      <c r="Q765" s="163"/>
      <c r="R765" s="163"/>
      <c r="S765" s="163"/>
    </row>
    <row r="766" spans="5:19">
      <c r="E766" s="163"/>
      <c r="K766" s="163"/>
      <c r="Q766" s="163"/>
      <c r="R766" s="163"/>
      <c r="S766" s="163"/>
    </row>
    <row r="767" spans="5:19">
      <c r="E767" s="163"/>
      <c r="K767" s="163"/>
      <c r="Q767" s="163"/>
      <c r="R767" s="163"/>
      <c r="S767" s="163"/>
    </row>
    <row r="768" spans="5:19">
      <c r="E768" s="163"/>
      <c r="K768" s="163"/>
      <c r="Q768" s="163"/>
      <c r="R768" s="163"/>
      <c r="S768" s="163"/>
    </row>
    <row r="769" spans="5:19">
      <c r="E769" s="163"/>
      <c r="K769" s="163"/>
      <c r="Q769" s="163"/>
      <c r="R769" s="163"/>
      <c r="S769" s="163"/>
    </row>
    <row r="770" spans="5:19">
      <c r="E770" s="163"/>
      <c r="K770" s="163"/>
      <c r="Q770" s="163"/>
      <c r="R770" s="163"/>
      <c r="S770" s="163"/>
    </row>
    <row r="771" spans="5:19">
      <c r="E771" s="163"/>
      <c r="K771" s="163"/>
      <c r="Q771" s="163"/>
      <c r="R771" s="163"/>
      <c r="S771" s="163"/>
    </row>
    <row r="772" spans="5:19">
      <c r="E772" s="163"/>
      <c r="K772" s="163"/>
      <c r="Q772" s="163"/>
      <c r="R772" s="163"/>
      <c r="S772" s="163"/>
    </row>
    <row r="773" spans="5:19">
      <c r="E773" s="163"/>
      <c r="K773" s="163"/>
      <c r="Q773" s="163"/>
      <c r="R773" s="163"/>
      <c r="S773" s="163"/>
    </row>
    <row r="774" spans="5:19">
      <c r="E774" s="163"/>
      <c r="K774" s="163"/>
      <c r="Q774" s="163"/>
      <c r="R774" s="163"/>
      <c r="S774" s="163"/>
    </row>
    <row r="775" spans="5:19">
      <c r="E775" s="163"/>
      <c r="K775" s="163"/>
      <c r="Q775" s="163"/>
      <c r="R775" s="163"/>
      <c r="S775" s="163"/>
    </row>
    <row r="776" spans="5:19">
      <c r="E776" s="163"/>
      <c r="K776" s="163"/>
      <c r="Q776" s="163"/>
      <c r="R776" s="163"/>
      <c r="S776" s="163"/>
    </row>
    <row r="777" spans="5:19">
      <c r="E777" s="163"/>
      <c r="K777" s="163"/>
      <c r="Q777" s="163"/>
      <c r="R777" s="163"/>
      <c r="S777" s="163"/>
    </row>
    <row r="778" spans="5:19">
      <c r="E778" s="163"/>
      <c r="K778" s="163"/>
      <c r="Q778" s="163"/>
      <c r="R778" s="163"/>
      <c r="S778" s="163"/>
    </row>
    <row r="779" spans="5:19">
      <c r="E779" s="163"/>
      <c r="K779" s="163"/>
      <c r="Q779" s="163"/>
      <c r="R779" s="163"/>
      <c r="S779" s="163"/>
    </row>
    <row r="780" spans="5:19">
      <c r="E780" s="163"/>
      <c r="K780" s="163"/>
      <c r="Q780" s="163"/>
      <c r="R780" s="163"/>
      <c r="S780" s="163"/>
    </row>
    <row r="781" spans="5:19">
      <c r="E781" s="163"/>
      <c r="K781" s="163"/>
      <c r="Q781" s="163"/>
      <c r="R781" s="163"/>
      <c r="S781" s="163"/>
    </row>
    <row r="782" spans="5:19">
      <c r="E782" s="163"/>
      <c r="K782" s="163"/>
      <c r="Q782" s="163"/>
      <c r="R782" s="163"/>
      <c r="S782" s="163"/>
    </row>
    <row r="783" spans="5:19">
      <c r="E783" s="163"/>
      <c r="K783" s="163"/>
      <c r="Q783" s="163"/>
      <c r="R783" s="163"/>
      <c r="S783" s="163"/>
    </row>
    <row r="784" spans="5:19">
      <c r="E784" s="163"/>
      <c r="K784" s="163"/>
      <c r="Q784" s="163"/>
      <c r="R784" s="163"/>
      <c r="S784" s="163"/>
    </row>
    <row r="785" spans="5:19">
      <c r="E785" s="163"/>
      <c r="K785" s="163"/>
      <c r="Q785" s="163"/>
      <c r="R785" s="163"/>
      <c r="S785" s="163"/>
    </row>
    <row r="786" spans="5:19">
      <c r="E786" s="163"/>
      <c r="K786" s="163"/>
      <c r="Q786" s="163"/>
      <c r="R786" s="163"/>
      <c r="S786" s="163"/>
    </row>
    <row r="787" spans="5:19">
      <c r="E787" s="163"/>
      <c r="K787" s="163"/>
      <c r="Q787" s="163"/>
      <c r="R787" s="163"/>
      <c r="S787" s="163"/>
    </row>
    <row r="788" spans="5:19">
      <c r="E788" s="163"/>
      <c r="K788" s="163"/>
      <c r="Q788" s="163"/>
      <c r="R788" s="163"/>
      <c r="S788" s="163"/>
    </row>
    <row r="789" spans="5:19">
      <c r="E789" s="163"/>
      <c r="K789" s="163"/>
      <c r="Q789" s="163"/>
      <c r="R789" s="163"/>
      <c r="S789" s="163"/>
    </row>
    <row r="790" spans="5:19">
      <c r="E790" s="163"/>
      <c r="K790" s="163"/>
      <c r="Q790" s="163"/>
      <c r="R790" s="163"/>
      <c r="S790" s="163"/>
    </row>
    <row r="791" spans="5:19">
      <c r="E791" s="163"/>
      <c r="K791" s="163"/>
      <c r="Q791" s="163"/>
      <c r="R791" s="163"/>
      <c r="S791" s="163"/>
    </row>
    <row r="792" spans="5:19">
      <c r="E792" s="163"/>
      <c r="K792" s="163"/>
      <c r="Q792" s="163"/>
      <c r="R792" s="163"/>
      <c r="S792" s="163"/>
    </row>
    <row r="793" spans="5:19">
      <c r="E793" s="163"/>
      <c r="K793" s="163"/>
      <c r="Q793" s="163"/>
      <c r="R793" s="163"/>
      <c r="S793" s="163"/>
    </row>
    <row r="794" spans="5:19">
      <c r="E794" s="163"/>
      <c r="K794" s="163"/>
      <c r="Q794" s="163"/>
      <c r="R794" s="163"/>
      <c r="S794" s="163"/>
    </row>
    <row r="795" spans="5:19">
      <c r="E795" s="163"/>
      <c r="K795" s="163"/>
      <c r="Q795" s="163"/>
      <c r="R795" s="163"/>
      <c r="S795" s="163"/>
    </row>
    <row r="796" spans="5:19">
      <c r="E796" s="163"/>
      <c r="K796" s="163"/>
      <c r="Q796" s="163"/>
      <c r="R796" s="163"/>
      <c r="S796" s="163"/>
    </row>
    <row r="797" spans="5:19">
      <c r="E797" s="163"/>
      <c r="K797" s="163"/>
      <c r="Q797" s="163"/>
      <c r="R797" s="163"/>
      <c r="S797" s="163"/>
    </row>
    <row r="798" spans="5:19">
      <c r="E798" s="163"/>
      <c r="K798" s="163"/>
      <c r="Q798" s="163"/>
      <c r="R798" s="163"/>
      <c r="S798" s="163"/>
    </row>
    <row r="799" spans="5:19">
      <c r="E799" s="163"/>
      <c r="K799" s="163"/>
      <c r="Q799" s="163"/>
      <c r="R799" s="163"/>
      <c r="S799" s="163"/>
    </row>
    <row r="800" spans="5:19">
      <c r="E800" s="163"/>
      <c r="K800" s="163"/>
      <c r="Q800" s="163"/>
      <c r="R800" s="163"/>
      <c r="S800" s="163"/>
    </row>
    <row r="801" spans="5:19">
      <c r="E801" s="163"/>
      <c r="K801" s="163"/>
      <c r="Q801" s="163"/>
      <c r="R801" s="163"/>
      <c r="S801" s="163"/>
    </row>
    <row r="802" spans="5:19">
      <c r="E802" s="163"/>
      <c r="K802" s="163"/>
      <c r="Q802" s="163"/>
      <c r="R802" s="163"/>
      <c r="S802" s="163"/>
    </row>
    <row r="803" spans="5:19">
      <c r="E803" s="163"/>
      <c r="K803" s="163"/>
      <c r="Q803" s="163"/>
      <c r="R803" s="163"/>
      <c r="S803" s="163"/>
    </row>
    <row r="804" spans="5:19">
      <c r="E804" s="163"/>
      <c r="K804" s="163"/>
      <c r="Q804" s="163"/>
      <c r="R804" s="163"/>
      <c r="S804" s="163"/>
    </row>
    <row r="805" spans="5:19">
      <c r="E805" s="163"/>
      <c r="K805" s="163"/>
      <c r="Q805" s="163"/>
      <c r="R805" s="163"/>
      <c r="S805" s="163"/>
    </row>
    <row r="806" spans="5:19">
      <c r="E806" s="163"/>
      <c r="K806" s="163"/>
      <c r="Q806" s="163"/>
      <c r="R806" s="163"/>
      <c r="S806" s="163"/>
    </row>
    <row r="807" spans="5:19">
      <c r="E807" s="163"/>
      <c r="K807" s="163"/>
      <c r="Q807" s="163"/>
      <c r="R807" s="163"/>
      <c r="S807" s="163"/>
    </row>
    <row r="808" spans="5:19">
      <c r="E808" s="163"/>
      <c r="K808" s="163"/>
      <c r="Q808" s="163"/>
      <c r="R808" s="163"/>
      <c r="S808" s="163"/>
    </row>
    <row r="809" spans="5:19">
      <c r="E809" s="163"/>
      <c r="K809" s="163"/>
      <c r="Q809" s="163"/>
      <c r="R809" s="163"/>
      <c r="S809" s="163"/>
    </row>
    <row r="810" spans="5:19">
      <c r="E810" s="163"/>
      <c r="K810" s="163"/>
      <c r="Q810" s="163"/>
      <c r="R810" s="163"/>
      <c r="S810" s="163"/>
    </row>
    <row r="811" spans="5:19">
      <c r="E811" s="163"/>
      <c r="K811" s="163"/>
      <c r="Q811" s="163"/>
      <c r="R811" s="163"/>
      <c r="S811" s="163"/>
    </row>
    <row r="812" spans="5:19">
      <c r="E812" s="163"/>
      <c r="K812" s="163"/>
      <c r="Q812" s="163"/>
      <c r="R812" s="163"/>
      <c r="S812" s="163"/>
    </row>
    <row r="813" spans="5:19">
      <c r="E813" s="163"/>
      <c r="K813" s="163"/>
      <c r="Q813" s="163"/>
      <c r="R813" s="163"/>
      <c r="S813" s="163"/>
    </row>
    <row r="814" spans="5:19">
      <c r="E814" s="163"/>
      <c r="K814" s="163"/>
      <c r="Q814" s="163"/>
      <c r="R814" s="163"/>
      <c r="S814" s="163"/>
    </row>
    <row r="815" spans="5:19">
      <c r="E815" s="163"/>
      <c r="K815" s="163"/>
      <c r="Q815" s="163"/>
      <c r="R815" s="163"/>
      <c r="S815" s="163"/>
    </row>
    <row r="816" spans="5:19">
      <c r="E816" s="163"/>
      <c r="K816" s="163"/>
      <c r="Q816" s="163"/>
      <c r="R816" s="163"/>
      <c r="S816" s="163"/>
    </row>
    <row r="817" spans="5:19">
      <c r="E817" s="163"/>
      <c r="K817" s="163"/>
      <c r="Q817" s="163"/>
      <c r="R817" s="163"/>
      <c r="S817" s="163"/>
    </row>
    <row r="818" spans="5:19">
      <c r="E818" s="163"/>
      <c r="K818" s="163"/>
      <c r="Q818" s="163"/>
      <c r="R818" s="163"/>
      <c r="S818" s="163"/>
    </row>
    <row r="819" spans="5:19">
      <c r="E819" s="163"/>
      <c r="K819" s="163"/>
      <c r="Q819" s="163"/>
      <c r="R819" s="163"/>
      <c r="S819" s="163"/>
    </row>
    <row r="820" spans="5:19">
      <c r="E820" s="163"/>
      <c r="K820" s="163"/>
      <c r="Q820" s="163"/>
      <c r="R820" s="163"/>
      <c r="S820" s="163"/>
    </row>
    <row r="821" spans="5:19">
      <c r="E821" s="163"/>
      <c r="K821" s="163"/>
      <c r="Q821" s="163"/>
      <c r="R821" s="163"/>
      <c r="S821" s="163"/>
    </row>
    <row r="822" spans="5:19">
      <c r="E822" s="163"/>
      <c r="K822" s="163"/>
      <c r="Q822" s="163"/>
      <c r="R822" s="163"/>
      <c r="S822" s="163"/>
    </row>
    <row r="823" spans="5:19">
      <c r="E823" s="163"/>
      <c r="K823" s="163"/>
      <c r="Q823" s="163"/>
      <c r="R823" s="163"/>
      <c r="S823" s="163"/>
    </row>
    <row r="824" spans="5:19">
      <c r="E824" s="163"/>
      <c r="K824" s="163"/>
      <c r="Q824" s="163"/>
      <c r="R824" s="163"/>
      <c r="S824" s="163"/>
    </row>
    <row r="825" spans="5:19">
      <c r="E825" s="163"/>
      <c r="K825" s="163"/>
      <c r="Q825" s="163"/>
      <c r="R825" s="163"/>
      <c r="S825" s="163"/>
    </row>
    <row r="826" spans="5:19">
      <c r="E826" s="163"/>
      <c r="K826" s="163"/>
      <c r="Q826" s="163"/>
      <c r="R826" s="163"/>
      <c r="S826" s="163"/>
    </row>
    <row r="827" spans="5:19">
      <c r="E827" s="163"/>
      <c r="K827" s="163"/>
      <c r="Q827" s="163"/>
      <c r="R827" s="163"/>
      <c r="S827" s="163"/>
    </row>
    <row r="828" spans="5:19">
      <c r="E828" s="163"/>
      <c r="K828" s="163"/>
      <c r="Q828" s="163"/>
      <c r="R828" s="163"/>
      <c r="S828" s="163"/>
    </row>
    <row r="829" spans="5:19">
      <c r="E829" s="163"/>
      <c r="K829" s="163"/>
      <c r="Q829" s="163"/>
      <c r="R829" s="163"/>
      <c r="S829" s="163"/>
    </row>
    <row r="830" spans="5:19">
      <c r="E830" s="163"/>
      <c r="K830" s="163"/>
      <c r="Q830" s="163"/>
      <c r="R830" s="163"/>
      <c r="S830" s="163"/>
    </row>
    <row r="831" spans="5:19">
      <c r="E831" s="163"/>
      <c r="K831" s="163"/>
      <c r="Q831" s="163"/>
      <c r="R831" s="163"/>
      <c r="S831" s="163"/>
    </row>
    <row r="832" spans="5:19">
      <c r="E832" s="163"/>
      <c r="K832" s="163"/>
      <c r="Q832" s="163"/>
      <c r="R832" s="163"/>
      <c r="S832" s="163"/>
    </row>
    <row r="833" spans="5:19">
      <c r="E833" s="163"/>
      <c r="K833" s="163"/>
      <c r="Q833" s="163"/>
      <c r="R833" s="163"/>
      <c r="S833" s="163"/>
    </row>
    <row r="834" spans="5:19">
      <c r="E834" s="163"/>
      <c r="K834" s="163"/>
      <c r="Q834" s="163"/>
      <c r="R834" s="163"/>
      <c r="S834" s="163"/>
    </row>
    <row r="835" spans="5:19">
      <c r="E835" s="163"/>
      <c r="K835" s="163"/>
      <c r="Q835" s="163"/>
      <c r="R835" s="163"/>
      <c r="S835" s="163"/>
    </row>
    <row r="836" spans="5:19">
      <c r="E836" s="163"/>
      <c r="K836" s="163"/>
      <c r="Q836" s="163"/>
      <c r="R836" s="163"/>
      <c r="S836" s="163"/>
    </row>
    <row r="837" spans="5:19">
      <c r="E837" s="163"/>
      <c r="K837" s="163"/>
      <c r="Q837" s="163"/>
      <c r="R837" s="163"/>
      <c r="S837" s="163"/>
    </row>
    <row r="838" spans="5:19">
      <c r="E838" s="163"/>
      <c r="K838" s="163"/>
      <c r="Q838" s="163"/>
      <c r="R838" s="163"/>
      <c r="S838" s="163"/>
    </row>
    <row r="839" spans="5:19">
      <c r="E839" s="163"/>
      <c r="K839" s="163"/>
      <c r="Q839" s="163"/>
      <c r="R839" s="163"/>
      <c r="S839" s="163"/>
    </row>
    <row r="840" spans="5:19">
      <c r="E840" s="163"/>
      <c r="K840" s="163"/>
      <c r="Q840" s="163"/>
      <c r="R840" s="163"/>
      <c r="S840" s="163"/>
    </row>
    <row r="841" spans="5:19">
      <c r="E841" s="163"/>
      <c r="K841" s="163"/>
      <c r="Q841" s="163"/>
      <c r="R841" s="163"/>
      <c r="S841" s="163"/>
    </row>
    <row r="842" spans="5:19">
      <c r="E842" s="163"/>
      <c r="K842" s="163"/>
      <c r="Q842" s="163"/>
      <c r="R842" s="163"/>
      <c r="S842" s="163"/>
    </row>
    <row r="843" spans="5:19">
      <c r="E843" s="163"/>
      <c r="K843" s="163"/>
      <c r="Q843" s="163"/>
      <c r="R843" s="163"/>
      <c r="S843" s="163"/>
    </row>
    <row r="844" spans="5:19">
      <c r="E844" s="163"/>
      <c r="K844" s="163"/>
      <c r="Q844" s="163"/>
      <c r="R844" s="163"/>
      <c r="S844" s="163"/>
    </row>
    <row r="845" spans="5:19">
      <c r="E845" s="163"/>
      <c r="K845" s="163"/>
      <c r="Q845" s="163"/>
      <c r="R845" s="163"/>
      <c r="S845" s="163"/>
    </row>
    <row r="846" spans="5:19">
      <c r="E846" s="163"/>
      <c r="K846" s="163"/>
      <c r="Q846" s="163"/>
      <c r="R846" s="163"/>
      <c r="S846" s="163"/>
    </row>
    <row r="847" spans="5:19">
      <c r="E847" s="163"/>
      <c r="K847" s="163"/>
      <c r="Q847" s="163"/>
      <c r="R847" s="163"/>
      <c r="S847" s="163"/>
    </row>
    <row r="848" spans="5:19">
      <c r="E848" s="163"/>
      <c r="K848" s="163"/>
      <c r="Q848" s="163"/>
      <c r="R848" s="163"/>
      <c r="S848" s="163"/>
    </row>
    <row r="849" spans="5:19">
      <c r="E849" s="163"/>
      <c r="K849" s="163"/>
      <c r="Q849" s="163"/>
      <c r="R849" s="163"/>
      <c r="S849" s="163"/>
    </row>
    <row r="850" spans="5:19">
      <c r="E850" s="163"/>
      <c r="K850" s="163"/>
      <c r="Q850" s="163"/>
      <c r="R850" s="163"/>
      <c r="S850" s="163"/>
    </row>
    <row r="851" spans="5:19">
      <c r="E851" s="163"/>
      <c r="K851" s="163"/>
      <c r="Q851" s="163"/>
      <c r="R851" s="163"/>
      <c r="S851" s="163"/>
    </row>
    <row r="852" spans="5:19">
      <c r="E852" s="163"/>
      <c r="K852" s="163"/>
      <c r="Q852" s="163"/>
      <c r="R852" s="163"/>
      <c r="S852" s="163"/>
    </row>
    <row r="853" spans="5:19">
      <c r="E853" s="163"/>
      <c r="K853" s="163"/>
      <c r="Q853" s="163"/>
      <c r="R853" s="163"/>
      <c r="S853" s="163"/>
    </row>
    <row r="854" spans="5:19">
      <c r="E854" s="163"/>
      <c r="K854" s="163"/>
      <c r="Q854" s="163"/>
      <c r="R854" s="163"/>
      <c r="S854" s="163"/>
    </row>
    <row r="855" spans="5:19">
      <c r="E855" s="163"/>
      <c r="K855" s="163"/>
      <c r="Q855" s="163"/>
      <c r="R855" s="163"/>
      <c r="S855" s="163"/>
    </row>
    <row r="856" spans="5:19">
      <c r="E856" s="163"/>
      <c r="K856" s="163"/>
      <c r="Q856" s="163"/>
      <c r="R856" s="163"/>
      <c r="S856" s="163"/>
    </row>
    <row r="857" spans="5:19">
      <c r="E857" s="163"/>
      <c r="K857" s="163"/>
      <c r="Q857" s="163"/>
      <c r="R857" s="163"/>
      <c r="S857" s="163"/>
    </row>
    <row r="858" spans="5:19">
      <c r="E858" s="163"/>
      <c r="K858" s="163"/>
      <c r="Q858" s="163"/>
      <c r="R858" s="163"/>
      <c r="S858" s="163"/>
    </row>
    <row r="859" spans="5:19">
      <c r="E859" s="163"/>
      <c r="K859" s="163"/>
      <c r="Q859" s="163"/>
      <c r="R859" s="163"/>
      <c r="S859" s="163"/>
    </row>
    <row r="860" spans="5:19">
      <c r="E860" s="163"/>
      <c r="K860" s="163"/>
      <c r="Q860" s="163"/>
      <c r="R860" s="163"/>
      <c r="S860" s="163"/>
    </row>
    <row r="861" spans="5:19">
      <c r="E861" s="163"/>
      <c r="K861" s="163"/>
      <c r="Q861" s="163"/>
      <c r="R861" s="163"/>
      <c r="S861" s="163"/>
    </row>
    <row r="862" spans="5:19">
      <c r="E862" s="163"/>
      <c r="K862" s="163"/>
      <c r="Q862" s="163"/>
      <c r="R862" s="163"/>
      <c r="S862" s="163"/>
    </row>
    <row r="863" spans="5:19">
      <c r="E863" s="163"/>
      <c r="K863" s="163"/>
      <c r="Q863" s="163"/>
      <c r="R863" s="163"/>
      <c r="S863" s="163"/>
    </row>
    <row r="864" spans="5:19">
      <c r="E864" s="163"/>
      <c r="K864" s="163"/>
      <c r="Q864" s="163"/>
      <c r="R864" s="163"/>
      <c r="S864" s="163"/>
    </row>
    <row r="865" spans="5:19">
      <c r="E865" s="163"/>
      <c r="K865" s="163"/>
      <c r="Q865" s="163"/>
      <c r="R865" s="163"/>
      <c r="S865" s="163"/>
    </row>
    <row r="866" spans="5:19">
      <c r="E866" s="163"/>
      <c r="K866" s="163"/>
      <c r="Q866" s="163"/>
      <c r="R866" s="163"/>
      <c r="S866" s="163"/>
    </row>
    <row r="867" spans="5:19">
      <c r="E867" s="163"/>
      <c r="K867" s="163"/>
      <c r="Q867" s="163"/>
      <c r="R867" s="163"/>
      <c r="S867" s="163"/>
    </row>
    <row r="868" spans="5:19">
      <c r="E868" s="163"/>
      <c r="K868" s="163"/>
      <c r="Q868" s="163"/>
      <c r="R868" s="163"/>
      <c r="S868" s="163"/>
    </row>
    <row r="869" spans="5:19">
      <c r="E869" s="163"/>
      <c r="K869" s="163"/>
      <c r="Q869" s="163"/>
      <c r="R869" s="163"/>
      <c r="S869" s="163"/>
    </row>
    <row r="870" spans="5:19">
      <c r="E870" s="163"/>
      <c r="K870" s="163"/>
      <c r="Q870" s="163"/>
      <c r="R870" s="163"/>
      <c r="S870" s="163"/>
    </row>
    <row r="871" spans="5:19">
      <c r="E871" s="163"/>
      <c r="K871" s="163"/>
      <c r="Q871" s="163"/>
      <c r="R871" s="163"/>
      <c r="S871" s="163"/>
    </row>
    <row r="872" spans="5:19">
      <c r="E872" s="163"/>
      <c r="K872" s="163"/>
      <c r="Q872" s="163"/>
      <c r="R872" s="163"/>
      <c r="S872" s="163"/>
    </row>
    <row r="873" spans="5:19">
      <c r="E873" s="163"/>
      <c r="K873" s="163"/>
      <c r="Q873" s="163"/>
      <c r="R873" s="163"/>
      <c r="S873" s="163"/>
    </row>
    <row r="874" spans="5:19">
      <c r="E874" s="163"/>
      <c r="K874" s="163"/>
      <c r="Q874" s="163"/>
      <c r="R874" s="163"/>
      <c r="S874" s="163"/>
    </row>
    <row r="875" spans="5:19">
      <c r="E875" s="163"/>
      <c r="K875" s="163"/>
      <c r="Q875" s="163"/>
      <c r="R875" s="163"/>
      <c r="S875" s="163"/>
    </row>
    <row r="876" spans="5:19">
      <c r="E876" s="163"/>
      <c r="K876" s="163"/>
      <c r="Q876" s="163"/>
      <c r="R876" s="163"/>
      <c r="S876" s="163"/>
    </row>
    <row r="877" spans="5:19">
      <c r="E877" s="163"/>
      <c r="K877" s="163"/>
      <c r="Q877" s="163"/>
      <c r="R877" s="163"/>
      <c r="S877" s="163"/>
    </row>
    <row r="878" spans="5:19">
      <c r="E878" s="163"/>
      <c r="K878" s="163"/>
      <c r="Q878" s="163"/>
      <c r="R878" s="163"/>
      <c r="S878" s="163"/>
    </row>
    <row r="879" spans="5:19">
      <c r="E879" s="163"/>
      <c r="K879" s="163"/>
      <c r="Q879" s="163"/>
      <c r="R879" s="163"/>
      <c r="S879" s="163"/>
    </row>
    <row r="880" spans="5:19">
      <c r="E880" s="163"/>
      <c r="K880" s="163"/>
      <c r="Q880" s="163"/>
      <c r="R880" s="163"/>
      <c r="S880" s="163"/>
    </row>
    <row r="881" spans="5:19">
      <c r="E881" s="163"/>
      <c r="K881" s="163"/>
      <c r="Q881" s="163"/>
      <c r="R881" s="163"/>
      <c r="S881" s="163"/>
    </row>
    <row r="882" spans="5:19">
      <c r="E882" s="163"/>
      <c r="K882" s="163"/>
      <c r="Q882" s="163"/>
      <c r="R882" s="163"/>
      <c r="S882" s="163"/>
    </row>
    <row r="883" spans="5:19">
      <c r="E883" s="163"/>
      <c r="K883" s="163"/>
      <c r="Q883" s="163"/>
      <c r="R883" s="163"/>
      <c r="S883" s="163"/>
    </row>
    <row r="884" spans="5:19">
      <c r="E884" s="163"/>
      <c r="K884" s="163"/>
      <c r="Q884" s="163"/>
      <c r="R884" s="163"/>
      <c r="S884" s="163"/>
    </row>
    <row r="885" spans="5:19">
      <c r="E885" s="163"/>
      <c r="K885" s="163"/>
      <c r="Q885" s="163"/>
      <c r="R885" s="163"/>
      <c r="S885" s="163"/>
    </row>
    <row r="886" spans="5:19">
      <c r="E886" s="163"/>
      <c r="K886" s="163"/>
      <c r="Q886" s="163"/>
      <c r="R886" s="163"/>
      <c r="S886" s="163"/>
    </row>
    <row r="887" spans="5:19">
      <c r="E887" s="163"/>
      <c r="K887" s="163"/>
      <c r="Q887" s="163"/>
      <c r="R887" s="163"/>
      <c r="S887" s="163"/>
    </row>
    <row r="888" spans="5:19">
      <c r="E888" s="163"/>
      <c r="K888" s="163"/>
      <c r="Q888" s="163"/>
      <c r="R888" s="163"/>
      <c r="S888" s="163"/>
    </row>
    <row r="889" spans="5:19">
      <c r="E889" s="163"/>
      <c r="K889" s="163"/>
      <c r="Q889" s="163"/>
      <c r="R889" s="163"/>
      <c r="S889" s="163"/>
    </row>
    <row r="890" spans="5:19">
      <c r="E890" s="163"/>
      <c r="K890" s="163"/>
      <c r="Q890" s="163"/>
      <c r="R890" s="163"/>
      <c r="S890" s="163"/>
    </row>
    <row r="891" spans="5:19">
      <c r="E891" s="163"/>
      <c r="K891" s="163"/>
      <c r="Q891" s="163"/>
      <c r="R891" s="163"/>
      <c r="S891" s="163"/>
    </row>
    <row r="892" spans="5:19">
      <c r="E892" s="163"/>
      <c r="K892" s="163"/>
      <c r="Q892" s="163"/>
      <c r="R892" s="163"/>
      <c r="S892" s="163"/>
    </row>
    <row r="893" spans="5:19">
      <c r="E893" s="163"/>
      <c r="K893" s="163"/>
      <c r="Q893" s="163"/>
      <c r="R893" s="163"/>
      <c r="S893" s="163"/>
    </row>
    <row r="894" spans="5:19">
      <c r="E894" s="163"/>
      <c r="K894" s="163"/>
      <c r="Q894" s="163"/>
      <c r="R894" s="163"/>
      <c r="S894" s="163"/>
    </row>
    <row r="895" spans="5:19">
      <c r="E895" s="163"/>
      <c r="K895" s="163"/>
      <c r="Q895" s="163"/>
      <c r="R895" s="163"/>
      <c r="S895" s="163"/>
    </row>
    <row r="896" spans="5:19">
      <c r="E896" s="163"/>
      <c r="K896" s="163"/>
      <c r="Q896" s="163"/>
      <c r="R896" s="163"/>
      <c r="S896" s="163"/>
    </row>
    <row r="897" spans="5:19">
      <c r="E897" s="163"/>
      <c r="K897" s="163"/>
      <c r="Q897" s="163"/>
      <c r="R897" s="163"/>
      <c r="S897" s="163"/>
    </row>
    <row r="898" spans="5:19">
      <c r="E898" s="163"/>
      <c r="K898" s="163"/>
      <c r="Q898" s="163"/>
      <c r="R898" s="163"/>
      <c r="S898" s="163"/>
    </row>
    <row r="899" spans="5:19">
      <c r="E899" s="163"/>
      <c r="K899" s="163"/>
      <c r="Q899" s="163"/>
      <c r="R899" s="163"/>
      <c r="S899" s="163"/>
    </row>
    <row r="900" spans="5:19">
      <c r="E900" s="163"/>
      <c r="K900" s="163"/>
      <c r="Q900" s="163"/>
      <c r="R900" s="163"/>
      <c r="S900" s="163"/>
    </row>
    <row r="901" spans="5:19">
      <c r="E901" s="163"/>
      <c r="K901" s="163"/>
      <c r="Q901" s="163"/>
      <c r="R901" s="163"/>
      <c r="S901" s="163"/>
    </row>
    <row r="902" spans="5:19">
      <c r="E902" s="163"/>
      <c r="K902" s="163"/>
      <c r="Q902" s="163"/>
      <c r="R902" s="163"/>
      <c r="S902" s="163"/>
    </row>
    <row r="903" spans="5:19">
      <c r="E903" s="163"/>
      <c r="K903" s="163"/>
      <c r="Q903" s="163"/>
      <c r="R903" s="163"/>
      <c r="S903" s="163"/>
    </row>
    <row r="904" spans="5:19">
      <c r="E904" s="163"/>
      <c r="K904" s="163"/>
      <c r="Q904" s="163"/>
      <c r="R904" s="163"/>
      <c r="S904" s="163"/>
    </row>
    <row r="905" spans="5:19">
      <c r="E905" s="163"/>
      <c r="K905" s="163"/>
      <c r="Q905" s="163"/>
      <c r="R905" s="163"/>
      <c r="S905" s="163"/>
    </row>
    <row r="906" spans="5:19">
      <c r="E906" s="163"/>
      <c r="K906" s="163"/>
      <c r="Q906" s="163"/>
      <c r="R906" s="163"/>
      <c r="S906" s="163"/>
    </row>
    <row r="907" spans="5:19">
      <c r="E907" s="163"/>
      <c r="K907" s="163"/>
      <c r="Q907" s="163"/>
      <c r="R907" s="163"/>
      <c r="S907" s="163"/>
    </row>
    <row r="908" spans="5:19">
      <c r="E908" s="163"/>
      <c r="K908" s="163"/>
      <c r="Q908" s="163"/>
      <c r="R908" s="163"/>
      <c r="S908" s="163"/>
    </row>
    <row r="909" spans="5:19">
      <c r="E909" s="163"/>
      <c r="K909" s="163"/>
      <c r="Q909" s="163"/>
      <c r="R909" s="163"/>
      <c r="S909" s="163"/>
    </row>
    <row r="910" spans="5:19">
      <c r="E910" s="163"/>
      <c r="K910" s="163"/>
      <c r="Q910" s="163"/>
      <c r="R910" s="163"/>
      <c r="S910" s="163"/>
    </row>
    <row r="911" spans="5:19">
      <c r="E911" s="163"/>
      <c r="K911" s="163"/>
      <c r="Q911" s="163"/>
      <c r="R911" s="163"/>
      <c r="S911" s="163"/>
    </row>
    <row r="912" spans="5:19">
      <c r="E912" s="163"/>
      <c r="K912" s="163"/>
      <c r="Q912" s="163"/>
      <c r="R912" s="163"/>
      <c r="S912" s="163"/>
    </row>
    <row r="913" spans="5:19">
      <c r="E913" s="163"/>
      <c r="K913" s="163"/>
      <c r="Q913" s="163"/>
      <c r="R913" s="163"/>
      <c r="S913" s="163"/>
    </row>
    <row r="914" spans="5:19">
      <c r="E914" s="163"/>
      <c r="K914" s="163"/>
      <c r="Q914" s="163"/>
      <c r="R914" s="163"/>
      <c r="S914" s="163"/>
    </row>
    <row r="915" spans="5:19">
      <c r="E915" s="163"/>
      <c r="K915" s="163"/>
      <c r="Q915" s="163"/>
      <c r="R915" s="163"/>
      <c r="S915" s="163"/>
    </row>
    <row r="916" spans="5:19">
      <c r="E916" s="163"/>
      <c r="K916" s="163"/>
      <c r="Q916" s="163"/>
      <c r="R916" s="163"/>
      <c r="S916" s="163"/>
    </row>
    <row r="917" spans="5:19">
      <c r="E917" s="163"/>
      <c r="K917" s="163"/>
      <c r="Q917" s="163"/>
      <c r="R917" s="163"/>
      <c r="S917" s="163"/>
    </row>
    <row r="918" spans="5:19">
      <c r="E918" s="163"/>
      <c r="K918" s="163"/>
      <c r="Q918" s="163"/>
      <c r="R918" s="163"/>
      <c r="S918" s="163"/>
    </row>
    <row r="919" spans="5:19">
      <c r="E919" s="163"/>
      <c r="K919" s="163"/>
      <c r="Q919" s="163"/>
      <c r="R919" s="163"/>
      <c r="S919" s="163"/>
    </row>
    <row r="920" spans="5:19">
      <c r="E920" s="163"/>
      <c r="K920" s="163"/>
      <c r="Q920" s="163"/>
      <c r="R920" s="163"/>
      <c r="S920" s="163"/>
    </row>
    <row r="921" spans="5:19">
      <c r="E921" s="163"/>
      <c r="K921" s="163"/>
      <c r="Q921" s="163"/>
      <c r="R921" s="163"/>
      <c r="S921" s="163"/>
    </row>
    <row r="922" spans="5:19">
      <c r="E922" s="163"/>
      <c r="K922" s="163"/>
      <c r="Q922" s="163"/>
      <c r="R922" s="163"/>
      <c r="S922" s="163"/>
    </row>
    <row r="923" spans="5:19">
      <c r="E923" s="163"/>
      <c r="K923" s="163"/>
      <c r="Q923" s="163"/>
      <c r="R923" s="163"/>
      <c r="S923" s="163"/>
    </row>
    <row r="924" spans="5:19">
      <c r="E924" s="163"/>
      <c r="K924" s="163"/>
      <c r="Q924" s="163"/>
      <c r="R924" s="163"/>
      <c r="S924" s="163"/>
    </row>
    <row r="925" spans="5:19">
      <c r="E925" s="163"/>
      <c r="K925" s="163"/>
      <c r="Q925" s="163"/>
      <c r="R925" s="163"/>
      <c r="S925" s="163"/>
    </row>
    <row r="926" spans="5:19">
      <c r="E926" s="163"/>
      <c r="K926" s="163"/>
      <c r="Q926" s="163"/>
      <c r="R926" s="163"/>
      <c r="S926" s="163"/>
    </row>
    <row r="927" spans="5:19">
      <c r="E927" s="163"/>
      <c r="K927" s="163"/>
      <c r="Q927" s="163"/>
      <c r="R927" s="163"/>
      <c r="S927" s="163"/>
    </row>
    <row r="928" spans="5:19">
      <c r="E928" s="163"/>
      <c r="K928" s="163"/>
      <c r="Q928" s="163"/>
      <c r="R928" s="163"/>
      <c r="S928" s="163"/>
    </row>
    <row r="929" spans="5:19">
      <c r="E929" s="163"/>
      <c r="K929" s="163"/>
      <c r="Q929" s="163"/>
      <c r="R929" s="163"/>
      <c r="S929" s="163"/>
    </row>
    <row r="930" spans="5:19">
      <c r="E930" s="163"/>
      <c r="K930" s="163"/>
      <c r="Q930" s="163"/>
      <c r="R930" s="163"/>
      <c r="S930" s="163"/>
    </row>
    <row r="931" spans="5:19">
      <c r="E931" s="163"/>
      <c r="K931" s="163"/>
      <c r="Q931" s="163"/>
      <c r="R931" s="163"/>
      <c r="S931" s="163"/>
    </row>
    <row r="932" spans="5:19">
      <c r="E932" s="163"/>
      <c r="K932" s="163"/>
      <c r="Q932" s="163"/>
      <c r="R932" s="163"/>
      <c r="S932" s="163"/>
    </row>
    <row r="933" spans="5:19">
      <c r="E933" s="163"/>
      <c r="K933" s="163"/>
      <c r="Q933" s="163"/>
      <c r="R933" s="163"/>
      <c r="S933" s="163"/>
    </row>
    <row r="934" spans="5:19">
      <c r="E934" s="163"/>
      <c r="K934" s="163"/>
      <c r="Q934" s="163"/>
      <c r="R934" s="163"/>
      <c r="S934" s="163"/>
    </row>
    <row r="935" spans="5:19">
      <c r="E935" s="163"/>
      <c r="K935" s="163"/>
      <c r="Q935" s="163"/>
      <c r="R935" s="163"/>
      <c r="S935" s="163"/>
    </row>
    <row r="936" spans="5:19">
      <c r="E936" s="163"/>
      <c r="K936" s="163"/>
      <c r="Q936" s="163"/>
      <c r="R936" s="163"/>
      <c r="S936" s="163"/>
    </row>
    <row r="937" spans="5:19">
      <c r="E937" s="163"/>
      <c r="K937" s="163"/>
      <c r="Q937" s="163"/>
      <c r="R937" s="163"/>
      <c r="S937" s="163"/>
    </row>
    <row r="938" spans="5:19">
      <c r="E938" s="163"/>
      <c r="K938" s="163"/>
      <c r="Q938" s="163"/>
      <c r="R938" s="163"/>
      <c r="S938" s="163"/>
    </row>
    <row r="939" spans="5:19">
      <c r="E939" s="163"/>
      <c r="K939" s="163"/>
      <c r="Q939" s="163"/>
      <c r="R939" s="163"/>
      <c r="S939" s="163"/>
    </row>
    <row r="940" spans="5:19">
      <c r="E940" s="163"/>
      <c r="K940" s="163"/>
      <c r="Q940" s="163"/>
      <c r="R940" s="163"/>
      <c r="S940" s="163"/>
    </row>
    <row r="941" spans="5:19">
      <c r="E941" s="163"/>
      <c r="K941" s="163"/>
      <c r="Q941" s="163"/>
      <c r="R941" s="163"/>
      <c r="S941" s="163"/>
    </row>
    <row r="942" spans="5:19">
      <c r="E942" s="163"/>
      <c r="K942" s="163"/>
      <c r="Q942" s="163"/>
      <c r="R942" s="163"/>
      <c r="S942" s="163"/>
    </row>
    <row r="943" spans="5:19">
      <c r="E943" s="163"/>
      <c r="K943" s="163"/>
      <c r="Q943" s="163"/>
      <c r="R943" s="163"/>
      <c r="S943" s="163"/>
    </row>
    <row r="944" spans="5:19">
      <c r="E944" s="163"/>
      <c r="K944" s="163"/>
      <c r="Q944" s="163"/>
      <c r="R944" s="163"/>
      <c r="S944" s="163"/>
    </row>
    <row r="945" spans="5:19">
      <c r="E945" s="163"/>
      <c r="K945" s="163"/>
      <c r="Q945" s="163"/>
      <c r="R945" s="163"/>
      <c r="S945" s="163"/>
    </row>
    <row r="946" spans="5:19">
      <c r="E946" s="163"/>
      <c r="K946" s="163"/>
      <c r="Q946" s="163"/>
      <c r="R946" s="163"/>
      <c r="S946" s="163"/>
    </row>
    <row r="947" spans="5:19">
      <c r="E947" s="163"/>
      <c r="K947" s="163"/>
      <c r="Q947" s="163"/>
      <c r="R947" s="163"/>
      <c r="S947" s="163"/>
    </row>
    <row r="948" spans="5:19">
      <c r="E948" s="163"/>
      <c r="K948" s="163"/>
      <c r="Q948" s="163"/>
      <c r="R948" s="163"/>
      <c r="S948" s="163"/>
    </row>
    <row r="949" spans="5:19">
      <c r="E949" s="163"/>
      <c r="K949" s="163"/>
      <c r="Q949" s="163"/>
      <c r="R949" s="163"/>
      <c r="S949" s="163"/>
    </row>
    <row r="950" spans="5:19">
      <c r="E950" s="163"/>
      <c r="K950" s="163"/>
      <c r="Q950" s="163"/>
      <c r="R950" s="163"/>
      <c r="S950" s="163"/>
    </row>
    <row r="951" spans="5:19">
      <c r="E951" s="163"/>
      <c r="K951" s="163"/>
      <c r="Q951" s="163"/>
      <c r="R951" s="163"/>
      <c r="S951" s="163"/>
    </row>
    <row r="952" spans="5:19">
      <c r="E952" s="163"/>
      <c r="K952" s="163"/>
      <c r="Q952" s="163"/>
      <c r="R952" s="163"/>
      <c r="S952" s="163"/>
    </row>
    <row r="953" spans="5:19">
      <c r="E953" s="163"/>
      <c r="K953" s="163"/>
      <c r="Q953" s="163"/>
      <c r="R953" s="163"/>
      <c r="S953" s="163"/>
    </row>
    <row r="954" spans="5:19">
      <c r="E954" s="163"/>
      <c r="K954" s="163"/>
      <c r="Q954" s="163"/>
      <c r="R954" s="163"/>
      <c r="S954" s="163"/>
    </row>
    <row r="955" spans="5:19">
      <c r="E955" s="163"/>
      <c r="K955" s="163"/>
      <c r="Q955" s="163"/>
      <c r="R955" s="163"/>
      <c r="S955" s="163"/>
    </row>
    <row r="956" spans="5:19">
      <c r="E956" s="163"/>
      <c r="K956" s="163"/>
      <c r="Q956" s="163"/>
      <c r="R956" s="163"/>
      <c r="S956" s="163"/>
    </row>
    <row r="957" spans="5:19">
      <c r="E957" s="163"/>
      <c r="K957" s="163"/>
      <c r="Q957" s="163"/>
      <c r="R957" s="163"/>
      <c r="S957" s="163"/>
    </row>
    <row r="958" spans="5:19">
      <c r="E958" s="163"/>
      <c r="K958" s="163"/>
      <c r="Q958" s="163"/>
      <c r="R958" s="163"/>
      <c r="S958" s="163"/>
    </row>
    <row r="959" spans="5:19">
      <c r="E959" s="163"/>
      <c r="K959" s="163"/>
      <c r="Q959" s="163"/>
      <c r="R959" s="163"/>
      <c r="S959" s="163"/>
    </row>
    <row r="960" spans="5:19">
      <c r="E960" s="163"/>
      <c r="K960" s="163"/>
      <c r="Q960" s="163"/>
      <c r="R960" s="163"/>
      <c r="S960" s="163"/>
    </row>
    <row r="961" spans="5:19">
      <c r="E961" s="163"/>
      <c r="K961" s="163"/>
      <c r="Q961" s="163"/>
      <c r="R961" s="163"/>
      <c r="S961" s="163"/>
    </row>
    <row r="962" spans="5:19">
      <c r="E962" s="163"/>
      <c r="K962" s="163"/>
      <c r="Q962" s="163"/>
      <c r="R962" s="163"/>
      <c r="S962" s="163"/>
    </row>
    <row r="963" spans="5:19">
      <c r="E963" s="163"/>
      <c r="K963" s="163"/>
      <c r="Q963" s="163"/>
      <c r="R963" s="163"/>
      <c r="S963" s="163"/>
    </row>
    <row r="964" spans="5:19">
      <c r="E964" s="163"/>
      <c r="K964" s="163"/>
      <c r="Q964" s="163"/>
      <c r="R964" s="163"/>
      <c r="S964" s="163"/>
    </row>
    <row r="965" spans="5:19">
      <c r="E965" s="163"/>
      <c r="K965" s="163"/>
      <c r="Q965" s="163"/>
      <c r="R965" s="163"/>
      <c r="S965" s="163"/>
    </row>
    <row r="966" spans="5:19">
      <c r="E966" s="163"/>
      <c r="K966" s="163"/>
      <c r="Q966" s="163"/>
      <c r="R966" s="163"/>
      <c r="S966" s="163"/>
    </row>
    <row r="967" spans="5:19">
      <c r="E967" s="163"/>
      <c r="K967" s="163"/>
      <c r="Q967" s="163"/>
      <c r="R967" s="163"/>
      <c r="S967" s="163"/>
    </row>
    <row r="968" spans="5:19">
      <c r="E968" s="163"/>
      <c r="K968" s="163"/>
      <c r="Q968" s="163"/>
      <c r="R968" s="163"/>
      <c r="S968" s="163"/>
    </row>
    <row r="969" spans="5:19">
      <c r="E969" s="163"/>
      <c r="K969" s="163"/>
      <c r="Q969" s="163"/>
      <c r="R969" s="163"/>
      <c r="S969" s="163"/>
    </row>
    <row r="970" spans="5:19">
      <c r="E970" s="163"/>
      <c r="K970" s="163"/>
      <c r="Q970" s="163"/>
      <c r="R970" s="163"/>
      <c r="S970" s="163"/>
    </row>
    <row r="971" spans="5:19">
      <c r="E971" s="163"/>
      <c r="K971" s="163"/>
      <c r="Q971" s="163"/>
      <c r="R971" s="163"/>
      <c r="S971" s="163"/>
    </row>
    <row r="972" spans="5:19">
      <c r="E972" s="163"/>
      <c r="K972" s="163"/>
      <c r="Q972" s="163"/>
      <c r="R972" s="163"/>
      <c r="S972" s="163"/>
    </row>
    <row r="973" spans="5:19">
      <c r="E973" s="163"/>
      <c r="K973" s="163"/>
      <c r="Q973" s="163"/>
      <c r="R973" s="163"/>
      <c r="S973" s="163"/>
    </row>
    <row r="974" spans="5:19">
      <c r="E974" s="163"/>
      <c r="K974" s="163"/>
      <c r="Q974" s="163"/>
      <c r="R974" s="163"/>
      <c r="S974" s="163"/>
    </row>
    <row r="975" spans="5:19">
      <c r="E975" s="163"/>
      <c r="K975" s="163"/>
      <c r="Q975" s="163"/>
      <c r="R975" s="163"/>
      <c r="S975" s="163"/>
    </row>
    <row r="976" spans="5:19">
      <c r="E976" s="163"/>
      <c r="K976" s="163"/>
      <c r="Q976" s="163"/>
      <c r="R976" s="163"/>
      <c r="S976" s="163"/>
    </row>
    <row r="977" spans="5:19">
      <c r="E977" s="163"/>
      <c r="K977" s="163"/>
      <c r="Q977" s="163"/>
      <c r="R977" s="163"/>
      <c r="S977" s="163"/>
    </row>
    <row r="978" spans="5:19">
      <c r="E978" s="163"/>
      <c r="K978" s="163"/>
      <c r="Q978" s="163"/>
      <c r="R978" s="163"/>
      <c r="S978" s="163"/>
    </row>
    <row r="979" spans="5:19">
      <c r="E979" s="163"/>
      <c r="K979" s="163"/>
      <c r="Q979" s="163"/>
      <c r="R979" s="163"/>
      <c r="S979" s="163"/>
    </row>
    <row r="980" spans="5:19">
      <c r="E980" s="163"/>
      <c r="K980" s="163"/>
      <c r="Q980" s="163"/>
      <c r="R980" s="163"/>
      <c r="S980" s="163"/>
    </row>
    <row r="981" spans="5:19">
      <c r="E981" s="163"/>
      <c r="K981" s="163"/>
      <c r="Q981" s="163"/>
      <c r="R981" s="163"/>
      <c r="S981" s="163"/>
    </row>
    <row r="982" spans="5:19">
      <c r="E982" s="163"/>
      <c r="K982" s="163"/>
      <c r="Q982" s="163"/>
      <c r="R982" s="163"/>
      <c r="S982" s="163"/>
    </row>
    <row r="983" spans="5:19">
      <c r="E983" s="163"/>
      <c r="K983" s="163"/>
      <c r="Q983" s="163"/>
      <c r="R983" s="163"/>
      <c r="S983" s="163"/>
    </row>
    <row r="984" spans="5:19">
      <c r="E984" s="163"/>
      <c r="K984" s="163"/>
      <c r="Q984" s="163"/>
      <c r="R984" s="163"/>
      <c r="S984" s="163"/>
    </row>
    <row r="985" spans="5:19">
      <c r="E985" s="163"/>
      <c r="K985" s="163"/>
      <c r="Q985" s="163"/>
      <c r="R985" s="163"/>
      <c r="S985" s="163"/>
    </row>
    <row r="986" spans="5:19">
      <c r="E986" s="163"/>
      <c r="K986" s="163"/>
      <c r="Q986" s="163"/>
      <c r="R986" s="163"/>
      <c r="S986" s="163"/>
    </row>
    <row r="987" spans="5:19">
      <c r="E987" s="163"/>
      <c r="K987" s="163"/>
      <c r="Q987" s="163"/>
      <c r="R987" s="163"/>
      <c r="S987" s="163"/>
    </row>
    <row r="988" spans="5:19">
      <c r="E988" s="163"/>
      <c r="K988" s="163"/>
      <c r="Q988" s="163"/>
      <c r="R988" s="163"/>
      <c r="S988" s="163"/>
    </row>
    <row r="989" spans="5:19">
      <c r="E989" s="163"/>
      <c r="K989" s="163"/>
      <c r="Q989" s="163"/>
      <c r="R989" s="163"/>
      <c r="S989" s="163"/>
    </row>
    <row r="990" spans="5:19">
      <c r="E990" s="163"/>
      <c r="K990" s="163"/>
      <c r="Q990" s="163"/>
      <c r="R990" s="163"/>
      <c r="S990" s="163"/>
    </row>
    <row r="991" spans="5:19">
      <c r="E991" s="163"/>
      <c r="K991" s="163"/>
      <c r="Q991" s="163"/>
      <c r="R991" s="163"/>
      <c r="S991" s="163"/>
    </row>
    <row r="992" spans="5:19">
      <c r="E992" s="163"/>
      <c r="K992" s="163"/>
      <c r="Q992" s="163"/>
      <c r="R992" s="163"/>
      <c r="S992" s="163"/>
    </row>
    <row r="993" spans="5:19">
      <c r="E993" s="163"/>
      <c r="K993" s="163"/>
      <c r="Q993" s="163"/>
      <c r="R993" s="163"/>
      <c r="S993" s="163"/>
    </row>
    <row r="994" spans="5:19">
      <c r="E994" s="163"/>
      <c r="K994" s="163"/>
      <c r="Q994" s="163"/>
      <c r="R994" s="163"/>
      <c r="S994" s="163"/>
    </row>
    <row r="995" spans="5:19">
      <c r="E995" s="163"/>
      <c r="K995" s="163"/>
      <c r="Q995" s="163"/>
      <c r="R995" s="163"/>
      <c r="S995" s="163"/>
    </row>
    <row r="996" spans="5:19">
      <c r="E996" s="163"/>
      <c r="K996" s="163"/>
      <c r="Q996" s="163"/>
      <c r="R996" s="163"/>
      <c r="S996" s="163"/>
    </row>
    <row r="997" spans="5:19">
      <c r="E997" s="163"/>
      <c r="K997" s="163"/>
      <c r="Q997" s="163"/>
      <c r="R997" s="163"/>
      <c r="S997" s="163"/>
    </row>
    <row r="998" spans="5:19">
      <c r="E998" s="163"/>
      <c r="K998" s="163"/>
      <c r="Q998" s="163"/>
      <c r="R998" s="163"/>
      <c r="S998" s="163"/>
    </row>
    <row r="999" spans="5:19">
      <c r="E999" s="163"/>
      <c r="K999" s="163"/>
      <c r="Q999" s="163"/>
      <c r="R999" s="163"/>
      <c r="S999" s="163"/>
    </row>
    <row r="1000" spans="5:19">
      <c r="E1000" s="163"/>
      <c r="K1000" s="163"/>
      <c r="Q1000" s="163"/>
      <c r="R1000" s="163"/>
      <c r="S1000" s="163"/>
    </row>
    <row r="1001" spans="5:19">
      <c r="E1001" s="163"/>
      <c r="K1001" s="163"/>
      <c r="Q1001" s="163"/>
      <c r="R1001" s="163"/>
      <c r="S1001" s="163"/>
    </row>
    <row r="1002" spans="5:19">
      <c r="E1002" s="163"/>
      <c r="K1002" s="163"/>
      <c r="Q1002" s="163"/>
      <c r="R1002" s="163"/>
      <c r="S1002" s="163"/>
    </row>
    <row r="1003" spans="5:19">
      <c r="E1003" s="163"/>
      <c r="K1003" s="163"/>
      <c r="Q1003" s="163"/>
      <c r="R1003" s="163"/>
      <c r="S1003" s="163"/>
    </row>
    <row r="1004" spans="5:19">
      <c r="E1004" s="163"/>
      <c r="K1004" s="163"/>
      <c r="Q1004" s="163"/>
      <c r="R1004" s="163"/>
      <c r="S1004" s="163"/>
    </row>
    <row r="1005" spans="5:19">
      <c r="E1005" s="163"/>
      <c r="K1005" s="163"/>
      <c r="Q1005" s="163"/>
      <c r="R1005" s="163"/>
      <c r="S1005" s="163"/>
    </row>
    <row r="1006" spans="5:19">
      <c r="E1006" s="163"/>
      <c r="K1006" s="163"/>
      <c r="Q1006" s="163"/>
      <c r="R1006" s="163"/>
      <c r="S1006" s="163"/>
    </row>
    <row r="1007" spans="5:19">
      <c r="E1007" s="163"/>
      <c r="K1007" s="163"/>
      <c r="Q1007" s="163"/>
      <c r="R1007" s="163"/>
      <c r="S1007" s="163"/>
    </row>
    <row r="1008" spans="5:19">
      <c r="E1008" s="163"/>
      <c r="K1008" s="163"/>
      <c r="Q1008" s="163"/>
      <c r="R1008" s="163"/>
      <c r="S1008" s="163"/>
    </row>
    <row r="1009" spans="5:19">
      <c r="E1009" s="163"/>
      <c r="K1009" s="163"/>
      <c r="Q1009" s="163"/>
      <c r="R1009" s="163"/>
      <c r="S1009" s="163"/>
    </row>
    <row r="1010" spans="5:19">
      <c r="E1010" s="163"/>
      <c r="K1010" s="163"/>
      <c r="Q1010" s="163"/>
      <c r="R1010" s="163"/>
      <c r="S1010" s="163"/>
    </row>
    <row r="1011" spans="5:19">
      <c r="E1011" s="163"/>
      <c r="K1011" s="163"/>
      <c r="Q1011" s="163"/>
      <c r="R1011" s="163"/>
      <c r="S1011" s="163"/>
    </row>
    <row r="1012" spans="5:19">
      <c r="E1012" s="163"/>
      <c r="K1012" s="163"/>
      <c r="Q1012" s="163"/>
      <c r="R1012" s="163"/>
      <c r="S1012" s="163"/>
    </row>
    <row r="1013" spans="5:19">
      <c r="E1013" s="163"/>
      <c r="K1013" s="163"/>
      <c r="Q1013" s="163"/>
      <c r="R1013" s="163"/>
      <c r="S1013" s="163"/>
    </row>
    <row r="1014" spans="5:19">
      <c r="E1014" s="163"/>
      <c r="K1014" s="163"/>
      <c r="Q1014" s="163"/>
      <c r="R1014" s="163"/>
      <c r="S1014" s="163"/>
    </row>
    <row r="1015" spans="5:19">
      <c r="E1015" s="163"/>
      <c r="K1015" s="163"/>
      <c r="Q1015" s="163"/>
      <c r="R1015" s="163"/>
      <c r="S1015" s="163"/>
    </row>
    <row r="1016" spans="5:19">
      <c r="E1016" s="163"/>
      <c r="K1016" s="163"/>
      <c r="Q1016" s="163"/>
      <c r="R1016" s="163"/>
      <c r="S1016" s="163"/>
    </row>
    <row r="1017" spans="5:19">
      <c r="E1017" s="163"/>
      <c r="K1017" s="163"/>
      <c r="Q1017" s="163"/>
      <c r="R1017" s="163"/>
      <c r="S1017" s="163"/>
    </row>
    <row r="1018" spans="5:19">
      <c r="E1018" s="163"/>
      <c r="K1018" s="163"/>
      <c r="Q1018" s="163"/>
      <c r="R1018" s="163"/>
      <c r="S1018" s="163"/>
    </row>
    <row r="1019" spans="5:19">
      <c r="E1019" s="163"/>
      <c r="K1019" s="163"/>
      <c r="Q1019" s="163"/>
      <c r="R1019" s="163"/>
      <c r="S1019" s="163"/>
    </row>
    <row r="1020" spans="5:19">
      <c r="E1020" s="163"/>
      <c r="K1020" s="163"/>
      <c r="Q1020" s="163"/>
      <c r="R1020" s="163"/>
      <c r="S1020" s="163"/>
    </row>
    <row r="1021" spans="5:19">
      <c r="E1021" s="163"/>
      <c r="K1021" s="163"/>
      <c r="Q1021" s="163"/>
      <c r="R1021" s="163"/>
      <c r="S1021" s="163"/>
    </row>
    <row r="1022" spans="5:19">
      <c r="E1022" s="163"/>
      <c r="K1022" s="163"/>
      <c r="Q1022" s="163"/>
      <c r="R1022" s="163"/>
      <c r="S1022" s="163"/>
    </row>
    <row r="1023" spans="5:19">
      <c r="E1023" s="163"/>
      <c r="K1023" s="163"/>
      <c r="Q1023" s="163"/>
      <c r="R1023" s="163"/>
      <c r="S1023" s="163"/>
    </row>
    <row r="1024" spans="5:19">
      <c r="E1024" s="163"/>
      <c r="K1024" s="163"/>
      <c r="Q1024" s="163"/>
      <c r="R1024" s="163"/>
      <c r="S1024" s="163"/>
    </row>
    <row r="1025" spans="5:19">
      <c r="E1025" s="163"/>
      <c r="K1025" s="163"/>
      <c r="Q1025" s="163"/>
      <c r="R1025" s="163"/>
      <c r="S1025" s="163"/>
    </row>
    <row r="1026" spans="5:19">
      <c r="E1026" s="163"/>
      <c r="K1026" s="163"/>
      <c r="Q1026" s="163"/>
      <c r="R1026" s="163"/>
      <c r="S1026" s="163"/>
    </row>
    <row r="1027" spans="5:19">
      <c r="E1027" s="163"/>
      <c r="K1027" s="163"/>
      <c r="Q1027" s="163"/>
      <c r="R1027" s="163"/>
      <c r="S1027" s="163"/>
    </row>
    <row r="1028" spans="5:19">
      <c r="E1028" s="163"/>
      <c r="K1028" s="163"/>
      <c r="Q1028" s="163"/>
      <c r="R1028" s="163"/>
      <c r="S1028" s="163"/>
    </row>
    <row r="1029" spans="5:19">
      <c r="E1029" s="163"/>
      <c r="K1029" s="163"/>
      <c r="Q1029" s="163"/>
      <c r="R1029" s="163"/>
      <c r="S1029" s="163"/>
    </row>
    <row r="1030" spans="5:19">
      <c r="E1030" s="163"/>
      <c r="K1030" s="163"/>
      <c r="Q1030" s="163"/>
      <c r="R1030" s="163"/>
      <c r="S1030" s="163"/>
    </row>
    <row r="1031" spans="5:19">
      <c r="E1031" s="163"/>
      <c r="K1031" s="163"/>
      <c r="Q1031" s="163"/>
      <c r="R1031" s="163"/>
      <c r="S1031" s="163"/>
    </row>
    <row r="1032" spans="5:19">
      <c r="E1032" s="163"/>
      <c r="K1032" s="163"/>
      <c r="Q1032" s="163"/>
      <c r="R1032" s="163"/>
      <c r="S1032" s="163"/>
    </row>
    <row r="1033" spans="5:19">
      <c r="E1033" s="163"/>
      <c r="K1033" s="163"/>
      <c r="Q1033" s="163"/>
      <c r="R1033" s="163"/>
      <c r="S1033" s="163"/>
    </row>
    <row r="1034" spans="5:19">
      <c r="E1034" s="163"/>
      <c r="K1034" s="163"/>
      <c r="Q1034" s="163"/>
      <c r="R1034" s="163"/>
      <c r="S1034" s="163"/>
    </row>
    <row r="1035" spans="5:19">
      <c r="E1035" s="163"/>
      <c r="K1035" s="163"/>
      <c r="Q1035" s="163"/>
      <c r="R1035" s="163"/>
      <c r="S1035" s="163"/>
    </row>
    <row r="1036" spans="5:19">
      <c r="E1036" s="163"/>
      <c r="K1036" s="163"/>
      <c r="Q1036" s="163"/>
      <c r="R1036" s="163"/>
      <c r="S1036" s="163"/>
    </row>
    <row r="1037" spans="5:19">
      <c r="E1037" s="163"/>
      <c r="K1037" s="163"/>
      <c r="Q1037" s="163"/>
      <c r="R1037" s="163"/>
      <c r="S1037" s="163"/>
    </row>
    <row r="1038" spans="5:19">
      <c r="E1038" s="163"/>
      <c r="K1038" s="163"/>
      <c r="Q1038" s="163"/>
      <c r="R1038" s="163"/>
      <c r="S1038" s="163"/>
    </row>
    <row r="1039" spans="5:19">
      <c r="E1039" s="163"/>
      <c r="K1039" s="163"/>
      <c r="Q1039" s="163"/>
      <c r="R1039" s="163"/>
      <c r="S1039" s="163"/>
    </row>
    <row r="1040" spans="5:19">
      <c r="E1040" s="163"/>
      <c r="K1040" s="163"/>
      <c r="Q1040" s="163"/>
      <c r="R1040" s="163"/>
      <c r="S1040" s="163"/>
    </row>
    <row r="1041" spans="5:19">
      <c r="E1041" s="163"/>
      <c r="K1041" s="163"/>
      <c r="Q1041" s="163"/>
      <c r="R1041" s="163"/>
      <c r="S1041" s="163"/>
    </row>
    <row r="1042" spans="5:19">
      <c r="E1042" s="163"/>
      <c r="K1042" s="163"/>
      <c r="Q1042" s="163"/>
      <c r="R1042" s="163"/>
      <c r="S1042" s="163"/>
    </row>
    <row r="1043" spans="5:19">
      <c r="E1043" s="163"/>
      <c r="K1043" s="163"/>
      <c r="Q1043" s="163"/>
      <c r="R1043" s="163"/>
      <c r="S1043" s="163"/>
    </row>
    <row r="1044" spans="5:19">
      <c r="E1044" s="163"/>
      <c r="K1044" s="163"/>
      <c r="Q1044" s="163"/>
      <c r="R1044" s="163"/>
      <c r="S1044" s="163"/>
    </row>
    <row r="1045" spans="5:19">
      <c r="E1045" s="163"/>
      <c r="K1045" s="163"/>
      <c r="Q1045" s="163"/>
      <c r="R1045" s="163"/>
      <c r="S1045" s="163"/>
    </row>
    <row r="1046" spans="5:19">
      <c r="E1046" s="163"/>
      <c r="K1046" s="163"/>
      <c r="Q1046" s="163"/>
      <c r="R1046" s="163"/>
      <c r="S1046" s="163"/>
    </row>
    <row r="1047" spans="5:19">
      <c r="E1047" s="163"/>
      <c r="K1047" s="163"/>
      <c r="Q1047" s="163"/>
      <c r="R1047" s="163"/>
      <c r="S1047" s="163"/>
    </row>
    <row r="1048" spans="5:19">
      <c r="E1048" s="163"/>
      <c r="K1048" s="163"/>
      <c r="Q1048" s="163"/>
      <c r="R1048" s="163"/>
      <c r="S1048" s="163"/>
    </row>
    <row r="1049" spans="5:19">
      <c r="E1049" s="163"/>
      <c r="K1049" s="163"/>
      <c r="Q1049" s="163"/>
      <c r="R1049" s="163"/>
      <c r="S1049" s="163"/>
    </row>
    <row r="1050" spans="5:19">
      <c r="E1050" s="163"/>
      <c r="K1050" s="163"/>
      <c r="Q1050" s="163"/>
      <c r="R1050" s="163"/>
      <c r="S1050" s="163"/>
    </row>
    <row r="1051" spans="5:19">
      <c r="E1051" s="163"/>
      <c r="K1051" s="163"/>
      <c r="Q1051" s="163"/>
      <c r="R1051" s="163"/>
      <c r="S1051" s="163"/>
    </row>
    <row r="1052" spans="5:19">
      <c r="E1052" s="163"/>
      <c r="K1052" s="163"/>
      <c r="Q1052" s="163"/>
      <c r="R1052" s="163"/>
      <c r="S1052" s="163"/>
    </row>
    <row r="1053" spans="5:19">
      <c r="E1053" s="163"/>
      <c r="K1053" s="163"/>
      <c r="Q1053" s="163"/>
      <c r="R1053" s="163"/>
      <c r="S1053" s="163"/>
    </row>
    <row r="1054" spans="5:19">
      <c r="E1054" s="163"/>
      <c r="K1054" s="163"/>
      <c r="Q1054" s="163"/>
      <c r="R1054" s="163"/>
      <c r="S1054" s="163"/>
    </row>
    <row r="1055" spans="5:19">
      <c r="E1055" s="163"/>
      <c r="K1055" s="163"/>
      <c r="Q1055" s="163"/>
      <c r="R1055" s="163"/>
      <c r="S1055" s="163"/>
    </row>
    <row r="1056" spans="5:19">
      <c r="E1056" s="163"/>
      <c r="K1056" s="163"/>
      <c r="Q1056" s="163"/>
      <c r="R1056" s="163"/>
      <c r="S1056" s="163"/>
    </row>
    <row r="1057" spans="5:19">
      <c r="E1057" s="163"/>
      <c r="K1057" s="163"/>
      <c r="Q1057" s="163"/>
      <c r="R1057" s="163"/>
      <c r="S1057" s="163"/>
    </row>
    <row r="1058" spans="5:19">
      <c r="E1058" s="163"/>
      <c r="K1058" s="163"/>
      <c r="Q1058" s="163"/>
      <c r="R1058" s="163"/>
      <c r="S1058" s="163"/>
    </row>
    <row r="1059" spans="5:19">
      <c r="E1059" s="163"/>
      <c r="K1059" s="163"/>
      <c r="Q1059" s="163"/>
      <c r="R1059" s="163"/>
      <c r="S1059" s="163"/>
    </row>
    <row r="1060" spans="5:19">
      <c r="E1060" s="163"/>
      <c r="K1060" s="163"/>
      <c r="Q1060" s="163"/>
      <c r="R1060" s="163"/>
      <c r="S1060" s="163"/>
    </row>
    <row r="1061" spans="5:19">
      <c r="E1061" s="163"/>
      <c r="K1061" s="163"/>
      <c r="Q1061" s="163"/>
      <c r="R1061" s="163"/>
      <c r="S1061" s="163"/>
    </row>
    <row r="1062" spans="5:19">
      <c r="E1062" s="163"/>
      <c r="K1062" s="163"/>
      <c r="Q1062" s="163"/>
      <c r="R1062" s="163"/>
      <c r="S1062" s="163"/>
    </row>
    <row r="1063" spans="5:19">
      <c r="E1063" s="163"/>
      <c r="K1063" s="163"/>
      <c r="Q1063" s="163"/>
      <c r="R1063" s="163"/>
      <c r="S1063" s="163"/>
    </row>
    <row r="1064" spans="5:19">
      <c r="E1064" s="163"/>
      <c r="K1064" s="163"/>
      <c r="Q1064" s="163"/>
      <c r="R1064" s="163"/>
      <c r="S1064" s="163"/>
    </row>
    <row r="1065" spans="5:19">
      <c r="E1065" s="163"/>
      <c r="K1065" s="163"/>
      <c r="Q1065" s="163"/>
      <c r="R1065" s="163"/>
      <c r="S1065" s="163"/>
    </row>
    <row r="1066" spans="5:19">
      <c r="E1066" s="163"/>
      <c r="K1066" s="163"/>
      <c r="Q1066" s="163"/>
      <c r="R1066" s="163"/>
      <c r="S1066" s="163"/>
    </row>
    <row r="1067" spans="5:19">
      <c r="E1067" s="163"/>
      <c r="K1067" s="163"/>
      <c r="Q1067" s="163"/>
      <c r="R1067" s="163"/>
      <c r="S1067" s="163"/>
    </row>
    <row r="1068" spans="5:19">
      <c r="E1068" s="163"/>
      <c r="K1068" s="163"/>
      <c r="Q1068" s="163"/>
      <c r="R1068" s="163"/>
      <c r="S1068" s="163"/>
    </row>
    <row r="1069" spans="5:19">
      <c r="E1069" s="163"/>
      <c r="K1069" s="163"/>
      <c r="Q1069" s="163"/>
      <c r="R1069" s="163"/>
      <c r="S1069" s="163"/>
    </row>
    <row r="1070" spans="5:19">
      <c r="E1070" s="163"/>
      <c r="K1070" s="163"/>
      <c r="Q1070" s="163"/>
      <c r="R1070" s="163"/>
      <c r="S1070" s="163"/>
    </row>
    <row r="1071" spans="5:19">
      <c r="E1071" s="163"/>
      <c r="K1071" s="163"/>
      <c r="Q1071" s="163"/>
      <c r="R1071" s="163"/>
      <c r="S1071" s="163"/>
    </row>
    <row r="1072" spans="5:19">
      <c r="E1072" s="163"/>
      <c r="K1072" s="163"/>
      <c r="Q1072" s="163"/>
      <c r="R1072" s="163"/>
      <c r="S1072" s="163"/>
    </row>
    <row r="1073" spans="5:19">
      <c r="E1073" s="163"/>
      <c r="K1073" s="163"/>
      <c r="Q1073" s="163"/>
      <c r="R1073" s="163"/>
      <c r="S1073" s="163"/>
    </row>
    <row r="1074" spans="5:19">
      <c r="E1074" s="163"/>
      <c r="K1074" s="163"/>
      <c r="Q1074" s="163"/>
      <c r="R1074" s="163"/>
      <c r="S1074" s="163"/>
    </row>
    <row r="1075" spans="5:19">
      <c r="E1075" s="163"/>
      <c r="K1075" s="163"/>
      <c r="Q1075" s="163"/>
      <c r="R1075" s="163"/>
      <c r="S1075" s="163"/>
    </row>
    <row r="1076" spans="5:19">
      <c r="E1076" s="163"/>
      <c r="K1076" s="163"/>
      <c r="Q1076" s="163"/>
      <c r="R1076" s="163"/>
      <c r="S1076" s="163"/>
    </row>
    <row r="1077" spans="5:19">
      <c r="E1077" s="163"/>
      <c r="K1077" s="163"/>
      <c r="Q1077" s="163"/>
      <c r="R1077" s="163"/>
      <c r="S1077" s="163"/>
    </row>
    <row r="1078" spans="5:19">
      <c r="E1078" s="163"/>
      <c r="K1078" s="163"/>
      <c r="Q1078" s="163"/>
      <c r="R1078" s="163"/>
      <c r="S1078" s="163"/>
    </row>
    <row r="1079" spans="5:19">
      <c r="E1079" s="163"/>
      <c r="K1079" s="163"/>
      <c r="Q1079" s="163"/>
      <c r="R1079" s="163"/>
      <c r="S1079" s="163"/>
    </row>
    <row r="1080" spans="5:19">
      <c r="E1080" s="163"/>
      <c r="K1080" s="163"/>
      <c r="Q1080" s="163"/>
      <c r="R1080" s="163"/>
      <c r="S1080" s="163"/>
    </row>
    <row r="1081" spans="5:19">
      <c r="E1081" s="163"/>
      <c r="K1081" s="163"/>
      <c r="Q1081" s="163"/>
      <c r="R1081" s="163"/>
      <c r="S1081" s="163"/>
    </row>
    <row r="1082" spans="5:19">
      <c r="E1082" s="163"/>
      <c r="K1082" s="163"/>
      <c r="Q1082" s="163"/>
      <c r="R1082" s="163"/>
      <c r="S1082" s="163"/>
    </row>
    <row r="1083" spans="5:19">
      <c r="E1083" s="163"/>
      <c r="K1083" s="163"/>
      <c r="Q1083" s="163"/>
      <c r="R1083" s="163"/>
      <c r="S1083" s="163"/>
    </row>
    <row r="1084" spans="5:19">
      <c r="E1084" s="163"/>
      <c r="K1084" s="163"/>
      <c r="Q1084" s="163"/>
      <c r="R1084" s="163"/>
      <c r="S1084" s="163"/>
    </row>
    <row r="1085" spans="5:19">
      <c r="E1085" s="163"/>
      <c r="K1085" s="163"/>
      <c r="Q1085" s="163"/>
      <c r="R1085" s="163"/>
      <c r="S1085" s="163"/>
    </row>
    <row r="1086" spans="5:19">
      <c r="E1086" s="163"/>
      <c r="K1086" s="163"/>
      <c r="Q1086" s="163"/>
      <c r="R1086" s="163"/>
      <c r="S1086" s="163"/>
    </row>
    <row r="1087" spans="5:19">
      <c r="E1087" s="163"/>
      <c r="K1087" s="163"/>
      <c r="Q1087" s="163"/>
      <c r="R1087" s="163"/>
      <c r="S1087" s="163"/>
    </row>
    <row r="1088" spans="5:19">
      <c r="E1088" s="163"/>
      <c r="K1088" s="163"/>
      <c r="Q1088" s="163"/>
      <c r="R1088" s="163"/>
      <c r="S1088" s="163"/>
    </row>
    <row r="1089" spans="5:19">
      <c r="E1089" s="163"/>
      <c r="K1089" s="163"/>
      <c r="Q1089" s="163"/>
      <c r="R1089" s="163"/>
      <c r="S1089" s="163"/>
    </row>
    <row r="1090" spans="5:19">
      <c r="E1090" s="163"/>
      <c r="K1090" s="163"/>
      <c r="Q1090" s="163"/>
      <c r="R1090" s="163"/>
      <c r="S1090" s="163"/>
    </row>
    <row r="1091" spans="5:19">
      <c r="E1091" s="163"/>
      <c r="K1091" s="163"/>
      <c r="Q1091" s="163"/>
      <c r="R1091" s="163"/>
      <c r="S1091" s="163"/>
    </row>
    <row r="1092" spans="5:19">
      <c r="E1092" s="163"/>
      <c r="K1092" s="163"/>
      <c r="Q1092" s="163"/>
      <c r="R1092" s="163"/>
      <c r="S1092" s="163"/>
    </row>
    <row r="1093" spans="5:19">
      <c r="E1093" s="163"/>
      <c r="K1093" s="163"/>
      <c r="Q1093" s="163"/>
      <c r="R1093" s="163"/>
      <c r="S1093" s="163"/>
    </row>
    <row r="1094" spans="5:19">
      <c r="E1094" s="163"/>
      <c r="K1094" s="163"/>
      <c r="Q1094" s="163"/>
      <c r="R1094" s="163"/>
      <c r="S1094" s="163"/>
    </row>
    <row r="1095" spans="5:19">
      <c r="E1095" s="163"/>
      <c r="K1095" s="163"/>
      <c r="Q1095" s="163"/>
      <c r="R1095" s="163"/>
      <c r="S1095" s="163"/>
    </row>
    <row r="1096" spans="5:19">
      <c r="E1096" s="163"/>
      <c r="K1096" s="163"/>
      <c r="Q1096" s="163"/>
      <c r="R1096" s="163"/>
      <c r="S1096" s="163"/>
    </row>
    <row r="1097" spans="5:19">
      <c r="E1097" s="163"/>
      <c r="K1097" s="163"/>
      <c r="Q1097" s="163"/>
      <c r="R1097" s="163"/>
      <c r="S1097" s="163"/>
    </row>
    <row r="1098" spans="5:19">
      <c r="E1098" s="163"/>
      <c r="K1098" s="163"/>
      <c r="Q1098" s="163"/>
      <c r="R1098" s="163"/>
      <c r="S1098" s="163"/>
    </row>
    <row r="1099" spans="5:19">
      <c r="E1099" s="163"/>
      <c r="K1099" s="163"/>
      <c r="Q1099" s="163"/>
      <c r="R1099" s="163"/>
      <c r="S1099" s="163"/>
    </row>
    <row r="1100" spans="5:19">
      <c r="E1100" s="163"/>
      <c r="K1100" s="163"/>
      <c r="Q1100" s="163"/>
      <c r="R1100" s="163"/>
      <c r="S1100" s="163"/>
    </row>
    <row r="1101" spans="5:19">
      <c r="E1101" s="163"/>
      <c r="K1101" s="163"/>
      <c r="Q1101" s="163"/>
      <c r="R1101" s="163"/>
      <c r="S1101" s="163"/>
    </row>
    <row r="1102" spans="5:19">
      <c r="E1102" s="163"/>
      <c r="K1102" s="163"/>
      <c r="Q1102" s="163"/>
      <c r="R1102" s="163"/>
      <c r="S1102" s="163"/>
    </row>
    <row r="1103" spans="5:19">
      <c r="E1103" s="163"/>
      <c r="K1103" s="163"/>
      <c r="Q1103" s="163"/>
      <c r="R1103" s="163"/>
      <c r="S1103" s="163"/>
    </row>
    <row r="1104" spans="5:19">
      <c r="E1104" s="163"/>
      <c r="K1104" s="163"/>
      <c r="Q1104" s="163"/>
      <c r="R1104" s="163"/>
      <c r="S1104" s="163"/>
    </row>
    <row r="1105" spans="5:19">
      <c r="E1105" s="163"/>
      <c r="K1105" s="163"/>
      <c r="Q1105" s="163"/>
      <c r="R1105" s="163"/>
      <c r="S1105" s="163"/>
    </row>
    <row r="1106" spans="5:19">
      <c r="E1106" s="163"/>
      <c r="K1106" s="163"/>
      <c r="Q1106" s="163"/>
      <c r="R1106" s="163"/>
      <c r="S1106" s="163"/>
    </row>
    <row r="1107" spans="5:19">
      <c r="E1107" s="163"/>
      <c r="K1107" s="163"/>
      <c r="Q1107" s="163"/>
      <c r="R1107" s="163"/>
      <c r="S1107" s="163"/>
    </row>
    <row r="1108" spans="5:19">
      <c r="E1108" s="163"/>
      <c r="K1108" s="163"/>
      <c r="Q1108" s="163"/>
      <c r="R1108" s="163"/>
      <c r="S1108" s="163"/>
    </row>
    <row r="1109" spans="5:19">
      <c r="E1109" s="163"/>
      <c r="K1109" s="163"/>
      <c r="Q1109" s="163"/>
      <c r="R1109" s="163"/>
      <c r="S1109" s="163"/>
    </row>
    <row r="1110" spans="5:19">
      <c r="E1110" s="163"/>
      <c r="K1110" s="163"/>
      <c r="Q1110" s="163"/>
      <c r="R1110" s="163"/>
      <c r="S1110" s="163"/>
    </row>
    <row r="1111" spans="5:19">
      <c r="E1111" s="163"/>
      <c r="K1111" s="163"/>
      <c r="Q1111" s="163"/>
      <c r="R1111" s="163"/>
      <c r="S1111" s="163"/>
    </row>
    <row r="1112" spans="5:19">
      <c r="E1112" s="163"/>
      <c r="K1112" s="163"/>
      <c r="Q1112" s="163"/>
      <c r="R1112" s="163"/>
      <c r="S1112" s="163"/>
    </row>
    <row r="1113" spans="5:19">
      <c r="E1113" s="163"/>
      <c r="K1113" s="163"/>
      <c r="Q1113" s="163"/>
      <c r="R1113" s="163"/>
      <c r="S1113" s="163"/>
    </row>
    <row r="1114" spans="5:19">
      <c r="E1114" s="163"/>
      <c r="K1114" s="163"/>
      <c r="Q1114" s="163"/>
      <c r="R1114" s="163"/>
      <c r="S1114" s="163"/>
    </row>
    <row r="1115" spans="5:19">
      <c r="E1115" s="163"/>
      <c r="K1115" s="163"/>
      <c r="Q1115" s="163"/>
      <c r="R1115" s="163"/>
      <c r="S1115" s="163"/>
    </row>
    <row r="1116" spans="5:19">
      <c r="E1116" s="163"/>
      <c r="K1116" s="163"/>
      <c r="Q1116" s="163"/>
      <c r="R1116" s="163"/>
      <c r="S1116" s="163"/>
    </row>
    <row r="1117" spans="5:19">
      <c r="E1117" s="163"/>
      <c r="K1117" s="163"/>
      <c r="Q1117" s="163"/>
      <c r="R1117" s="163"/>
      <c r="S1117" s="163"/>
    </row>
    <row r="1118" spans="5:19">
      <c r="E1118" s="163"/>
      <c r="K1118" s="163"/>
      <c r="Q1118" s="163"/>
      <c r="R1118" s="163"/>
      <c r="S1118" s="163"/>
    </row>
    <row r="1119" spans="5:19">
      <c r="E1119" s="163"/>
      <c r="K1119" s="163"/>
      <c r="Q1119" s="163"/>
      <c r="R1119" s="163"/>
      <c r="S1119" s="163"/>
    </row>
    <row r="1120" spans="5:19">
      <c r="E1120" s="163"/>
      <c r="K1120" s="163"/>
      <c r="Q1120" s="163"/>
      <c r="R1120" s="163"/>
      <c r="S1120" s="163"/>
    </row>
    <row r="1121" spans="5:19">
      <c r="E1121" s="163"/>
      <c r="K1121" s="163"/>
      <c r="Q1121" s="163"/>
      <c r="R1121" s="163"/>
      <c r="S1121" s="163"/>
    </row>
    <row r="1122" spans="5:19">
      <c r="E1122" s="163"/>
      <c r="K1122" s="163"/>
      <c r="Q1122" s="163"/>
      <c r="R1122" s="163"/>
      <c r="S1122" s="163"/>
    </row>
    <row r="1123" spans="5:19">
      <c r="E1123" s="163"/>
      <c r="K1123" s="163"/>
      <c r="Q1123" s="163"/>
      <c r="R1123" s="163"/>
      <c r="S1123" s="163"/>
    </row>
    <row r="1124" spans="5:19">
      <c r="E1124" s="163"/>
      <c r="K1124" s="163"/>
      <c r="Q1124" s="163"/>
      <c r="R1124" s="163"/>
      <c r="S1124" s="163"/>
    </row>
    <row r="1125" spans="5:19">
      <c r="E1125" s="163"/>
      <c r="K1125" s="163"/>
      <c r="Q1125" s="163"/>
      <c r="R1125" s="163"/>
      <c r="S1125" s="163"/>
    </row>
    <row r="1126" spans="5:19">
      <c r="E1126" s="163"/>
      <c r="K1126" s="163"/>
      <c r="Q1126" s="163"/>
      <c r="R1126" s="163"/>
      <c r="S1126" s="163"/>
    </row>
    <row r="1127" spans="5:19">
      <c r="E1127" s="163"/>
      <c r="K1127" s="163"/>
      <c r="Q1127" s="163"/>
      <c r="R1127" s="163"/>
      <c r="S1127" s="163"/>
    </row>
    <row r="1128" spans="5:19">
      <c r="E1128" s="163"/>
      <c r="K1128" s="163"/>
      <c r="Q1128" s="163"/>
      <c r="R1128" s="163"/>
      <c r="S1128" s="163"/>
    </row>
    <row r="1129" spans="5:19">
      <c r="E1129" s="163"/>
      <c r="K1129" s="163"/>
      <c r="Q1129" s="163"/>
      <c r="R1129" s="163"/>
      <c r="S1129" s="163"/>
    </row>
    <row r="1130" spans="5:19">
      <c r="E1130" s="163"/>
      <c r="K1130" s="163"/>
      <c r="Q1130" s="163"/>
      <c r="R1130" s="163"/>
      <c r="S1130" s="163"/>
    </row>
    <row r="1131" spans="5:19">
      <c r="E1131" s="163"/>
      <c r="K1131" s="163"/>
      <c r="Q1131" s="163"/>
      <c r="R1131" s="163"/>
      <c r="S1131" s="163"/>
    </row>
    <row r="1132" spans="5:19">
      <c r="E1132" s="163"/>
      <c r="K1132" s="163"/>
      <c r="Q1132" s="163"/>
      <c r="R1132" s="163"/>
      <c r="S1132" s="163"/>
    </row>
    <row r="1133" spans="5:19">
      <c r="E1133" s="163"/>
      <c r="K1133" s="163"/>
      <c r="Q1133" s="163"/>
      <c r="R1133" s="163"/>
      <c r="S1133" s="163"/>
    </row>
    <row r="1134" spans="5:19">
      <c r="E1134" s="163"/>
      <c r="K1134" s="163"/>
      <c r="Q1134" s="163"/>
      <c r="R1134" s="163"/>
      <c r="S1134" s="163"/>
    </row>
    <row r="1135" spans="5:19">
      <c r="E1135" s="163"/>
      <c r="K1135" s="163"/>
      <c r="Q1135" s="163"/>
      <c r="R1135" s="163"/>
      <c r="S1135" s="163"/>
    </row>
    <row r="1136" spans="5:19">
      <c r="E1136" s="163"/>
      <c r="K1136" s="163"/>
      <c r="Q1136" s="163"/>
      <c r="R1136" s="163"/>
      <c r="S1136" s="163"/>
    </row>
    <row r="1137" spans="5:19">
      <c r="E1137" s="163"/>
      <c r="K1137" s="163"/>
      <c r="Q1137" s="163"/>
      <c r="R1137" s="163"/>
      <c r="S1137" s="163"/>
    </row>
    <row r="1138" spans="5:19">
      <c r="E1138" s="163"/>
      <c r="K1138" s="163"/>
      <c r="Q1138" s="163"/>
      <c r="R1138" s="163"/>
      <c r="S1138" s="163"/>
    </row>
    <row r="1139" spans="5:19">
      <c r="E1139" s="163"/>
      <c r="K1139" s="163"/>
      <c r="Q1139" s="163"/>
      <c r="R1139" s="163"/>
      <c r="S1139" s="163"/>
    </row>
    <row r="1140" spans="5:19">
      <c r="E1140" s="163"/>
      <c r="K1140" s="163"/>
      <c r="Q1140" s="163"/>
      <c r="R1140" s="163"/>
      <c r="S1140" s="163"/>
    </row>
    <row r="1141" spans="5:19">
      <c r="E1141" s="163"/>
      <c r="K1141" s="163"/>
      <c r="Q1141" s="163"/>
      <c r="R1141" s="163"/>
      <c r="S1141" s="163"/>
    </row>
    <row r="1142" spans="5:19">
      <c r="E1142" s="163"/>
      <c r="K1142" s="163"/>
      <c r="Q1142" s="163"/>
      <c r="R1142" s="163"/>
      <c r="S1142" s="163"/>
    </row>
    <row r="1143" spans="5:19">
      <c r="E1143" s="163"/>
      <c r="K1143" s="163"/>
      <c r="Q1143" s="163"/>
      <c r="R1143" s="163"/>
      <c r="S1143" s="163"/>
    </row>
    <row r="1144" spans="5:19">
      <c r="E1144" s="163"/>
      <c r="K1144" s="163"/>
      <c r="Q1144" s="163"/>
      <c r="R1144" s="163"/>
      <c r="S1144" s="163"/>
    </row>
    <row r="1145" spans="5:19">
      <c r="E1145" s="163"/>
      <c r="K1145" s="163"/>
      <c r="Q1145" s="163"/>
      <c r="R1145" s="163"/>
      <c r="S1145" s="163"/>
    </row>
    <row r="1146" spans="5:19">
      <c r="E1146" s="163"/>
      <c r="K1146" s="163"/>
      <c r="Q1146" s="163"/>
      <c r="R1146" s="163"/>
      <c r="S1146" s="163"/>
    </row>
    <row r="1147" spans="5:19">
      <c r="E1147" s="163"/>
      <c r="K1147" s="163"/>
      <c r="Q1147" s="163"/>
      <c r="R1147" s="163"/>
      <c r="S1147" s="163"/>
    </row>
    <row r="1148" spans="5:19">
      <c r="E1148" s="163"/>
      <c r="K1148" s="163"/>
      <c r="Q1148" s="163"/>
      <c r="R1148" s="163"/>
      <c r="S1148" s="163"/>
    </row>
    <row r="1149" spans="5:19">
      <c r="E1149" s="163"/>
      <c r="K1149" s="163"/>
      <c r="Q1149" s="163"/>
      <c r="R1149" s="163"/>
      <c r="S1149" s="163"/>
    </row>
    <row r="1150" spans="5:19">
      <c r="E1150" s="163"/>
      <c r="K1150" s="163"/>
      <c r="Q1150" s="163"/>
      <c r="R1150" s="163"/>
      <c r="S1150" s="163"/>
    </row>
    <row r="1151" spans="5:19">
      <c r="E1151" s="163"/>
      <c r="K1151" s="163"/>
      <c r="Q1151" s="163"/>
      <c r="R1151" s="163"/>
      <c r="S1151" s="163"/>
    </row>
    <row r="1152" spans="5:19">
      <c r="E1152" s="163"/>
      <c r="K1152" s="163"/>
      <c r="Q1152" s="163"/>
      <c r="R1152" s="163"/>
      <c r="S1152" s="163"/>
    </row>
    <row r="1153" spans="5:19">
      <c r="E1153" s="163"/>
      <c r="K1153" s="163"/>
      <c r="Q1153" s="163"/>
      <c r="R1153" s="163"/>
      <c r="S1153" s="163"/>
    </row>
    <row r="1154" spans="5:19">
      <c r="E1154" s="163"/>
      <c r="K1154" s="163"/>
      <c r="Q1154" s="163"/>
      <c r="R1154" s="163"/>
      <c r="S1154" s="163"/>
    </row>
    <row r="1155" spans="5:19">
      <c r="E1155" s="163"/>
      <c r="K1155" s="163"/>
      <c r="Q1155" s="163"/>
      <c r="R1155" s="163"/>
      <c r="S1155" s="163"/>
    </row>
    <row r="1156" spans="5:19">
      <c r="E1156" s="163"/>
      <c r="K1156" s="163"/>
      <c r="Q1156" s="163"/>
      <c r="R1156" s="163"/>
      <c r="S1156" s="163"/>
    </row>
    <row r="1157" spans="5:19">
      <c r="E1157" s="163"/>
      <c r="K1157" s="163"/>
      <c r="Q1157" s="163"/>
      <c r="R1157" s="163"/>
      <c r="S1157" s="163"/>
    </row>
    <row r="1158" spans="5:19">
      <c r="E1158" s="163"/>
      <c r="K1158" s="163"/>
      <c r="Q1158" s="163"/>
      <c r="R1158" s="163"/>
      <c r="S1158" s="163"/>
    </row>
    <row r="1159" spans="5:19">
      <c r="E1159" s="163"/>
      <c r="K1159" s="163"/>
      <c r="Q1159" s="163"/>
      <c r="R1159" s="163"/>
      <c r="S1159" s="163"/>
    </row>
    <row r="1160" spans="5:19">
      <c r="E1160" s="163"/>
      <c r="K1160" s="163"/>
      <c r="Q1160" s="163"/>
      <c r="R1160" s="163"/>
      <c r="S1160" s="163"/>
    </row>
    <row r="1161" spans="5:19">
      <c r="E1161" s="163"/>
      <c r="K1161" s="163"/>
      <c r="Q1161" s="163"/>
      <c r="R1161" s="163"/>
      <c r="S1161" s="163"/>
    </row>
    <row r="1162" spans="5:19">
      <c r="E1162" s="163"/>
      <c r="K1162" s="163"/>
      <c r="Q1162" s="163"/>
      <c r="R1162" s="163"/>
      <c r="S1162" s="163"/>
    </row>
    <row r="1163" spans="5:19">
      <c r="E1163" s="163"/>
      <c r="K1163" s="163"/>
      <c r="Q1163" s="163"/>
      <c r="R1163" s="163"/>
      <c r="S1163" s="163"/>
    </row>
    <row r="1164" spans="5:19">
      <c r="E1164" s="163"/>
      <c r="K1164" s="163"/>
      <c r="Q1164" s="163"/>
      <c r="R1164" s="163"/>
      <c r="S1164" s="163"/>
    </row>
    <row r="1165" spans="5:19">
      <c r="E1165" s="163"/>
      <c r="K1165" s="163"/>
      <c r="Q1165" s="163"/>
      <c r="R1165" s="163"/>
      <c r="S1165" s="163"/>
    </row>
    <row r="1166" spans="5:19">
      <c r="E1166" s="163"/>
      <c r="K1166" s="163"/>
      <c r="Q1166" s="163"/>
      <c r="R1166" s="163"/>
      <c r="S1166" s="163"/>
    </row>
    <row r="1167" spans="5:19">
      <c r="E1167" s="163"/>
      <c r="K1167" s="163"/>
      <c r="Q1167" s="163"/>
      <c r="R1167" s="163"/>
      <c r="S1167" s="163"/>
    </row>
    <row r="1168" spans="5:19">
      <c r="E1168" s="163"/>
      <c r="K1168" s="163"/>
      <c r="Q1168" s="163"/>
      <c r="R1168" s="163"/>
      <c r="S1168" s="163"/>
    </row>
    <row r="1169" spans="5:19">
      <c r="E1169" s="163"/>
      <c r="K1169" s="163"/>
      <c r="Q1169" s="163"/>
      <c r="R1169" s="163"/>
      <c r="S1169" s="163"/>
    </row>
    <row r="1170" spans="5:19">
      <c r="E1170" s="163"/>
      <c r="K1170" s="163"/>
      <c r="Q1170" s="163"/>
      <c r="R1170" s="163"/>
      <c r="S1170" s="163"/>
    </row>
    <row r="1171" spans="5:19">
      <c r="E1171" s="163"/>
      <c r="K1171" s="163"/>
      <c r="Q1171" s="163"/>
      <c r="R1171" s="163"/>
      <c r="S1171" s="163"/>
    </row>
    <row r="1172" spans="5:19">
      <c r="E1172" s="163"/>
      <c r="K1172" s="163"/>
      <c r="Q1172" s="163"/>
      <c r="R1172" s="163"/>
      <c r="S1172" s="163"/>
    </row>
    <row r="1173" spans="5:19">
      <c r="E1173" s="163"/>
      <c r="K1173" s="163"/>
      <c r="Q1173" s="163"/>
      <c r="R1173" s="163"/>
      <c r="S1173" s="163"/>
    </row>
    <row r="1174" spans="5:19">
      <c r="E1174" s="163"/>
      <c r="K1174" s="163"/>
      <c r="Q1174" s="163"/>
      <c r="R1174" s="163"/>
      <c r="S1174" s="163"/>
    </row>
    <row r="1175" spans="5:19">
      <c r="E1175" s="163"/>
      <c r="K1175" s="163"/>
      <c r="Q1175" s="163"/>
      <c r="R1175" s="163"/>
      <c r="S1175" s="163"/>
    </row>
    <row r="1176" spans="5:19">
      <c r="E1176" s="163"/>
      <c r="K1176" s="163"/>
      <c r="Q1176" s="163"/>
      <c r="R1176" s="163"/>
      <c r="S1176" s="163"/>
    </row>
    <row r="1177" spans="5:19">
      <c r="E1177" s="163"/>
      <c r="K1177" s="163"/>
      <c r="Q1177" s="163"/>
      <c r="R1177" s="163"/>
      <c r="S1177" s="163"/>
    </row>
    <row r="1178" spans="5:19">
      <c r="E1178" s="163"/>
      <c r="K1178" s="163"/>
      <c r="Q1178" s="163"/>
      <c r="R1178" s="163"/>
      <c r="S1178" s="163"/>
    </row>
    <row r="1179" spans="5:19">
      <c r="E1179" s="163"/>
      <c r="K1179" s="163"/>
      <c r="Q1179" s="163"/>
      <c r="R1179" s="163"/>
      <c r="S1179" s="163"/>
    </row>
    <row r="1180" spans="5:19">
      <c r="E1180" s="163"/>
      <c r="K1180" s="163"/>
      <c r="Q1180" s="163"/>
      <c r="R1180" s="163"/>
      <c r="S1180" s="163"/>
    </row>
    <row r="1181" spans="5:19">
      <c r="E1181" s="163"/>
      <c r="K1181" s="163"/>
      <c r="Q1181" s="163"/>
      <c r="R1181" s="163"/>
      <c r="S1181" s="163"/>
    </row>
    <row r="1182" spans="5:19">
      <c r="E1182" s="163"/>
      <c r="K1182" s="163"/>
      <c r="Q1182" s="163"/>
      <c r="R1182" s="163"/>
      <c r="S1182" s="163"/>
    </row>
    <row r="1183" spans="5:19">
      <c r="E1183" s="163"/>
      <c r="K1183" s="163"/>
      <c r="Q1183" s="163"/>
      <c r="R1183" s="163"/>
      <c r="S1183" s="163"/>
    </row>
    <row r="1184" spans="5:19">
      <c r="E1184" s="163"/>
      <c r="K1184" s="163"/>
      <c r="Q1184" s="163"/>
      <c r="R1184" s="163"/>
      <c r="S1184" s="163"/>
    </row>
    <row r="1185" spans="5:19">
      <c r="E1185" s="163"/>
      <c r="K1185" s="163"/>
      <c r="Q1185" s="163"/>
      <c r="R1185" s="163"/>
      <c r="S1185" s="163"/>
    </row>
    <row r="1186" spans="5:19">
      <c r="E1186" s="163"/>
      <c r="K1186" s="163"/>
      <c r="Q1186" s="163"/>
      <c r="R1186" s="163"/>
      <c r="S1186" s="163"/>
    </row>
    <row r="1187" spans="5:19">
      <c r="E1187" s="163"/>
      <c r="K1187" s="163"/>
      <c r="Q1187" s="163"/>
      <c r="R1187" s="163"/>
      <c r="S1187" s="163"/>
    </row>
    <row r="1188" spans="5:19">
      <c r="E1188" s="163"/>
      <c r="K1188" s="163"/>
      <c r="Q1188" s="163"/>
      <c r="R1188" s="163"/>
      <c r="S1188" s="163"/>
    </row>
    <row r="1189" spans="5:19">
      <c r="E1189" s="163"/>
      <c r="K1189" s="163"/>
      <c r="Q1189" s="163"/>
      <c r="R1189" s="163"/>
      <c r="S1189" s="163"/>
    </row>
    <row r="1190" spans="5:19">
      <c r="E1190" s="163"/>
      <c r="K1190" s="163"/>
      <c r="Q1190" s="163"/>
      <c r="R1190" s="163"/>
      <c r="S1190" s="163"/>
    </row>
    <row r="1191" spans="5:19">
      <c r="E1191" s="163"/>
      <c r="K1191" s="163"/>
      <c r="Q1191" s="163"/>
      <c r="R1191" s="163"/>
      <c r="S1191" s="163"/>
    </row>
    <row r="1192" spans="5:19">
      <c r="E1192" s="163"/>
      <c r="K1192" s="163"/>
      <c r="Q1192" s="163"/>
      <c r="R1192" s="163"/>
      <c r="S1192" s="163"/>
    </row>
    <row r="1193" spans="5:19">
      <c r="E1193" s="163"/>
      <c r="K1193" s="163"/>
      <c r="Q1193" s="163"/>
      <c r="R1193" s="163"/>
      <c r="S1193" s="163"/>
    </row>
    <row r="1194" spans="5:19">
      <c r="E1194" s="163"/>
      <c r="K1194" s="163"/>
      <c r="Q1194" s="163"/>
      <c r="R1194" s="163"/>
      <c r="S1194" s="163"/>
    </row>
    <row r="1195" spans="5:19">
      <c r="E1195" s="163"/>
      <c r="K1195" s="163"/>
      <c r="Q1195" s="163"/>
      <c r="R1195" s="163"/>
      <c r="S1195" s="163"/>
    </row>
    <row r="1196" spans="5:19">
      <c r="E1196" s="163"/>
      <c r="K1196" s="163"/>
      <c r="Q1196" s="163"/>
      <c r="R1196" s="163"/>
      <c r="S1196" s="163"/>
    </row>
    <row r="1197" spans="5:19">
      <c r="E1197" s="163"/>
      <c r="K1197" s="163"/>
      <c r="Q1197" s="163"/>
      <c r="R1197" s="163"/>
      <c r="S1197" s="163"/>
    </row>
    <row r="1198" spans="5:19">
      <c r="E1198" s="163"/>
      <c r="K1198" s="163"/>
      <c r="Q1198" s="163"/>
      <c r="R1198" s="163"/>
      <c r="S1198" s="163"/>
    </row>
    <row r="1199" spans="5:19">
      <c r="E1199" s="163"/>
      <c r="K1199" s="163"/>
      <c r="Q1199" s="163"/>
      <c r="R1199" s="163"/>
      <c r="S1199" s="163"/>
    </row>
    <row r="1200" spans="5:19">
      <c r="E1200" s="163"/>
      <c r="K1200" s="163"/>
      <c r="Q1200" s="163"/>
      <c r="R1200" s="163"/>
      <c r="S1200" s="163"/>
    </row>
    <row r="1201" spans="5:19">
      <c r="E1201" s="163"/>
      <c r="K1201" s="163"/>
      <c r="Q1201" s="163"/>
      <c r="R1201" s="163"/>
      <c r="S1201" s="163"/>
    </row>
    <row r="1202" spans="5:19">
      <c r="E1202" s="163"/>
      <c r="K1202" s="163"/>
      <c r="Q1202" s="163"/>
      <c r="R1202" s="163"/>
      <c r="S1202" s="163"/>
    </row>
    <row r="1203" spans="5:19">
      <c r="E1203" s="163"/>
      <c r="K1203" s="163"/>
      <c r="Q1203" s="163"/>
      <c r="R1203" s="163"/>
      <c r="S1203" s="163"/>
    </row>
    <row r="1204" spans="5:19">
      <c r="E1204" s="163"/>
      <c r="K1204" s="163"/>
      <c r="Q1204" s="163"/>
      <c r="R1204" s="163"/>
      <c r="S1204" s="163"/>
    </row>
    <row r="1205" spans="5:19">
      <c r="E1205" s="163"/>
      <c r="K1205" s="163"/>
      <c r="Q1205" s="163"/>
      <c r="R1205" s="163"/>
      <c r="S1205" s="163"/>
    </row>
    <row r="1206" spans="5:19">
      <c r="E1206" s="163"/>
      <c r="K1206" s="163"/>
      <c r="Q1206" s="163"/>
      <c r="R1206" s="163"/>
      <c r="S1206" s="163"/>
    </row>
    <row r="1207" spans="5:19">
      <c r="E1207" s="163"/>
      <c r="K1207" s="163"/>
      <c r="Q1207" s="163"/>
      <c r="R1207" s="163"/>
      <c r="S1207" s="163"/>
    </row>
    <row r="1208" spans="5:19">
      <c r="E1208" s="163"/>
      <c r="K1208" s="163"/>
      <c r="Q1208" s="163"/>
      <c r="R1208" s="163"/>
      <c r="S1208" s="163"/>
    </row>
    <row r="1209" spans="5:19">
      <c r="E1209" s="163"/>
      <c r="K1209" s="163"/>
      <c r="Q1209" s="163"/>
      <c r="R1209" s="163"/>
      <c r="S1209" s="163"/>
    </row>
    <row r="1210" spans="5:19">
      <c r="E1210" s="163"/>
      <c r="K1210" s="163"/>
      <c r="Q1210" s="163"/>
      <c r="R1210" s="163"/>
      <c r="S1210" s="163"/>
    </row>
    <row r="1211" spans="5:19">
      <c r="E1211" s="163"/>
      <c r="K1211" s="163"/>
      <c r="Q1211" s="163"/>
      <c r="R1211" s="163"/>
      <c r="S1211" s="163"/>
    </row>
    <row r="1212" spans="5:19">
      <c r="E1212" s="163"/>
      <c r="K1212" s="163"/>
      <c r="Q1212" s="163"/>
      <c r="R1212" s="163"/>
      <c r="S1212" s="163"/>
    </row>
    <row r="1213" spans="5:19">
      <c r="E1213" s="163"/>
      <c r="K1213" s="163"/>
      <c r="Q1213" s="163"/>
      <c r="R1213" s="163"/>
      <c r="S1213" s="163"/>
    </row>
    <row r="1214" spans="5:19">
      <c r="E1214" s="163"/>
      <c r="K1214" s="163"/>
      <c r="Q1214" s="163"/>
      <c r="R1214" s="163"/>
      <c r="S1214" s="163"/>
    </row>
    <row r="1215" spans="5:19">
      <c r="E1215" s="163"/>
      <c r="K1215" s="163"/>
      <c r="Q1215" s="163"/>
      <c r="R1215" s="163"/>
      <c r="S1215" s="163"/>
    </row>
    <row r="1216" spans="5:19">
      <c r="E1216" s="163"/>
      <c r="K1216" s="163"/>
      <c r="Q1216" s="163"/>
      <c r="R1216" s="163"/>
      <c r="S1216" s="163"/>
    </row>
    <row r="1217" spans="5:19">
      <c r="E1217" s="163"/>
      <c r="K1217" s="163"/>
      <c r="Q1217" s="163"/>
      <c r="R1217" s="163"/>
      <c r="S1217" s="163"/>
    </row>
    <row r="1218" spans="5:19">
      <c r="E1218" s="163"/>
      <c r="K1218" s="163"/>
      <c r="Q1218" s="163"/>
      <c r="R1218" s="163"/>
      <c r="S1218" s="163"/>
    </row>
    <row r="1219" spans="5:19">
      <c r="E1219" s="163"/>
      <c r="K1219" s="163"/>
      <c r="Q1219" s="163"/>
      <c r="R1219" s="163"/>
      <c r="S1219" s="163"/>
    </row>
    <row r="1220" spans="5:19">
      <c r="E1220" s="163"/>
      <c r="K1220" s="163"/>
      <c r="Q1220" s="163"/>
      <c r="R1220" s="163"/>
      <c r="S1220" s="163"/>
    </row>
    <row r="1221" spans="5:19">
      <c r="E1221" s="163"/>
      <c r="K1221" s="163"/>
      <c r="Q1221" s="163"/>
      <c r="R1221" s="163"/>
      <c r="S1221" s="163"/>
    </row>
    <row r="1222" spans="5:19">
      <c r="E1222" s="163"/>
      <c r="K1222" s="163"/>
      <c r="Q1222" s="163"/>
      <c r="R1222" s="163"/>
      <c r="S1222" s="163"/>
    </row>
    <row r="1223" spans="5:19">
      <c r="E1223" s="163"/>
      <c r="K1223" s="163"/>
      <c r="Q1223" s="163"/>
      <c r="R1223" s="163"/>
      <c r="S1223" s="163"/>
    </row>
    <row r="1224" spans="5:19">
      <c r="E1224" s="163"/>
      <c r="K1224" s="163"/>
      <c r="Q1224" s="163"/>
      <c r="R1224" s="163"/>
      <c r="S1224" s="163"/>
    </row>
    <row r="1225" spans="5:19">
      <c r="E1225" s="163"/>
      <c r="K1225" s="163"/>
      <c r="Q1225" s="163"/>
      <c r="R1225" s="163"/>
      <c r="S1225" s="163"/>
    </row>
    <row r="1226" spans="5:19">
      <c r="E1226" s="163"/>
      <c r="K1226" s="163"/>
      <c r="Q1226" s="163"/>
      <c r="R1226" s="163"/>
      <c r="S1226" s="163"/>
    </row>
    <row r="1227" spans="5:19">
      <c r="E1227" s="163"/>
      <c r="K1227" s="163"/>
      <c r="Q1227" s="163"/>
      <c r="R1227" s="163"/>
      <c r="S1227" s="163"/>
    </row>
    <row r="1228" spans="5:19">
      <c r="E1228" s="163"/>
      <c r="K1228" s="163"/>
      <c r="Q1228" s="163"/>
      <c r="R1228" s="163"/>
      <c r="S1228" s="163"/>
    </row>
    <row r="1229" spans="5:19">
      <c r="E1229" s="163"/>
      <c r="K1229" s="163"/>
      <c r="Q1229" s="163"/>
      <c r="R1229" s="163"/>
      <c r="S1229" s="163"/>
    </row>
    <row r="1230" spans="5:19">
      <c r="E1230" s="163"/>
      <c r="K1230" s="163"/>
      <c r="Q1230" s="163"/>
      <c r="R1230" s="163"/>
      <c r="S1230" s="163"/>
    </row>
    <row r="1231" spans="5:19">
      <c r="E1231" s="163"/>
      <c r="K1231" s="163"/>
      <c r="Q1231" s="163"/>
      <c r="R1231" s="163"/>
      <c r="S1231" s="163"/>
    </row>
    <row r="1232" spans="5:19">
      <c r="E1232" s="163"/>
      <c r="K1232" s="163"/>
      <c r="Q1232" s="163"/>
      <c r="R1232" s="163"/>
      <c r="S1232" s="163"/>
    </row>
    <row r="1233" spans="5:19">
      <c r="E1233" s="163"/>
      <c r="K1233" s="163"/>
      <c r="Q1233" s="163"/>
      <c r="R1233" s="163"/>
      <c r="S1233" s="163"/>
    </row>
    <row r="1234" spans="5:19">
      <c r="E1234" s="163"/>
      <c r="K1234" s="163"/>
      <c r="Q1234" s="163"/>
      <c r="R1234" s="163"/>
      <c r="S1234" s="163"/>
    </row>
    <row r="1235" spans="5:19">
      <c r="E1235" s="163"/>
      <c r="K1235" s="163"/>
      <c r="Q1235" s="163"/>
      <c r="R1235" s="163"/>
      <c r="S1235" s="163"/>
    </row>
    <row r="1236" spans="5:19">
      <c r="E1236" s="163"/>
      <c r="K1236" s="163"/>
      <c r="Q1236" s="163"/>
      <c r="R1236" s="163"/>
      <c r="S1236" s="163"/>
    </row>
    <row r="1237" spans="5:19">
      <c r="E1237" s="163"/>
      <c r="K1237" s="163"/>
      <c r="Q1237" s="163"/>
      <c r="R1237" s="163"/>
      <c r="S1237" s="163"/>
    </row>
    <row r="1238" spans="5:19">
      <c r="E1238" s="163"/>
      <c r="K1238" s="163"/>
      <c r="Q1238" s="163"/>
      <c r="R1238" s="163"/>
      <c r="S1238" s="163"/>
    </row>
    <row r="1239" spans="5:19">
      <c r="E1239" s="163"/>
      <c r="K1239" s="163"/>
      <c r="Q1239" s="163"/>
      <c r="R1239" s="163"/>
      <c r="S1239" s="163"/>
    </row>
    <row r="1240" spans="5:19">
      <c r="E1240" s="163"/>
      <c r="K1240" s="163"/>
      <c r="Q1240" s="163"/>
      <c r="R1240" s="163"/>
      <c r="S1240" s="163"/>
    </row>
    <row r="1241" spans="5:19">
      <c r="E1241" s="163"/>
      <c r="K1241" s="163"/>
      <c r="Q1241" s="163"/>
      <c r="R1241" s="163"/>
      <c r="S1241" s="163"/>
    </row>
    <row r="1242" spans="5:19">
      <c r="E1242" s="163"/>
      <c r="K1242" s="163"/>
      <c r="Q1242" s="163"/>
      <c r="R1242" s="163"/>
      <c r="S1242" s="163"/>
    </row>
    <row r="1243" spans="5:19">
      <c r="E1243" s="163"/>
      <c r="K1243" s="163"/>
      <c r="Q1243" s="163"/>
      <c r="R1243" s="163"/>
      <c r="S1243" s="163"/>
    </row>
    <row r="1244" spans="5:19">
      <c r="E1244" s="163"/>
      <c r="K1244" s="163"/>
      <c r="Q1244" s="163"/>
      <c r="R1244" s="163"/>
      <c r="S1244" s="163"/>
    </row>
    <row r="1245" spans="5:19">
      <c r="E1245" s="163"/>
      <c r="K1245" s="163"/>
      <c r="Q1245" s="163"/>
      <c r="R1245" s="163"/>
      <c r="S1245" s="163"/>
    </row>
    <row r="1246" spans="5:19">
      <c r="E1246" s="163"/>
      <c r="K1246" s="163"/>
      <c r="Q1246" s="163"/>
      <c r="R1246" s="163"/>
      <c r="S1246" s="163"/>
    </row>
    <row r="1247" spans="5:19">
      <c r="E1247" s="163"/>
      <c r="K1247" s="163"/>
      <c r="Q1247" s="163"/>
      <c r="R1247" s="163"/>
      <c r="S1247" s="163"/>
    </row>
    <row r="1248" spans="5:19">
      <c r="E1248" s="163"/>
      <c r="K1248" s="163"/>
      <c r="Q1248" s="163"/>
      <c r="R1248" s="163"/>
      <c r="S1248" s="163"/>
    </row>
    <row r="1249" spans="5:19">
      <c r="E1249" s="163"/>
      <c r="K1249" s="163"/>
      <c r="Q1249" s="163"/>
      <c r="R1249" s="163"/>
      <c r="S1249" s="163"/>
    </row>
    <row r="1250" spans="5:19">
      <c r="E1250" s="163"/>
      <c r="K1250" s="163"/>
      <c r="Q1250" s="163"/>
      <c r="R1250" s="163"/>
      <c r="S1250" s="163"/>
    </row>
    <row r="1251" spans="5:19">
      <c r="E1251" s="163"/>
      <c r="K1251" s="163"/>
      <c r="Q1251" s="163"/>
      <c r="R1251" s="163"/>
      <c r="S1251" s="163"/>
    </row>
    <row r="1252" spans="5:19">
      <c r="E1252" s="163"/>
      <c r="K1252" s="163"/>
      <c r="Q1252" s="163"/>
      <c r="R1252" s="163"/>
      <c r="S1252" s="163"/>
    </row>
    <row r="1253" spans="5:19">
      <c r="E1253" s="163"/>
      <c r="K1253" s="163"/>
      <c r="Q1253" s="163"/>
      <c r="R1253" s="163"/>
      <c r="S1253" s="163"/>
    </row>
    <row r="1254" spans="5:19">
      <c r="E1254" s="163"/>
      <c r="K1254" s="163"/>
      <c r="Q1254" s="163"/>
      <c r="R1254" s="163"/>
      <c r="S1254" s="163"/>
    </row>
    <row r="1255" spans="5:19">
      <c r="E1255" s="163"/>
      <c r="K1255" s="163"/>
      <c r="Q1255" s="163"/>
      <c r="R1255" s="163"/>
      <c r="S1255" s="163"/>
    </row>
    <row r="1256" spans="5:19">
      <c r="E1256" s="163"/>
      <c r="K1256" s="163"/>
      <c r="Q1256" s="163"/>
      <c r="R1256" s="163"/>
      <c r="S1256" s="163"/>
    </row>
    <row r="1257" spans="5:19">
      <c r="E1257" s="163"/>
      <c r="K1257" s="163"/>
      <c r="Q1257" s="163"/>
      <c r="R1257" s="163"/>
      <c r="S1257" s="163"/>
    </row>
    <row r="1258" spans="5:19">
      <c r="E1258" s="163"/>
      <c r="K1258" s="163"/>
      <c r="Q1258" s="163"/>
      <c r="R1258" s="163"/>
      <c r="S1258" s="163"/>
    </row>
    <row r="1259" spans="5:19">
      <c r="E1259" s="163"/>
      <c r="K1259" s="163"/>
      <c r="Q1259" s="163"/>
      <c r="R1259" s="163"/>
      <c r="S1259" s="163"/>
    </row>
    <row r="1260" spans="5:19">
      <c r="E1260" s="163"/>
      <c r="K1260" s="163"/>
      <c r="Q1260" s="163"/>
      <c r="R1260" s="163"/>
      <c r="S1260" s="163"/>
    </row>
    <row r="1261" spans="5:19">
      <c r="E1261" s="163"/>
      <c r="K1261" s="163"/>
      <c r="Q1261" s="163"/>
      <c r="R1261" s="163"/>
      <c r="S1261" s="163"/>
    </row>
    <row r="1262" spans="5:19">
      <c r="E1262" s="163"/>
      <c r="K1262" s="163"/>
      <c r="Q1262" s="163"/>
      <c r="R1262" s="163"/>
      <c r="S1262" s="163"/>
    </row>
    <row r="1263" spans="5:19">
      <c r="E1263" s="163"/>
      <c r="K1263" s="163"/>
      <c r="Q1263" s="163"/>
      <c r="R1263" s="163"/>
      <c r="S1263" s="163"/>
    </row>
    <row r="1264" spans="5:19">
      <c r="E1264" s="163"/>
      <c r="K1264" s="163"/>
      <c r="Q1264" s="163"/>
      <c r="R1264" s="163"/>
      <c r="S1264" s="163"/>
    </row>
    <row r="1265" spans="5:19">
      <c r="E1265" s="163"/>
      <c r="K1265" s="163"/>
      <c r="Q1265" s="163"/>
      <c r="R1265" s="163"/>
      <c r="S1265" s="163"/>
    </row>
    <row r="1266" spans="5:19">
      <c r="E1266" s="163"/>
      <c r="K1266" s="163"/>
      <c r="Q1266" s="163"/>
      <c r="R1266" s="163"/>
      <c r="S1266" s="163"/>
    </row>
    <row r="1267" spans="5:19">
      <c r="E1267" s="163"/>
      <c r="K1267" s="163"/>
      <c r="Q1267" s="163"/>
      <c r="R1267" s="163"/>
      <c r="S1267" s="163"/>
    </row>
    <row r="1268" spans="5:19">
      <c r="E1268" s="163"/>
      <c r="K1268" s="163"/>
      <c r="Q1268" s="163"/>
      <c r="R1268" s="163"/>
      <c r="S1268" s="163"/>
    </row>
    <row r="1269" spans="5:19">
      <c r="E1269" s="163"/>
      <c r="K1269" s="163"/>
      <c r="Q1269" s="163"/>
      <c r="R1269" s="163"/>
      <c r="S1269" s="163"/>
    </row>
    <row r="1270" spans="5:19">
      <c r="E1270" s="163"/>
      <c r="K1270" s="163"/>
      <c r="Q1270" s="163"/>
      <c r="R1270" s="163"/>
      <c r="S1270" s="163"/>
    </row>
    <row r="1271" spans="5:19">
      <c r="E1271" s="163"/>
      <c r="K1271" s="163"/>
      <c r="Q1271" s="163"/>
      <c r="R1271" s="163"/>
      <c r="S1271" s="163"/>
    </row>
    <row r="1272" spans="5:19">
      <c r="E1272" s="163"/>
      <c r="K1272" s="163"/>
      <c r="Q1272" s="163"/>
      <c r="R1272" s="163"/>
      <c r="S1272" s="163"/>
    </row>
    <row r="1273" spans="5:19">
      <c r="E1273" s="163"/>
      <c r="K1273" s="163"/>
      <c r="Q1273" s="163"/>
      <c r="R1273" s="163"/>
      <c r="S1273" s="163"/>
    </row>
    <row r="1274" spans="5:19">
      <c r="E1274" s="163"/>
      <c r="K1274" s="163"/>
      <c r="Q1274" s="163"/>
      <c r="R1274" s="163"/>
      <c r="S1274" s="163"/>
    </row>
    <row r="1275" spans="5:19">
      <c r="E1275" s="163"/>
      <c r="K1275" s="163"/>
      <c r="Q1275" s="163"/>
      <c r="R1275" s="163"/>
      <c r="S1275" s="163"/>
    </row>
    <row r="1276" spans="5:19">
      <c r="E1276" s="163"/>
      <c r="K1276" s="163"/>
      <c r="Q1276" s="163"/>
      <c r="R1276" s="163"/>
      <c r="S1276" s="163"/>
    </row>
    <row r="1277" spans="5:19">
      <c r="E1277" s="163"/>
      <c r="K1277" s="163"/>
      <c r="Q1277" s="163"/>
      <c r="R1277" s="163"/>
      <c r="S1277" s="163"/>
    </row>
    <row r="1278" spans="5:19">
      <c r="E1278" s="163"/>
      <c r="K1278" s="163"/>
      <c r="Q1278" s="163"/>
      <c r="R1278" s="163"/>
      <c r="S1278" s="163"/>
    </row>
    <row r="1279" spans="5:19">
      <c r="E1279" s="163"/>
      <c r="K1279" s="163"/>
      <c r="Q1279" s="163"/>
      <c r="R1279" s="163"/>
      <c r="S1279" s="163"/>
    </row>
    <row r="1280" spans="5:19">
      <c r="E1280" s="163"/>
      <c r="K1280" s="163"/>
      <c r="Q1280" s="163"/>
      <c r="R1280" s="163"/>
      <c r="S1280" s="163"/>
    </row>
    <row r="1281" spans="5:19">
      <c r="E1281" s="163"/>
      <c r="K1281" s="163"/>
      <c r="Q1281" s="163"/>
      <c r="R1281" s="163"/>
      <c r="S1281" s="163"/>
    </row>
    <row r="1282" spans="5:19">
      <c r="E1282" s="163"/>
      <c r="K1282" s="163"/>
      <c r="Q1282" s="163"/>
      <c r="R1282" s="163"/>
      <c r="S1282" s="163"/>
    </row>
    <row r="1283" spans="5:19">
      <c r="E1283" s="163"/>
      <c r="K1283" s="163"/>
      <c r="Q1283" s="163"/>
      <c r="R1283" s="163"/>
      <c r="S1283" s="163"/>
    </row>
    <row r="1284" spans="5:19">
      <c r="E1284" s="163"/>
      <c r="K1284" s="163"/>
      <c r="Q1284" s="163"/>
      <c r="R1284" s="163"/>
      <c r="S1284" s="163"/>
    </row>
    <row r="1285" spans="5:19">
      <c r="E1285" s="163"/>
      <c r="K1285" s="163"/>
      <c r="Q1285" s="163"/>
      <c r="R1285" s="163"/>
      <c r="S1285" s="163"/>
    </row>
    <row r="1286" spans="5:19">
      <c r="E1286" s="163"/>
      <c r="K1286" s="163"/>
      <c r="Q1286" s="163"/>
      <c r="R1286" s="163"/>
      <c r="S1286" s="163"/>
    </row>
    <row r="1287" spans="5:19">
      <c r="E1287" s="163"/>
      <c r="K1287" s="163"/>
      <c r="Q1287" s="163"/>
      <c r="R1287" s="163"/>
      <c r="S1287" s="163"/>
    </row>
    <row r="1288" spans="5:19">
      <c r="E1288" s="163"/>
      <c r="K1288" s="163"/>
      <c r="Q1288" s="163"/>
      <c r="R1288" s="163"/>
      <c r="S1288" s="163"/>
    </row>
    <row r="1289" spans="5:19">
      <c r="E1289" s="163"/>
      <c r="K1289" s="163"/>
      <c r="Q1289" s="163"/>
      <c r="R1289" s="163"/>
      <c r="S1289" s="163"/>
    </row>
    <row r="1290" spans="5:19">
      <c r="E1290" s="163"/>
      <c r="K1290" s="163"/>
      <c r="Q1290" s="163"/>
      <c r="R1290" s="163"/>
      <c r="S1290" s="163"/>
    </row>
    <row r="1291" spans="5:19">
      <c r="E1291" s="163"/>
      <c r="K1291" s="163"/>
      <c r="Q1291" s="163"/>
      <c r="R1291" s="163"/>
      <c r="S1291" s="163"/>
    </row>
    <row r="1292" spans="5:19">
      <c r="E1292" s="163"/>
      <c r="K1292" s="163"/>
      <c r="Q1292" s="163"/>
      <c r="R1292" s="163"/>
      <c r="S1292" s="163"/>
    </row>
    <row r="1293" spans="5:19">
      <c r="E1293" s="163"/>
      <c r="K1293" s="163"/>
      <c r="Q1293" s="163"/>
      <c r="R1293" s="163"/>
      <c r="S1293" s="163"/>
    </row>
    <row r="1294" spans="5:19">
      <c r="E1294" s="163"/>
      <c r="K1294" s="163"/>
      <c r="Q1294" s="163"/>
      <c r="R1294" s="163"/>
      <c r="S1294" s="163"/>
    </row>
    <row r="1295" spans="5:19">
      <c r="E1295" s="163"/>
      <c r="K1295" s="163"/>
      <c r="Q1295" s="163"/>
      <c r="R1295" s="163"/>
      <c r="S1295" s="163"/>
    </row>
    <row r="1296" spans="5:19">
      <c r="E1296" s="163"/>
      <c r="K1296" s="163"/>
      <c r="Q1296" s="163"/>
      <c r="R1296" s="163"/>
      <c r="S1296" s="163"/>
    </row>
    <row r="1297" spans="5:19">
      <c r="E1297" s="163"/>
      <c r="K1297" s="163"/>
      <c r="Q1297" s="163"/>
      <c r="R1297" s="163"/>
      <c r="S1297" s="163"/>
    </row>
    <row r="1298" spans="5:19">
      <c r="E1298" s="163"/>
      <c r="K1298" s="163"/>
      <c r="Q1298" s="163"/>
      <c r="R1298" s="163"/>
      <c r="S1298" s="163"/>
    </row>
    <row r="1299" spans="5:19">
      <c r="E1299" s="163"/>
      <c r="K1299" s="163"/>
      <c r="Q1299" s="163"/>
      <c r="R1299" s="163"/>
      <c r="S1299" s="163"/>
    </row>
    <row r="1300" spans="5:19">
      <c r="E1300" s="163"/>
      <c r="K1300" s="163"/>
      <c r="Q1300" s="163"/>
      <c r="R1300" s="163"/>
      <c r="S1300" s="163"/>
    </row>
    <row r="1301" spans="5:19">
      <c r="E1301" s="163"/>
      <c r="K1301" s="163"/>
      <c r="Q1301" s="163"/>
      <c r="R1301" s="163"/>
      <c r="S1301" s="163"/>
    </row>
    <row r="1302" spans="5:19">
      <c r="E1302" s="163"/>
      <c r="K1302" s="163"/>
      <c r="Q1302" s="163"/>
      <c r="R1302" s="163"/>
      <c r="S1302" s="163"/>
    </row>
    <row r="1303" spans="5:19">
      <c r="E1303" s="163"/>
      <c r="K1303" s="163"/>
      <c r="Q1303" s="163"/>
      <c r="R1303" s="163"/>
      <c r="S1303" s="163"/>
    </row>
    <row r="1304" spans="5:19">
      <c r="E1304" s="163"/>
      <c r="K1304" s="163"/>
      <c r="Q1304" s="163"/>
      <c r="R1304" s="163"/>
      <c r="S1304" s="163"/>
    </row>
    <row r="1305" spans="5:19">
      <c r="E1305" s="163"/>
      <c r="K1305" s="163"/>
      <c r="Q1305" s="163"/>
      <c r="R1305" s="163"/>
      <c r="S1305" s="163"/>
    </row>
    <row r="1306" spans="5:19">
      <c r="E1306" s="163"/>
      <c r="K1306" s="163"/>
      <c r="Q1306" s="163"/>
      <c r="R1306" s="163"/>
      <c r="S1306" s="163"/>
    </row>
    <row r="1307" spans="5:19">
      <c r="E1307" s="163"/>
      <c r="K1307" s="163"/>
      <c r="Q1307" s="163"/>
      <c r="R1307" s="163"/>
      <c r="S1307" s="163"/>
    </row>
    <row r="1308" spans="5:19">
      <c r="E1308" s="163"/>
      <c r="K1308" s="163"/>
      <c r="Q1308" s="163"/>
      <c r="R1308" s="163"/>
      <c r="S1308" s="163"/>
    </row>
    <row r="1309" spans="5:19">
      <c r="E1309" s="163"/>
      <c r="K1309" s="163"/>
      <c r="Q1309" s="163"/>
      <c r="R1309" s="163"/>
      <c r="S1309" s="163"/>
    </row>
    <row r="1310" spans="5:19">
      <c r="E1310" s="163"/>
      <c r="K1310" s="163"/>
      <c r="Q1310" s="163"/>
      <c r="R1310" s="163"/>
      <c r="S1310" s="163"/>
    </row>
    <row r="1311" spans="5:19">
      <c r="E1311" s="163"/>
      <c r="K1311" s="163"/>
      <c r="Q1311" s="163"/>
      <c r="R1311" s="163"/>
      <c r="S1311" s="163"/>
    </row>
    <row r="1312" spans="5:19">
      <c r="E1312" s="163"/>
      <c r="K1312" s="163"/>
      <c r="Q1312" s="163"/>
      <c r="R1312" s="163"/>
      <c r="S1312" s="163"/>
    </row>
    <row r="1313" spans="5:19">
      <c r="E1313" s="163"/>
      <c r="K1313" s="163"/>
      <c r="Q1313" s="163"/>
      <c r="R1313" s="163"/>
      <c r="S1313" s="163"/>
    </row>
    <row r="1314" spans="5:19">
      <c r="E1314" s="163"/>
      <c r="K1314" s="163"/>
      <c r="Q1314" s="163"/>
      <c r="R1314" s="163"/>
      <c r="S1314" s="163"/>
    </row>
    <row r="1315" spans="5:19">
      <c r="E1315" s="163"/>
      <c r="K1315" s="163"/>
      <c r="Q1315" s="163"/>
      <c r="R1315" s="163"/>
      <c r="S1315" s="163"/>
    </row>
    <row r="1316" spans="5:19">
      <c r="E1316" s="163"/>
      <c r="K1316" s="163"/>
      <c r="Q1316" s="163"/>
      <c r="R1316" s="163"/>
      <c r="S1316" s="163"/>
    </row>
    <row r="1317" spans="5:19">
      <c r="E1317" s="163"/>
      <c r="K1317" s="163"/>
      <c r="Q1317" s="163"/>
      <c r="R1317" s="163"/>
      <c r="S1317" s="163"/>
    </row>
    <row r="1318" spans="5:19">
      <c r="E1318" s="163"/>
      <c r="K1318" s="163"/>
      <c r="Q1318" s="163"/>
      <c r="R1318" s="163"/>
      <c r="S1318" s="163"/>
    </row>
    <row r="1319" spans="5:19">
      <c r="E1319" s="163"/>
      <c r="K1319" s="163"/>
      <c r="Q1319" s="163"/>
      <c r="R1319" s="163"/>
      <c r="S1319" s="163"/>
    </row>
    <row r="1320" spans="5:19">
      <c r="E1320" s="163"/>
      <c r="K1320" s="163"/>
      <c r="Q1320" s="163"/>
      <c r="R1320" s="163"/>
      <c r="S1320" s="163"/>
    </row>
    <row r="1321" spans="5:19">
      <c r="E1321" s="163"/>
      <c r="K1321" s="163"/>
      <c r="Q1321" s="163"/>
      <c r="R1321" s="163"/>
      <c r="S1321" s="163"/>
    </row>
    <row r="1322" spans="5:19">
      <c r="E1322" s="163"/>
      <c r="K1322" s="163"/>
      <c r="Q1322" s="163"/>
      <c r="R1322" s="163"/>
      <c r="S1322" s="163"/>
    </row>
    <row r="1323" spans="5:19">
      <c r="E1323" s="163"/>
      <c r="K1323" s="163"/>
      <c r="Q1323" s="163"/>
      <c r="R1323" s="163"/>
      <c r="S1323" s="163"/>
    </row>
    <row r="1324" spans="5:19">
      <c r="E1324" s="163"/>
      <c r="K1324" s="163"/>
      <c r="Q1324" s="163"/>
      <c r="R1324" s="163"/>
      <c r="S1324" s="163"/>
    </row>
    <row r="1325" spans="5:19">
      <c r="E1325" s="163"/>
      <c r="K1325" s="163"/>
      <c r="Q1325" s="163"/>
      <c r="R1325" s="163"/>
      <c r="S1325" s="163"/>
    </row>
    <row r="1326" spans="5:19">
      <c r="E1326" s="163"/>
      <c r="K1326" s="163"/>
      <c r="Q1326" s="163"/>
      <c r="R1326" s="163"/>
      <c r="S1326" s="163"/>
    </row>
    <row r="1327" spans="5:19">
      <c r="E1327" s="163"/>
      <c r="K1327" s="163"/>
      <c r="Q1327" s="163"/>
      <c r="R1327" s="163"/>
      <c r="S1327" s="163"/>
    </row>
    <row r="1328" spans="5:19">
      <c r="E1328" s="163"/>
      <c r="K1328" s="163"/>
      <c r="Q1328" s="163"/>
      <c r="R1328" s="163"/>
      <c r="S1328" s="163"/>
    </row>
    <row r="1329" spans="5:19">
      <c r="E1329" s="163"/>
      <c r="K1329" s="163"/>
      <c r="Q1329" s="163"/>
      <c r="R1329" s="163"/>
      <c r="S1329" s="163"/>
    </row>
    <row r="1330" spans="5:19">
      <c r="E1330" s="163"/>
      <c r="K1330" s="163"/>
      <c r="Q1330" s="163"/>
      <c r="R1330" s="163"/>
      <c r="S1330" s="163"/>
    </row>
    <row r="1331" spans="5:19">
      <c r="E1331" s="163"/>
      <c r="K1331" s="163"/>
      <c r="Q1331" s="163"/>
      <c r="R1331" s="163"/>
      <c r="S1331" s="163"/>
    </row>
    <row r="1332" spans="5:19">
      <c r="E1332" s="163"/>
      <c r="K1332" s="163"/>
      <c r="Q1332" s="163"/>
      <c r="R1332" s="163"/>
      <c r="S1332" s="163"/>
    </row>
    <row r="1333" spans="5:19">
      <c r="E1333" s="163"/>
      <c r="K1333" s="163"/>
      <c r="Q1333" s="163"/>
      <c r="R1333" s="163"/>
      <c r="S1333" s="163"/>
    </row>
    <row r="1334" spans="5:19">
      <c r="E1334" s="163"/>
      <c r="K1334" s="163"/>
      <c r="Q1334" s="163"/>
      <c r="R1334" s="163"/>
      <c r="S1334" s="163"/>
    </row>
    <row r="1335" spans="5:19">
      <c r="E1335" s="163"/>
      <c r="K1335" s="163"/>
      <c r="Q1335" s="163"/>
      <c r="R1335" s="163"/>
      <c r="S1335" s="163"/>
    </row>
    <row r="1336" spans="5:19">
      <c r="E1336" s="163"/>
      <c r="K1336" s="163"/>
      <c r="Q1336" s="163"/>
      <c r="R1336" s="163"/>
      <c r="S1336" s="163"/>
    </row>
    <row r="1337" spans="5:19">
      <c r="E1337" s="163"/>
      <c r="K1337" s="163"/>
      <c r="Q1337" s="163"/>
      <c r="R1337" s="163"/>
      <c r="S1337" s="163"/>
    </row>
    <row r="1338" spans="5:19">
      <c r="E1338" s="163"/>
      <c r="K1338" s="163"/>
      <c r="Q1338" s="163"/>
      <c r="R1338" s="163"/>
      <c r="S1338" s="163"/>
    </row>
    <row r="1339" spans="5:19">
      <c r="E1339" s="163"/>
      <c r="K1339" s="163"/>
      <c r="Q1339" s="163"/>
      <c r="R1339" s="163"/>
      <c r="S1339" s="163"/>
    </row>
    <row r="1340" spans="5:19">
      <c r="E1340" s="163"/>
      <c r="K1340" s="163"/>
      <c r="Q1340" s="163"/>
      <c r="R1340" s="163"/>
      <c r="S1340" s="163"/>
    </row>
    <row r="1341" spans="5:19">
      <c r="E1341" s="163"/>
      <c r="K1341" s="163"/>
      <c r="Q1341" s="163"/>
      <c r="R1341" s="163"/>
      <c r="S1341" s="163"/>
    </row>
    <row r="1342" spans="5:19">
      <c r="E1342" s="163"/>
      <c r="K1342" s="163"/>
      <c r="Q1342" s="163"/>
      <c r="R1342" s="163"/>
      <c r="S1342" s="163"/>
    </row>
    <row r="1343" spans="5:19">
      <c r="E1343" s="163"/>
      <c r="K1343" s="163"/>
      <c r="Q1343" s="163"/>
      <c r="R1343" s="163"/>
      <c r="S1343" s="163"/>
    </row>
    <row r="1344" spans="5:19">
      <c r="E1344" s="163"/>
      <c r="K1344" s="163"/>
      <c r="Q1344" s="163"/>
      <c r="R1344" s="163"/>
      <c r="S1344" s="163"/>
    </row>
    <row r="1345" spans="5:19">
      <c r="E1345" s="163"/>
      <c r="K1345" s="163"/>
      <c r="Q1345" s="163"/>
      <c r="R1345" s="163"/>
      <c r="S1345" s="163"/>
    </row>
    <row r="1346" spans="5:19">
      <c r="E1346" s="163"/>
      <c r="K1346" s="163"/>
      <c r="Q1346" s="163"/>
      <c r="R1346" s="163"/>
      <c r="S1346" s="163"/>
    </row>
    <row r="1347" spans="5:19">
      <c r="E1347" s="163"/>
      <c r="K1347" s="163"/>
      <c r="Q1347" s="163"/>
      <c r="R1347" s="163"/>
      <c r="S1347" s="163"/>
    </row>
    <row r="1348" spans="5:19">
      <c r="E1348" s="163"/>
      <c r="K1348" s="163"/>
      <c r="Q1348" s="163"/>
      <c r="R1348" s="163"/>
      <c r="S1348" s="163"/>
    </row>
    <row r="1349" spans="5:19">
      <c r="E1349" s="163"/>
      <c r="K1349" s="163"/>
      <c r="Q1349" s="163"/>
      <c r="R1349" s="163"/>
      <c r="S1349" s="163"/>
    </row>
    <row r="1350" spans="5:19">
      <c r="E1350" s="163"/>
      <c r="K1350" s="163"/>
      <c r="Q1350" s="163"/>
      <c r="R1350" s="163"/>
      <c r="S1350" s="163"/>
    </row>
    <row r="1351" spans="5:19">
      <c r="E1351" s="163"/>
      <c r="K1351" s="163"/>
      <c r="Q1351" s="163"/>
      <c r="R1351" s="163"/>
      <c r="S1351" s="163"/>
    </row>
    <row r="1352" spans="5:19">
      <c r="E1352" s="163"/>
      <c r="K1352" s="163"/>
      <c r="Q1352" s="163"/>
      <c r="R1352" s="163"/>
      <c r="S1352" s="163"/>
    </row>
    <row r="1353" spans="5:19">
      <c r="E1353" s="163"/>
      <c r="K1353" s="163"/>
      <c r="Q1353" s="163"/>
      <c r="R1353" s="163"/>
      <c r="S1353" s="163"/>
    </row>
    <row r="1354" spans="5:19">
      <c r="E1354" s="163"/>
      <c r="K1354" s="163"/>
      <c r="Q1354" s="163"/>
      <c r="R1354" s="163"/>
      <c r="S1354" s="163"/>
    </row>
    <row r="1355" spans="5:19">
      <c r="E1355" s="163"/>
      <c r="K1355" s="163"/>
      <c r="Q1355" s="163"/>
      <c r="R1355" s="163"/>
      <c r="S1355" s="163"/>
    </row>
    <row r="1356" spans="5:19">
      <c r="E1356" s="163"/>
      <c r="K1356" s="163"/>
      <c r="Q1356" s="163"/>
      <c r="R1356" s="163"/>
      <c r="S1356" s="163"/>
    </row>
    <row r="1357" spans="5:19">
      <c r="E1357" s="163"/>
      <c r="K1357" s="163"/>
      <c r="Q1357" s="163"/>
      <c r="R1357" s="163"/>
      <c r="S1357" s="163"/>
    </row>
    <row r="1358" spans="5:19">
      <c r="E1358" s="163"/>
      <c r="K1358" s="163"/>
      <c r="Q1358" s="163"/>
      <c r="R1358" s="163"/>
      <c r="S1358" s="163"/>
    </row>
    <row r="1359" spans="5:19">
      <c r="E1359" s="163"/>
      <c r="K1359" s="163"/>
      <c r="Q1359" s="163"/>
      <c r="R1359" s="163"/>
      <c r="S1359" s="163"/>
    </row>
    <row r="1360" spans="5:19">
      <c r="E1360" s="163"/>
      <c r="K1360" s="163"/>
      <c r="Q1360" s="163"/>
      <c r="R1360" s="163"/>
      <c r="S1360" s="163"/>
    </row>
    <row r="1361" spans="5:19">
      <c r="E1361" s="163"/>
      <c r="K1361" s="163"/>
      <c r="Q1361" s="163"/>
      <c r="R1361" s="163"/>
      <c r="S1361" s="163"/>
    </row>
    <row r="1362" spans="5:19">
      <c r="E1362" s="163"/>
      <c r="K1362" s="163"/>
      <c r="Q1362" s="163"/>
      <c r="R1362" s="163"/>
      <c r="S1362" s="163"/>
    </row>
    <row r="1363" spans="5:19">
      <c r="E1363" s="163"/>
      <c r="K1363" s="163"/>
      <c r="Q1363" s="163"/>
      <c r="R1363" s="163"/>
      <c r="S1363" s="163"/>
    </row>
    <row r="1364" spans="5:19">
      <c r="E1364" s="163"/>
      <c r="K1364" s="163"/>
      <c r="Q1364" s="163"/>
      <c r="R1364" s="163"/>
      <c r="S1364" s="163"/>
    </row>
    <row r="1365" spans="5:19">
      <c r="E1365" s="163"/>
      <c r="K1365" s="163"/>
      <c r="Q1365" s="163"/>
      <c r="R1365" s="163"/>
      <c r="S1365" s="163"/>
    </row>
    <row r="1366" spans="5:19">
      <c r="E1366" s="163"/>
      <c r="K1366" s="163"/>
      <c r="Q1366" s="163"/>
      <c r="R1366" s="163"/>
      <c r="S1366" s="163"/>
    </row>
    <row r="1367" spans="5:19">
      <c r="E1367" s="163"/>
      <c r="K1367" s="163"/>
      <c r="Q1367" s="163"/>
      <c r="R1367" s="163"/>
      <c r="S1367" s="163"/>
    </row>
    <row r="1368" spans="5:19">
      <c r="E1368" s="163"/>
      <c r="K1368" s="163"/>
      <c r="Q1368" s="163"/>
      <c r="R1368" s="163"/>
      <c r="S1368" s="163"/>
    </row>
    <row r="1369" spans="5:19">
      <c r="E1369" s="163"/>
      <c r="K1369" s="163"/>
      <c r="Q1369" s="163"/>
      <c r="R1369" s="163"/>
      <c r="S1369" s="163"/>
    </row>
    <row r="1370" spans="5:19">
      <c r="E1370" s="163"/>
      <c r="K1370" s="163"/>
      <c r="Q1370" s="163"/>
      <c r="R1370" s="163"/>
      <c r="S1370" s="163"/>
    </row>
    <row r="1371" spans="5:19">
      <c r="E1371" s="163"/>
      <c r="K1371" s="163"/>
      <c r="Q1371" s="163"/>
      <c r="R1371" s="163"/>
      <c r="S1371" s="163"/>
    </row>
    <row r="1372" spans="5:19">
      <c r="E1372" s="163"/>
      <c r="K1372" s="163"/>
      <c r="Q1372" s="163"/>
      <c r="R1372" s="163"/>
      <c r="S1372" s="163"/>
    </row>
    <row r="1373" spans="5:19">
      <c r="E1373" s="163"/>
      <c r="K1373" s="163"/>
      <c r="Q1373" s="163"/>
      <c r="R1373" s="163"/>
      <c r="S1373" s="163"/>
    </row>
    <row r="1374" spans="5:19">
      <c r="E1374" s="163"/>
      <c r="K1374" s="163"/>
      <c r="Q1374" s="163"/>
      <c r="R1374" s="163"/>
      <c r="S1374" s="163"/>
    </row>
    <row r="1375" spans="5:19">
      <c r="E1375" s="163"/>
      <c r="K1375" s="163"/>
      <c r="Q1375" s="163"/>
      <c r="R1375" s="163"/>
      <c r="S1375" s="163"/>
    </row>
    <row r="1376" spans="5:19">
      <c r="E1376" s="163"/>
      <c r="K1376" s="163"/>
      <c r="Q1376" s="163"/>
      <c r="R1376" s="163"/>
      <c r="S1376" s="163"/>
    </row>
    <row r="1377" spans="5:19">
      <c r="E1377" s="163"/>
      <c r="K1377" s="163"/>
      <c r="Q1377" s="163"/>
      <c r="R1377" s="163"/>
      <c r="S1377" s="163"/>
    </row>
    <row r="1378" spans="5:19">
      <c r="E1378" s="163"/>
      <c r="K1378" s="163"/>
      <c r="Q1378" s="163"/>
      <c r="R1378" s="163"/>
      <c r="S1378" s="163"/>
    </row>
    <row r="1379" spans="5:19">
      <c r="E1379" s="163"/>
      <c r="K1379" s="163"/>
      <c r="Q1379" s="163"/>
      <c r="R1379" s="163"/>
      <c r="S1379" s="163"/>
    </row>
    <row r="1380" spans="5:19">
      <c r="E1380" s="163"/>
      <c r="K1380" s="163"/>
      <c r="Q1380" s="163"/>
      <c r="R1380" s="163"/>
      <c r="S1380" s="163"/>
    </row>
    <row r="1381" spans="5:19">
      <c r="E1381" s="163"/>
      <c r="K1381" s="163"/>
      <c r="Q1381" s="163"/>
      <c r="R1381" s="163"/>
      <c r="S1381" s="163"/>
    </row>
    <row r="1382" spans="5:19">
      <c r="E1382" s="163"/>
      <c r="K1382" s="163"/>
      <c r="Q1382" s="163"/>
      <c r="R1382" s="163"/>
      <c r="S1382" s="163"/>
    </row>
    <row r="1383" spans="5:19">
      <c r="E1383" s="163"/>
      <c r="K1383" s="163"/>
      <c r="Q1383" s="163"/>
      <c r="R1383" s="163"/>
      <c r="S1383" s="163"/>
    </row>
    <row r="1384" spans="5:19">
      <c r="E1384" s="163"/>
      <c r="K1384" s="163"/>
      <c r="Q1384" s="163"/>
      <c r="R1384" s="163"/>
      <c r="S1384" s="163"/>
    </row>
    <row r="1385" spans="5:19">
      <c r="E1385" s="163"/>
      <c r="K1385" s="163"/>
      <c r="Q1385" s="163"/>
      <c r="R1385" s="163"/>
      <c r="S1385" s="163"/>
    </row>
    <row r="1386" spans="5:19">
      <c r="E1386" s="163"/>
      <c r="K1386" s="163"/>
      <c r="Q1386" s="163"/>
      <c r="R1386" s="163"/>
      <c r="S1386" s="163"/>
    </row>
    <row r="1387" spans="5:19">
      <c r="E1387" s="163"/>
      <c r="K1387" s="163"/>
      <c r="Q1387" s="163"/>
      <c r="R1387" s="163"/>
      <c r="S1387" s="163"/>
    </row>
    <row r="1388" spans="5:19">
      <c r="E1388" s="163"/>
      <c r="K1388" s="163"/>
      <c r="Q1388" s="163"/>
      <c r="R1388" s="163"/>
      <c r="S1388" s="163"/>
    </row>
    <row r="1389" spans="5:19">
      <c r="E1389" s="163"/>
      <c r="K1389" s="163"/>
      <c r="Q1389" s="163"/>
      <c r="R1389" s="163"/>
      <c r="S1389" s="163"/>
    </row>
    <row r="1390" spans="5:19">
      <c r="E1390" s="163"/>
      <c r="K1390" s="163"/>
      <c r="Q1390" s="163"/>
      <c r="R1390" s="163"/>
      <c r="S1390" s="163"/>
    </row>
    <row r="1391" spans="5:19">
      <c r="E1391" s="163"/>
      <c r="K1391" s="163"/>
      <c r="Q1391" s="163"/>
      <c r="R1391" s="163"/>
      <c r="S1391" s="163"/>
    </row>
    <row r="1392" spans="5:19">
      <c r="E1392" s="163"/>
      <c r="K1392" s="163"/>
      <c r="Q1392" s="163"/>
      <c r="R1392" s="163"/>
      <c r="S1392" s="163"/>
    </row>
    <row r="1393" spans="5:19">
      <c r="E1393" s="163"/>
      <c r="K1393" s="163"/>
      <c r="Q1393" s="163"/>
      <c r="R1393" s="163"/>
      <c r="S1393" s="163"/>
    </row>
    <row r="1394" spans="5:19">
      <c r="E1394" s="163"/>
      <c r="K1394" s="163"/>
      <c r="Q1394" s="163"/>
      <c r="R1394" s="163"/>
      <c r="S1394" s="163"/>
    </row>
    <row r="1395" spans="5:19">
      <c r="E1395" s="163"/>
      <c r="K1395" s="163"/>
      <c r="Q1395" s="163"/>
      <c r="R1395" s="163"/>
      <c r="S1395" s="163"/>
    </row>
    <row r="1396" spans="5:19">
      <c r="E1396" s="163"/>
      <c r="K1396" s="163"/>
      <c r="Q1396" s="163"/>
      <c r="R1396" s="163"/>
      <c r="S1396" s="163"/>
    </row>
    <row r="1397" spans="5:19">
      <c r="E1397" s="163"/>
      <c r="K1397" s="163"/>
      <c r="Q1397" s="163"/>
      <c r="R1397" s="163"/>
      <c r="S1397" s="163"/>
    </row>
    <row r="1398" spans="5:19">
      <c r="E1398" s="163"/>
      <c r="K1398" s="163"/>
      <c r="Q1398" s="163"/>
      <c r="R1398" s="163"/>
      <c r="S1398" s="163"/>
    </row>
    <row r="1399" spans="5:19">
      <c r="E1399" s="163"/>
      <c r="K1399" s="163"/>
      <c r="Q1399" s="163"/>
      <c r="R1399" s="163"/>
      <c r="S1399" s="163"/>
    </row>
    <row r="1400" spans="5:19">
      <c r="E1400" s="163"/>
      <c r="K1400" s="163"/>
      <c r="Q1400" s="163"/>
      <c r="R1400" s="163"/>
      <c r="S1400" s="163"/>
    </row>
    <row r="1401" spans="5:19">
      <c r="E1401" s="163"/>
      <c r="K1401" s="163"/>
      <c r="Q1401" s="163"/>
      <c r="R1401" s="163"/>
      <c r="S1401" s="163"/>
    </row>
    <row r="1402" spans="5:19">
      <c r="E1402" s="163"/>
      <c r="K1402" s="163"/>
      <c r="Q1402" s="163"/>
      <c r="R1402" s="163"/>
      <c r="S1402" s="163"/>
    </row>
    <row r="1403" spans="5:19">
      <c r="E1403" s="163"/>
      <c r="K1403" s="163"/>
      <c r="Q1403" s="163"/>
      <c r="R1403" s="163"/>
      <c r="S1403" s="163"/>
    </row>
    <row r="1404" spans="5:19">
      <c r="E1404" s="163"/>
      <c r="K1404" s="163"/>
      <c r="Q1404" s="163"/>
      <c r="R1404" s="163"/>
      <c r="S1404" s="163"/>
    </row>
    <row r="1405" spans="5:19">
      <c r="E1405" s="163"/>
      <c r="K1405" s="163"/>
      <c r="Q1405" s="163"/>
      <c r="R1405" s="163"/>
      <c r="S1405" s="163"/>
    </row>
    <row r="1406" spans="5:19">
      <c r="E1406" s="163"/>
      <c r="K1406" s="163"/>
      <c r="Q1406" s="163"/>
      <c r="R1406" s="163"/>
      <c r="S1406" s="163"/>
    </row>
    <row r="1407" spans="5:19">
      <c r="E1407" s="163"/>
      <c r="K1407" s="163"/>
      <c r="Q1407" s="163"/>
      <c r="R1407" s="163"/>
      <c r="S1407" s="163"/>
    </row>
    <row r="1408" spans="5:19">
      <c r="E1408" s="163"/>
      <c r="K1408" s="163"/>
      <c r="Q1408" s="163"/>
      <c r="R1408" s="163"/>
      <c r="S1408" s="163"/>
    </row>
    <row r="1409" spans="5:19">
      <c r="E1409" s="163"/>
      <c r="K1409" s="163"/>
      <c r="Q1409" s="163"/>
      <c r="R1409" s="163"/>
      <c r="S1409" s="163"/>
    </row>
    <row r="1410" spans="5:19">
      <c r="E1410" s="163"/>
      <c r="K1410" s="163"/>
      <c r="Q1410" s="163"/>
      <c r="R1410" s="163"/>
      <c r="S1410" s="163"/>
    </row>
    <row r="1411" spans="5:19">
      <c r="E1411" s="163"/>
      <c r="K1411" s="163"/>
      <c r="Q1411" s="163"/>
      <c r="R1411" s="163"/>
      <c r="S1411" s="163"/>
    </row>
    <row r="1412" spans="5:19">
      <c r="E1412" s="163"/>
      <c r="K1412" s="163"/>
      <c r="Q1412" s="163"/>
      <c r="R1412" s="163"/>
      <c r="S1412" s="163"/>
    </row>
    <row r="1413" spans="5:19">
      <c r="E1413" s="163"/>
      <c r="K1413" s="163"/>
      <c r="Q1413" s="163"/>
      <c r="R1413" s="163"/>
      <c r="S1413" s="163"/>
    </row>
    <row r="1414" spans="5:19">
      <c r="E1414" s="163"/>
      <c r="K1414" s="163"/>
      <c r="Q1414" s="163"/>
      <c r="R1414" s="163"/>
      <c r="S1414" s="163"/>
    </row>
    <row r="1415" spans="5:19">
      <c r="E1415" s="163"/>
      <c r="K1415" s="163"/>
      <c r="Q1415" s="163"/>
      <c r="R1415" s="163"/>
      <c r="S1415" s="163"/>
    </row>
    <row r="1416" spans="5:19">
      <c r="E1416" s="163"/>
      <c r="K1416" s="163"/>
      <c r="Q1416" s="163"/>
      <c r="R1416" s="163"/>
      <c r="S1416" s="163"/>
    </row>
    <row r="1417" spans="5:19">
      <c r="E1417" s="163"/>
      <c r="K1417" s="163"/>
      <c r="Q1417" s="163"/>
      <c r="R1417" s="163"/>
      <c r="S1417" s="163"/>
    </row>
    <row r="1418" spans="5:19">
      <c r="E1418" s="163"/>
      <c r="K1418" s="163"/>
      <c r="Q1418" s="163"/>
      <c r="R1418" s="163"/>
      <c r="S1418" s="163"/>
    </row>
    <row r="1419" spans="5:19">
      <c r="E1419" s="163"/>
      <c r="K1419" s="163"/>
      <c r="Q1419" s="163"/>
      <c r="R1419" s="163"/>
      <c r="S1419" s="163"/>
    </row>
    <row r="1420" spans="5:19">
      <c r="E1420" s="163"/>
      <c r="K1420" s="163"/>
      <c r="Q1420" s="163"/>
      <c r="R1420" s="163"/>
      <c r="S1420" s="163"/>
    </row>
    <row r="1421" spans="5:19">
      <c r="E1421" s="163"/>
      <c r="K1421" s="163"/>
      <c r="Q1421" s="163"/>
      <c r="R1421" s="163"/>
      <c r="S1421" s="163"/>
    </row>
    <row r="1422" spans="5:19">
      <c r="E1422" s="163"/>
      <c r="K1422" s="163"/>
      <c r="Q1422" s="163"/>
      <c r="R1422" s="163"/>
      <c r="S1422" s="163"/>
    </row>
    <row r="1423" spans="5:19">
      <c r="E1423" s="163"/>
      <c r="K1423" s="163"/>
      <c r="Q1423" s="163"/>
      <c r="R1423" s="163"/>
      <c r="S1423" s="163"/>
    </row>
    <row r="1424" spans="5:19">
      <c r="E1424" s="163"/>
      <c r="K1424" s="163"/>
      <c r="Q1424" s="163"/>
      <c r="R1424" s="163"/>
      <c r="S1424" s="163"/>
    </row>
    <row r="1425" spans="5:19">
      <c r="E1425" s="163"/>
      <c r="K1425" s="163"/>
      <c r="Q1425" s="163"/>
      <c r="R1425" s="163"/>
      <c r="S1425" s="163"/>
    </row>
    <row r="1426" spans="5:19">
      <c r="E1426" s="163"/>
      <c r="K1426" s="163"/>
      <c r="Q1426" s="163"/>
      <c r="R1426" s="163"/>
      <c r="S1426" s="163"/>
    </row>
    <row r="1427" spans="5:19">
      <c r="E1427" s="163"/>
      <c r="K1427" s="163"/>
      <c r="Q1427" s="163"/>
      <c r="R1427" s="163"/>
      <c r="S1427" s="163"/>
    </row>
    <row r="1428" spans="5:19">
      <c r="E1428" s="163"/>
      <c r="K1428" s="163"/>
      <c r="Q1428" s="163"/>
      <c r="R1428" s="163"/>
      <c r="S1428" s="163"/>
    </row>
    <row r="1429" spans="5:19">
      <c r="E1429" s="163"/>
      <c r="K1429" s="163"/>
      <c r="Q1429" s="163"/>
      <c r="R1429" s="163"/>
      <c r="S1429" s="163"/>
    </row>
    <row r="1430" spans="5:19">
      <c r="E1430" s="163"/>
      <c r="K1430" s="163"/>
      <c r="Q1430" s="163"/>
      <c r="R1430" s="163"/>
      <c r="S1430" s="163"/>
    </row>
    <row r="1431" spans="5:19">
      <c r="E1431" s="163"/>
      <c r="K1431" s="163"/>
      <c r="Q1431" s="163"/>
      <c r="R1431" s="163"/>
      <c r="S1431" s="163"/>
    </row>
    <row r="1432" spans="5:19">
      <c r="E1432" s="163"/>
      <c r="K1432" s="163"/>
      <c r="Q1432" s="163"/>
      <c r="R1432" s="163"/>
      <c r="S1432" s="163"/>
    </row>
    <row r="1433" spans="5:19">
      <c r="E1433" s="163"/>
      <c r="K1433" s="163"/>
      <c r="Q1433" s="163"/>
      <c r="R1433" s="163"/>
      <c r="S1433" s="163"/>
    </row>
    <row r="1434" spans="5:19">
      <c r="E1434" s="163"/>
      <c r="K1434" s="163"/>
      <c r="Q1434" s="163"/>
      <c r="R1434" s="163"/>
      <c r="S1434" s="163"/>
    </row>
    <row r="1435" spans="5:19">
      <c r="E1435" s="163"/>
      <c r="K1435" s="163"/>
      <c r="Q1435" s="163"/>
      <c r="R1435" s="163"/>
      <c r="S1435" s="163"/>
    </row>
    <row r="1436" spans="5:19">
      <c r="E1436" s="163"/>
      <c r="K1436" s="163"/>
      <c r="Q1436" s="163"/>
      <c r="R1436" s="163"/>
      <c r="S1436" s="163"/>
    </row>
    <row r="1437" spans="5:19">
      <c r="E1437" s="163"/>
      <c r="K1437" s="163"/>
      <c r="Q1437" s="163"/>
      <c r="R1437" s="163"/>
      <c r="S1437" s="163"/>
    </row>
    <row r="1438" spans="5:19">
      <c r="E1438" s="163"/>
      <c r="K1438" s="163"/>
      <c r="Q1438" s="163"/>
      <c r="R1438" s="163"/>
      <c r="S1438" s="163"/>
    </row>
    <row r="1439" spans="5:19">
      <c r="E1439" s="163"/>
      <c r="K1439" s="163"/>
      <c r="Q1439" s="163"/>
      <c r="R1439" s="163"/>
      <c r="S1439" s="163"/>
    </row>
    <row r="1440" spans="5:19">
      <c r="E1440" s="163"/>
      <c r="K1440" s="163"/>
      <c r="Q1440" s="163"/>
      <c r="R1440" s="163"/>
      <c r="S1440" s="163"/>
    </row>
    <row r="1441" spans="5:19">
      <c r="E1441" s="163"/>
      <c r="K1441" s="163"/>
      <c r="Q1441" s="163"/>
      <c r="R1441" s="163"/>
      <c r="S1441" s="163"/>
    </row>
    <row r="1442" spans="5:19">
      <c r="E1442" s="163"/>
      <c r="K1442" s="163"/>
      <c r="Q1442" s="163"/>
      <c r="R1442" s="163"/>
      <c r="S1442" s="163"/>
    </row>
    <row r="1443" spans="5:19">
      <c r="E1443" s="163"/>
      <c r="K1443" s="163"/>
      <c r="Q1443" s="163"/>
      <c r="R1443" s="163"/>
      <c r="S1443" s="163"/>
    </row>
    <row r="1444" spans="5:19">
      <c r="E1444" s="163"/>
      <c r="K1444" s="163"/>
      <c r="Q1444" s="163"/>
      <c r="R1444" s="163"/>
      <c r="S1444" s="163"/>
    </row>
    <row r="1445" spans="5:19">
      <c r="E1445" s="163"/>
      <c r="K1445" s="163"/>
      <c r="Q1445" s="163"/>
      <c r="R1445" s="163"/>
      <c r="S1445" s="163"/>
    </row>
    <row r="1446" spans="5:19">
      <c r="E1446" s="163"/>
      <c r="K1446" s="163"/>
      <c r="Q1446" s="163"/>
      <c r="R1446" s="163"/>
      <c r="S1446" s="163"/>
    </row>
    <row r="1447" spans="5:19">
      <c r="E1447" s="163"/>
      <c r="K1447" s="163"/>
      <c r="Q1447" s="163"/>
      <c r="R1447" s="163"/>
      <c r="S1447" s="163"/>
    </row>
    <row r="1448" spans="5:19">
      <c r="E1448" s="163"/>
      <c r="K1448" s="163"/>
      <c r="Q1448" s="163"/>
      <c r="R1448" s="163"/>
      <c r="S1448" s="163"/>
    </row>
    <row r="1449" spans="5:19">
      <c r="E1449" s="163"/>
      <c r="K1449" s="163"/>
      <c r="Q1449" s="163"/>
      <c r="R1449" s="163"/>
      <c r="S1449" s="163"/>
    </row>
    <row r="1450" spans="5:19">
      <c r="E1450" s="163"/>
      <c r="K1450" s="163"/>
      <c r="Q1450" s="163"/>
      <c r="R1450" s="163"/>
      <c r="S1450" s="163"/>
    </row>
    <row r="1451" spans="5:19">
      <c r="E1451" s="163"/>
      <c r="K1451" s="163"/>
      <c r="Q1451" s="163"/>
      <c r="R1451" s="163"/>
      <c r="S1451" s="163"/>
    </row>
    <row r="1452" spans="5:19">
      <c r="E1452" s="163"/>
      <c r="K1452" s="163"/>
      <c r="Q1452" s="163"/>
      <c r="R1452" s="163"/>
      <c r="S1452" s="163"/>
    </row>
    <row r="1453" spans="5:19">
      <c r="E1453" s="163"/>
      <c r="K1453" s="163"/>
      <c r="Q1453" s="163"/>
      <c r="R1453" s="163"/>
      <c r="S1453" s="163"/>
    </row>
    <row r="1454" spans="5:19">
      <c r="E1454" s="163"/>
      <c r="K1454" s="163"/>
      <c r="Q1454" s="163"/>
      <c r="R1454" s="163"/>
      <c r="S1454" s="163"/>
    </row>
    <row r="1455" spans="5:19">
      <c r="E1455" s="163"/>
      <c r="K1455" s="163"/>
      <c r="Q1455" s="163"/>
      <c r="R1455" s="163"/>
      <c r="S1455" s="163"/>
    </row>
    <row r="1456" spans="5:19">
      <c r="E1456" s="163"/>
      <c r="K1456" s="163"/>
      <c r="Q1456" s="163"/>
      <c r="R1456" s="163"/>
      <c r="S1456" s="163"/>
    </row>
    <row r="1457" spans="5:19">
      <c r="E1457" s="163"/>
      <c r="K1457" s="163"/>
      <c r="Q1457" s="163"/>
      <c r="R1457" s="163"/>
      <c r="S1457" s="163"/>
    </row>
    <row r="1458" spans="5:19">
      <c r="E1458" s="163"/>
      <c r="K1458" s="163"/>
      <c r="Q1458" s="163"/>
      <c r="R1458" s="163"/>
      <c r="S1458" s="163"/>
    </row>
    <row r="1459" spans="5:19">
      <c r="E1459" s="163"/>
      <c r="K1459" s="163"/>
      <c r="Q1459" s="163"/>
      <c r="R1459" s="163"/>
      <c r="S1459" s="163"/>
    </row>
    <row r="1460" spans="5:19">
      <c r="E1460" s="163"/>
      <c r="K1460" s="163"/>
      <c r="Q1460" s="163"/>
      <c r="R1460" s="163"/>
      <c r="S1460" s="163"/>
    </row>
    <row r="1461" spans="5:19">
      <c r="E1461" s="163"/>
      <c r="K1461" s="163"/>
      <c r="Q1461" s="163"/>
      <c r="R1461" s="163"/>
      <c r="S1461" s="163"/>
    </row>
    <row r="1462" spans="5:19">
      <c r="E1462" s="163"/>
      <c r="K1462" s="163"/>
      <c r="Q1462" s="163"/>
      <c r="R1462" s="163"/>
      <c r="S1462" s="163"/>
    </row>
    <row r="1463" spans="5:19">
      <c r="E1463" s="163"/>
      <c r="K1463" s="163"/>
      <c r="Q1463" s="163"/>
      <c r="R1463" s="163"/>
      <c r="S1463" s="163"/>
    </row>
    <row r="1464" spans="5:19">
      <c r="E1464" s="163"/>
      <c r="K1464" s="163"/>
      <c r="Q1464" s="163"/>
      <c r="R1464" s="163"/>
      <c r="S1464" s="163"/>
    </row>
    <row r="1465" spans="5:19">
      <c r="E1465" s="163"/>
      <c r="K1465" s="163"/>
      <c r="Q1465" s="163"/>
      <c r="R1465" s="163"/>
      <c r="S1465" s="163"/>
    </row>
    <row r="1466" spans="5:19">
      <c r="E1466" s="163"/>
      <c r="K1466" s="163"/>
      <c r="Q1466" s="163"/>
      <c r="R1466" s="163"/>
      <c r="S1466" s="163"/>
    </row>
    <row r="1467" spans="5:19">
      <c r="E1467" s="163"/>
      <c r="K1467" s="163"/>
      <c r="Q1467" s="163"/>
      <c r="R1467" s="163"/>
      <c r="S1467" s="163"/>
    </row>
    <row r="1468" spans="5:19">
      <c r="E1468" s="163"/>
      <c r="K1468" s="163"/>
      <c r="Q1468" s="163"/>
      <c r="R1468" s="163"/>
      <c r="S1468" s="163"/>
    </row>
    <row r="1469" spans="5:19">
      <c r="E1469" s="163"/>
      <c r="K1469" s="163"/>
      <c r="Q1469" s="163"/>
      <c r="R1469" s="163"/>
      <c r="S1469" s="163"/>
    </row>
    <row r="1470" spans="5:19">
      <c r="E1470" s="163"/>
      <c r="K1470" s="163"/>
      <c r="Q1470" s="163"/>
      <c r="R1470" s="163"/>
      <c r="S1470" s="163"/>
    </row>
    <row r="1471" spans="5:19">
      <c r="E1471" s="163"/>
      <c r="K1471" s="163"/>
      <c r="Q1471" s="163"/>
      <c r="R1471" s="163"/>
      <c r="S1471" s="163"/>
    </row>
    <row r="1472" spans="5:19">
      <c r="E1472" s="163"/>
      <c r="K1472" s="163"/>
      <c r="Q1472" s="163"/>
      <c r="R1472" s="163"/>
      <c r="S1472" s="163"/>
    </row>
    <row r="1473" spans="5:19">
      <c r="E1473" s="163"/>
      <c r="K1473" s="163"/>
      <c r="Q1473" s="163"/>
      <c r="R1473" s="163"/>
      <c r="S1473" s="163"/>
    </row>
    <row r="1474" spans="5:19">
      <c r="E1474" s="163"/>
      <c r="K1474" s="163"/>
      <c r="Q1474" s="163"/>
      <c r="R1474" s="163"/>
      <c r="S1474" s="163"/>
    </row>
    <row r="1475" spans="5:19">
      <c r="E1475" s="163"/>
      <c r="K1475" s="163"/>
      <c r="Q1475" s="163"/>
      <c r="R1475" s="163"/>
      <c r="S1475" s="163"/>
    </row>
    <row r="1476" spans="5:19">
      <c r="E1476" s="163"/>
      <c r="K1476" s="163"/>
      <c r="Q1476" s="163"/>
      <c r="R1476" s="163"/>
      <c r="S1476" s="163"/>
    </row>
    <row r="1477" spans="5:19">
      <c r="E1477" s="163"/>
      <c r="K1477" s="163"/>
      <c r="Q1477" s="163"/>
      <c r="R1477" s="163"/>
      <c r="S1477" s="163"/>
    </row>
    <row r="1478" spans="5:19">
      <c r="E1478" s="163"/>
      <c r="K1478" s="163"/>
      <c r="Q1478" s="163"/>
      <c r="R1478" s="163"/>
      <c r="S1478" s="163"/>
    </row>
    <row r="1479" spans="5:19">
      <c r="E1479" s="163"/>
      <c r="K1479" s="163"/>
      <c r="Q1479" s="163"/>
      <c r="R1479" s="163"/>
      <c r="S1479" s="163"/>
    </row>
    <row r="1480" spans="5:19">
      <c r="E1480" s="163"/>
      <c r="K1480" s="163"/>
      <c r="Q1480" s="163"/>
      <c r="R1480" s="163"/>
      <c r="S1480" s="163"/>
    </row>
    <row r="1481" spans="5:19">
      <c r="E1481" s="163"/>
      <c r="K1481" s="163"/>
      <c r="Q1481" s="163"/>
      <c r="R1481" s="163"/>
      <c r="S1481" s="163"/>
    </row>
    <row r="1482" spans="5:19">
      <c r="E1482" s="163"/>
      <c r="K1482" s="163"/>
      <c r="Q1482" s="163"/>
      <c r="R1482" s="163"/>
      <c r="S1482" s="163"/>
    </row>
    <row r="1483" spans="5:19">
      <c r="E1483" s="163"/>
      <c r="K1483" s="163"/>
      <c r="Q1483" s="163"/>
      <c r="R1483" s="163"/>
      <c r="S1483" s="163"/>
    </row>
    <row r="1484" spans="5:19">
      <c r="E1484" s="163"/>
      <c r="K1484" s="163"/>
      <c r="Q1484" s="163"/>
      <c r="R1484" s="163"/>
      <c r="S1484" s="163"/>
    </row>
    <row r="1485" spans="5:19">
      <c r="E1485" s="163"/>
      <c r="K1485" s="163"/>
      <c r="Q1485" s="163"/>
      <c r="R1485" s="163"/>
      <c r="S1485" s="163"/>
    </row>
    <row r="1486" spans="5:19">
      <c r="E1486" s="163"/>
      <c r="K1486" s="163"/>
      <c r="Q1486" s="163"/>
      <c r="R1486" s="163"/>
      <c r="S1486" s="163"/>
    </row>
    <row r="1487" spans="5:19">
      <c r="E1487" s="163"/>
      <c r="K1487" s="163"/>
      <c r="Q1487" s="163"/>
      <c r="R1487" s="163"/>
      <c r="S1487" s="163"/>
    </row>
    <row r="1488" spans="5:19">
      <c r="E1488" s="163"/>
      <c r="K1488" s="163"/>
      <c r="Q1488" s="163"/>
      <c r="R1488" s="163"/>
      <c r="S1488" s="163"/>
    </row>
    <row r="1489" spans="5:19">
      <c r="E1489" s="163"/>
      <c r="K1489" s="163"/>
      <c r="Q1489" s="163"/>
      <c r="R1489" s="163"/>
      <c r="S1489" s="163"/>
    </row>
    <row r="1490" spans="5:19">
      <c r="E1490" s="163"/>
      <c r="K1490" s="163"/>
      <c r="Q1490" s="163"/>
      <c r="R1490" s="163"/>
      <c r="S1490" s="163"/>
    </row>
    <row r="1491" spans="5:19">
      <c r="E1491" s="163"/>
      <c r="K1491" s="163"/>
      <c r="Q1491" s="163"/>
      <c r="R1491" s="163"/>
      <c r="S1491" s="163"/>
    </row>
    <row r="1492" spans="5:19">
      <c r="E1492" s="163"/>
      <c r="K1492" s="163"/>
      <c r="Q1492" s="163"/>
      <c r="R1492" s="163"/>
      <c r="S1492" s="163"/>
    </row>
    <row r="1493" spans="5:19">
      <c r="E1493" s="163"/>
      <c r="K1493" s="163"/>
      <c r="Q1493" s="163"/>
      <c r="R1493" s="163"/>
      <c r="S1493" s="163"/>
    </row>
    <row r="1494" spans="5:19">
      <c r="E1494" s="163"/>
      <c r="K1494" s="163"/>
      <c r="Q1494" s="163"/>
      <c r="R1494" s="163"/>
      <c r="S1494" s="163"/>
    </row>
    <row r="1495" spans="5:19">
      <c r="E1495" s="163"/>
      <c r="K1495" s="163"/>
      <c r="Q1495" s="163"/>
      <c r="R1495" s="163"/>
      <c r="S1495" s="163"/>
    </row>
    <row r="1496" spans="5:19">
      <c r="E1496" s="163"/>
      <c r="K1496" s="163"/>
      <c r="Q1496" s="163"/>
      <c r="R1496" s="163"/>
      <c r="S1496" s="163"/>
    </row>
    <row r="1497" spans="5:19">
      <c r="E1497" s="163"/>
      <c r="K1497" s="163"/>
      <c r="Q1497" s="163"/>
      <c r="R1497" s="163"/>
      <c r="S1497" s="163"/>
    </row>
    <row r="1498" spans="5:19">
      <c r="E1498" s="163"/>
      <c r="K1498" s="163"/>
      <c r="Q1498" s="163"/>
      <c r="R1498" s="163"/>
      <c r="S1498" s="163"/>
    </row>
    <row r="1499" spans="5:19">
      <c r="E1499" s="163"/>
      <c r="K1499" s="163"/>
      <c r="Q1499" s="163"/>
      <c r="R1499" s="163"/>
      <c r="S1499" s="163"/>
    </row>
    <row r="1500" spans="5:19">
      <c r="E1500" s="163"/>
      <c r="K1500" s="163"/>
      <c r="Q1500" s="163"/>
      <c r="R1500" s="163"/>
      <c r="S1500" s="163"/>
    </row>
    <row r="1501" spans="5:19">
      <c r="E1501" s="163"/>
      <c r="K1501" s="163"/>
      <c r="Q1501" s="163"/>
      <c r="R1501" s="163"/>
      <c r="S1501" s="163"/>
    </row>
    <row r="1502" spans="5:19">
      <c r="E1502" s="163"/>
      <c r="K1502" s="163"/>
      <c r="Q1502" s="163"/>
      <c r="R1502" s="163"/>
      <c r="S1502" s="163"/>
    </row>
    <row r="1503" spans="5:19">
      <c r="E1503" s="163"/>
      <c r="K1503" s="163"/>
      <c r="Q1503" s="163"/>
      <c r="R1503" s="163"/>
      <c r="S1503" s="163"/>
    </row>
    <row r="1504" spans="5:19">
      <c r="E1504" s="163"/>
      <c r="K1504" s="163"/>
      <c r="Q1504" s="163"/>
      <c r="R1504" s="163"/>
      <c r="S1504" s="163"/>
    </row>
    <row r="1505" spans="5:19">
      <c r="E1505" s="163"/>
      <c r="K1505" s="163"/>
      <c r="Q1505" s="163"/>
      <c r="R1505" s="163"/>
      <c r="S1505" s="163"/>
    </row>
    <row r="1506" spans="5:19">
      <c r="E1506" s="163"/>
      <c r="K1506" s="163"/>
      <c r="Q1506" s="163"/>
      <c r="R1506" s="163"/>
      <c r="S1506" s="163"/>
    </row>
    <row r="1507" spans="5:19">
      <c r="E1507" s="163"/>
      <c r="K1507" s="163"/>
      <c r="Q1507" s="163"/>
      <c r="R1507" s="163"/>
      <c r="S1507" s="163"/>
    </row>
    <row r="1508" spans="5:19">
      <c r="E1508" s="163"/>
      <c r="K1508" s="163"/>
      <c r="Q1508" s="163"/>
      <c r="R1508" s="163"/>
      <c r="S1508" s="163"/>
    </row>
    <row r="1509" spans="5:19">
      <c r="E1509" s="163"/>
      <c r="K1509" s="163"/>
      <c r="Q1509" s="163"/>
      <c r="R1509" s="163"/>
      <c r="S1509" s="163"/>
    </row>
    <row r="1510" spans="5:19">
      <c r="E1510" s="163"/>
      <c r="K1510" s="163"/>
      <c r="Q1510" s="163"/>
      <c r="R1510" s="163"/>
      <c r="S1510" s="163"/>
    </row>
    <row r="1511" spans="5:19">
      <c r="E1511" s="163"/>
      <c r="K1511" s="163"/>
      <c r="Q1511" s="163"/>
      <c r="R1511" s="163"/>
      <c r="S1511" s="163"/>
    </row>
    <row r="1512" spans="5:19">
      <c r="E1512" s="163"/>
      <c r="K1512" s="163"/>
      <c r="Q1512" s="163"/>
      <c r="R1512" s="163"/>
      <c r="S1512" s="163"/>
    </row>
    <row r="1513" spans="5:19">
      <c r="E1513" s="163"/>
      <c r="K1513" s="163"/>
      <c r="Q1513" s="163"/>
      <c r="R1513" s="163"/>
      <c r="S1513" s="163"/>
    </row>
    <row r="1514" spans="5:19">
      <c r="E1514" s="163"/>
      <c r="K1514" s="163"/>
      <c r="Q1514" s="163"/>
      <c r="R1514" s="163"/>
      <c r="S1514" s="163"/>
    </row>
    <row r="1515" spans="5:19">
      <c r="E1515" s="163"/>
      <c r="K1515" s="163"/>
      <c r="Q1515" s="163"/>
      <c r="R1515" s="163"/>
      <c r="S1515" s="163"/>
    </row>
    <row r="1516" spans="5:19">
      <c r="E1516" s="163"/>
      <c r="K1516" s="163"/>
      <c r="Q1516" s="163"/>
      <c r="R1516" s="163"/>
      <c r="S1516" s="163"/>
    </row>
    <row r="1517" spans="5:19">
      <c r="E1517" s="163"/>
      <c r="K1517" s="163"/>
      <c r="Q1517" s="163"/>
      <c r="R1517" s="163"/>
      <c r="S1517" s="163"/>
    </row>
    <row r="1518" spans="5:19">
      <c r="E1518" s="163"/>
      <c r="K1518" s="163"/>
      <c r="Q1518" s="163"/>
      <c r="R1518" s="163"/>
      <c r="S1518" s="163"/>
    </row>
    <row r="1519" spans="5:19">
      <c r="E1519" s="163"/>
      <c r="K1519" s="163"/>
      <c r="Q1519" s="163"/>
      <c r="R1519" s="163"/>
      <c r="S1519" s="163"/>
    </row>
    <row r="1520" spans="5:19">
      <c r="E1520" s="163"/>
      <c r="K1520" s="163"/>
      <c r="Q1520" s="163"/>
      <c r="R1520" s="163"/>
      <c r="S1520" s="163"/>
    </row>
    <row r="1521" spans="5:19">
      <c r="E1521" s="163"/>
      <c r="K1521" s="163"/>
      <c r="Q1521" s="163"/>
      <c r="R1521" s="163"/>
      <c r="S1521" s="163"/>
    </row>
    <row r="1522" spans="5:19">
      <c r="E1522" s="163"/>
      <c r="K1522" s="163"/>
      <c r="Q1522" s="163"/>
      <c r="R1522" s="163"/>
      <c r="S1522" s="163"/>
    </row>
    <row r="1523" spans="5:19">
      <c r="E1523" s="163"/>
      <c r="K1523" s="163"/>
      <c r="Q1523" s="163"/>
      <c r="R1523" s="163"/>
      <c r="S1523" s="163"/>
    </row>
    <row r="1524" spans="5:19">
      <c r="E1524" s="163"/>
      <c r="K1524" s="163"/>
      <c r="Q1524" s="163"/>
      <c r="R1524" s="163"/>
      <c r="S1524" s="163"/>
    </row>
    <row r="1525" spans="5:19">
      <c r="E1525" s="163"/>
      <c r="K1525" s="163"/>
      <c r="Q1525" s="163"/>
      <c r="R1525" s="163"/>
      <c r="S1525" s="163"/>
    </row>
    <row r="1526" spans="5:19">
      <c r="E1526" s="163"/>
      <c r="K1526" s="163"/>
      <c r="Q1526" s="163"/>
      <c r="R1526" s="163"/>
      <c r="S1526" s="163"/>
    </row>
    <row r="1527" spans="5:19">
      <c r="E1527" s="163"/>
      <c r="K1527" s="163"/>
      <c r="Q1527" s="163"/>
      <c r="R1527" s="163"/>
      <c r="S1527" s="163"/>
    </row>
    <row r="1528" spans="5:19">
      <c r="E1528" s="163"/>
      <c r="K1528" s="163"/>
      <c r="Q1528" s="163"/>
      <c r="R1528" s="163"/>
      <c r="S1528" s="163"/>
    </row>
    <row r="1529" spans="5:19">
      <c r="E1529" s="163"/>
      <c r="K1529" s="163"/>
      <c r="Q1529" s="163"/>
      <c r="R1529" s="163"/>
      <c r="S1529" s="163"/>
    </row>
    <row r="1530" spans="5:19">
      <c r="E1530" s="163"/>
      <c r="K1530" s="163"/>
      <c r="Q1530" s="163"/>
      <c r="R1530" s="163"/>
      <c r="S1530" s="163"/>
    </row>
    <row r="1531" spans="5:19">
      <c r="E1531" s="163"/>
      <c r="K1531" s="163"/>
      <c r="Q1531" s="163"/>
      <c r="R1531" s="163"/>
      <c r="S1531" s="163"/>
    </row>
    <row r="1532" spans="5:19">
      <c r="E1532" s="163"/>
      <c r="K1532" s="163"/>
      <c r="Q1532" s="163"/>
      <c r="R1532" s="163"/>
      <c r="S1532" s="163"/>
    </row>
    <row r="1533" spans="5:19">
      <c r="E1533" s="163"/>
      <c r="K1533" s="163"/>
      <c r="Q1533" s="163"/>
      <c r="R1533" s="163"/>
      <c r="S1533" s="163"/>
    </row>
    <row r="1534" spans="5:19">
      <c r="E1534" s="163"/>
      <c r="K1534" s="163"/>
      <c r="Q1534" s="163"/>
      <c r="R1534" s="163"/>
      <c r="S1534" s="163"/>
    </row>
    <row r="1535" spans="5:19">
      <c r="E1535" s="163"/>
      <c r="K1535" s="163"/>
      <c r="Q1535" s="163"/>
      <c r="R1535" s="163"/>
      <c r="S1535" s="163"/>
    </row>
    <row r="1536" spans="5:19">
      <c r="E1536" s="163"/>
      <c r="K1536" s="163"/>
      <c r="Q1536" s="163"/>
      <c r="R1536" s="163"/>
      <c r="S1536" s="163"/>
    </row>
    <row r="1537" spans="5:19">
      <c r="E1537" s="163"/>
      <c r="K1537" s="163"/>
      <c r="Q1537" s="163"/>
      <c r="R1537" s="163"/>
      <c r="S1537" s="163"/>
    </row>
    <row r="1538" spans="5:19">
      <c r="E1538" s="163"/>
      <c r="K1538" s="163"/>
      <c r="Q1538" s="163"/>
      <c r="R1538" s="163"/>
      <c r="S1538" s="163"/>
    </row>
    <row r="1539" spans="5:19">
      <c r="E1539" s="163"/>
      <c r="K1539" s="163"/>
      <c r="Q1539" s="163"/>
      <c r="R1539" s="163"/>
      <c r="S1539" s="163"/>
    </row>
    <row r="1540" spans="5:19">
      <c r="E1540" s="163"/>
      <c r="K1540" s="163"/>
      <c r="Q1540" s="163"/>
      <c r="R1540" s="163"/>
      <c r="S1540" s="163"/>
    </row>
    <row r="1541" spans="5:19">
      <c r="E1541" s="163"/>
      <c r="K1541" s="163"/>
      <c r="Q1541" s="163"/>
      <c r="R1541" s="163"/>
      <c r="S1541" s="163"/>
    </row>
    <row r="1542" spans="5:19">
      <c r="E1542" s="163"/>
      <c r="K1542" s="163"/>
      <c r="Q1542" s="163"/>
      <c r="R1542" s="163"/>
      <c r="S1542" s="163"/>
    </row>
    <row r="1543" spans="5:19">
      <c r="E1543" s="163"/>
      <c r="K1543" s="163"/>
      <c r="Q1543" s="163"/>
      <c r="R1543" s="163"/>
      <c r="S1543" s="163"/>
    </row>
    <row r="1544" spans="5:19">
      <c r="E1544" s="163"/>
      <c r="K1544" s="163"/>
      <c r="Q1544" s="163"/>
      <c r="R1544" s="163"/>
      <c r="S1544" s="163"/>
    </row>
    <row r="1545" spans="5:19">
      <c r="E1545" s="163"/>
      <c r="K1545" s="163"/>
      <c r="Q1545" s="163"/>
      <c r="R1545" s="163"/>
      <c r="S1545" s="163"/>
    </row>
    <row r="1546" spans="5:19">
      <c r="E1546" s="163"/>
      <c r="K1546" s="163"/>
      <c r="Q1546" s="163"/>
      <c r="R1546" s="163"/>
      <c r="S1546" s="163"/>
    </row>
    <row r="1547" spans="5:19">
      <c r="E1547" s="163"/>
      <c r="K1547" s="163"/>
      <c r="Q1547" s="163"/>
      <c r="R1547" s="163"/>
      <c r="S1547" s="163"/>
    </row>
    <row r="1548" spans="5:19">
      <c r="E1548" s="163"/>
      <c r="K1548" s="163"/>
      <c r="Q1548" s="163"/>
      <c r="R1548" s="163"/>
      <c r="S1548" s="163"/>
    </row>
    <row r="1549" spans="5:19">
      <c r="E1549" s="163"/>
      <c r="K1549" s="163"/>
      <c r="Q1549" s="163"/>
      <c r="R1549" s="163"/>
      <c r="S1549" s="163"/>
    </row>
    <row r="1550" spans="5:19">
      <c r="E1550" s="163"/>
      <c r="K1550" s="163"/>
      <c r="Q1550" s="163"/>
      <c r="R1550" s="163"/>
      <c r="S1550" s="163"/>
    </row>
    <row r="1551" spans="5:19">
      <c r="E1551" s="163"/>
      <c r="K1551" s="163"/>
      <c r="Q1551" s="163"/>
      <c r="R1551" s="163"/>
      <c r="S1551" s="163"/>
    </row>
    <row r="1552" spans="5:19">
      <c r="E1552" s="163"/>
      <c r="K1552" s="163"/>
      <c r="Q1552" s="163"/>
      <c r="R1552" s="163"/>
      <c r="S1552" s="163"/>
    </row>
    <row r="1553" spans="5:19">
      <c r="E1553" s="163"/>
      <c r="K1553" s="163"/>
      <c r="Q1553" s="163"/>
      <c r="R1553" s="163"/>
      <c r="S1553" s="163"/>
    </row>
    <row r="1554" spans="5:19">
      <c r="E1554" s="163"/>
      <c r="K1554" s="163"/>
      <c r="Q1554" s="163"/>
      <c r="R1554" s="163"/>
      <c r="S1554" s="163"/>
    </row>
    <row r="1555" spans="5:19">
      <c r="E1555" s="163"/>
      <c r="K1555" s="163"/>
      <c r="Q1555" s="163"/>
      <c r="R1555" s="163"/>
      <c r="S1555" s="163"/>
    </row>
    <row r="1556" spans="5:19">
      <c r="E1556" s="163"/>
      <c r="K1556" s="163"/>
      <c r="Q1556" s="163"/>
      <c r="R1556" s="163"/>
      <c r="S1556" s="163"/>
    </row>
    <row r="1557" spans="5:19">
      <c r="E1557" s="163"/>
      <c r="K1557" s="163"/>
      <c r="Q1557" s="163"/>
      <c r="R1557" s="163"/>
      <c r="S1557" s="163"/>
    </row>
    <row r="1558" spans="5:19">
      <c r="E1558" s="163"/>
      <c r="K1558" s="163"/>
      <c r="Q1558" s="163"/>
      <c r="R1558" s="163"/>
      <c r="S1558" s="163"/>
    </row>
    <row r="1559" spans="5:19">
      <c r="E1559" s="163"/>
      <c r="K1559" s="163"/>
      <c r="Q1559" s="163"/>
      <c r="R1559" s="163"/>
      <c r="S1559" s="163"/>
    </row>
    <row r="1560" spans="5:19">
      <c r="E1560" s="163"/>
      <c r="K1560" s="163"/>
      <c r="Q1560" s="163"/>
      <c r="R1560" s="163"/>
      <c r="S1560" s="163"/>
    </row>
    <row r="1561" spans="5:19">
      <c r="E1561" s="163"/>
      <c r="K1561" s="163"/>
      <c r="Q1561" s="163"/>
      <c r="R1561" s="163"/>
      <c r="S1561" s="163"/>
    </row>
    <row r="1562" spans="5:19">
      <c r="E1562" s="163"/>
      <c r="K1562" s="163"/>
      <c r="Q1562" s="163"/>
      <c r="R1562" s="163"/>
      <c r="S1562" s="163"/>
    </row>
    <row r="1563" spans="5:19">
      <c r="E1563" s="163"/>
      <c r="K1563" s="163"/>
      <c r="Q1563" s="163"/>
      <c r="R1563" s="163"/>
      <c r="S1563" s="163"/>
    </row>
    <row r="1564" spans="5:19">
      <c r="E1564" s="163"/>
      <c r="K1564" s="163"/>
      <c r="Q1564" s="163"/>
      <c r="R1564" s="163"/>
      <c r="S1564" s="163"/>
    </row>
    <row r="1565" spans="5:19">
      <c r="E1565" s="163"/>
      <c r="K1565" s="163"/>
      <c r="Q1565" s="163"/>
      <c r="R1565" s="163"/>
      <c r="S1565" s="163"/>
    </row>
    <row r="1566" spans="5:19">
      <c r="E1566" s="163"/>
      <c r="K1566" s="163"/>
      <c r="Q1566" s="163"/>
      <c r="R1566" s="163"/>
      <c r="S1566" s="163"/>
    </row>
    <row r="1567" spans="5:19">
      <c r="E1567" s="163"/>
      <c r="K1567" s="163"/>
      <c r="Q1567" s="163"/>
      <c r="R1567" s="163"/>
      <c r="S1567" s="163"/>
    </row>
    <row r="1568" spans="5:19">
      <c r="E1568" s="163"/>
      <c r="K1568" s="163"/>
      <c r="Q1568" s="163"/>
      <c r="R1568" s="163"/>
      <c r="S1568" s="163"/>
    </row>
    <row r="1569" spans="5:19">
      <c r="E1569" s="163"/>
      <c r="K1569" s="163"/>
      <c r="Q1569" s="163"/>
      <c r="R1569" s="163"/>
      <c r="S1569" s="163"/>
    </row>
    <row r="1570" spans="5:19">
      <c r="E1570" s="163"/>
      <c r="K1570" s="163"/>
      <c r="Q1570" s="163"/>
      <c r="R1570" s="163"/>
      <c r="S1570" s="163"/>
    </row>
    <row r="1571" spans="5:19">
      <c r="E1571" s="163"/>
      <c r="K1571" s="163"/>
      <c r="Q1571" s="163"/>
      <c r="R1571" s="163"/>
      <c r="S1571" s="163"/>
    </row>
    <row r="1572" spans="5:19">
      <c r="E1572" s="163"/>
      <c r="K1572" s="163"/>
      <c r="Q1572" s="163"/>
      <c r="R1572" s="163"/>
      <c r="S1572" s="163"/>
    </row>
    <row r="1573" spans="5:19">
      <c r="E1573" s="163"/>
      <c r="K1573" s="163"/>
      <c r="Q1573" s="163"/>
      <c r="R1573" s="163"/>
      <c r="S1573" s="163"/>
    </row>
    <row r="1574" spans="5:19">
      <c r="E1574" s="163"/>
      <c r="K1574" s="163"/>
      <c r="Q1574" s="163"/>
      <c r="R1574" s="163"/>
      <c r="S1574" s="163"/>
    </row>
    <row r="1575" spans="5:19">
      <c r="E1575" s="163"/>
      <c r="K1575" s="163"/>
      <c r="Q1575" s="163"/>
      <c r="R1575" s="163"/>
      <c r="S1575" s="163"/>
    </row>
    <row r="1576" spans="5:19">
      <c r="E1576" s="163"/>
      <c r="K1576" s="163"/>
      <c r="Q1576" s="163"/>
      <c r="R1576" s="163"/>
      <c r="S1576" s="163"/>
    </row>
    <row r="1577" spans="5:19">
      <c r="E1577" s="163"/>
      <c r="K1577" s="163"/>
      <c r="Q1577" s="163"/>
      <c r="R1577" s="163"/>
      <c r="S1577" s="163"/>
    </row>
    <row r="1578" spans="5:19">
      <c r="E1578" s="163"/>
      <c r="K1578" s="163"/>
      <c r="Q1578" s="163"/>
      <c r="R1578" s="163"/>
      <c r="S1578" s="163"/>
    </row>
    <row r="1579" spans="5:19">
      <c r="E1579" s="163"/>
      <c r="K1579" s="163"/>
      <c r="Q1579" s="163"/>
      <c r="R1579" s="163"/>
      <c r="S1579" s="163"/>
    </row>
    <row r="1580" spans="5:19">
      <c r="E1580" s="163"/>
      <c r="K1580" s="163"/>
      <c r="Q1580" s="163"/>
      <c r="R1580" s="163"/>
      <c r="S1580" s="163"/>
    </row>
    <row r="1581" spans="5:19">
      <c r="E1581" s="163"/>
      <c r="K1581" s="163"/>
      <c r="Q1581" s="163"/>
      <c r="R1581" s="163"/>
      <c r="S1581" s="163"/>
    </row>
    <row r="1582" spans="5:19">
      <c r="E1582" s="163"/>
      <c r="K1582" s="163"/>
      <c r="Q1582" s="163"/>
      <c r="R1582" s="163"/>
      <c r="S1582" s="163"/>
    </row>
    <row r="1583" spans="5:19">
      <c r="E1583" s="163"/>
      <c r="K1583" s="163"/>
      <c r="Q1583" s="163"/>
      <c r="R1583" s="163"/>
      <c r="S1583" s="163"/>
    </row>
    <row r="1584" spans="5:19">
      <c r="E1584" s="163"/>
      <c r="K1584" s="163"/>
      <c r="Q1584" s="163"/>
      <c r="R1584" s="163"/>
      <c r="S1584" s="163"/>
    </row>
    <row r="1585" spans="5:19">
      <c r="E1585" s="163"/>
      <c r="K1585" s="163"/>
      <c r="Q1585" s="163"/>
      <c r="R1585" s="163"/>
      <c r="S1585" s="163"/>
    </row>
    <row r="1586" spans="5:19">
      <c r="E1586" s="163"/>
      <c r="K1586" s="163"/>
      <c r="Q1586" s="163"/>
      <c r="R1586" s="163"/>
      <c r="S1586" s="163"/>
    </row>
    <row r="1587" spans="5:19">
      <c r="E1587" s="163"/>
      <c r="K1587" s="163"/>
      <c r="Q1587" s="163"/>
      <c r="R1587" s="163"/>
      <c r="S1587" s="163"/>
    </row>
    <row r="1588" spans="5:19">
      <c r="E1588" s="163"/>
      <c r="K1588" s="163"/>
      <c r="Q1588" s="163"/>
      <c r="R1588" s="163"/>
      <c r="S1588" s="163"/>
    </row>
    <row r="1589" spans="5:19">
      <c r="E1589" s="163"/>
      <c r="K1589" s="163"/>
      <c r="Q1589" s="163"/>
      <c r="R1589" s="163"/>
      <c r="S1589" s="163"/>
    </row>
    <row r="1590" spans="5:19">
      <c r="E1590" s="163"/>
      <c r="K1590" s="163"/>
      <c r="Q1590" s="163"/>
      <c r="R1590" s="163"/>
      <c r="S1590" s="163"/>
    </row>
    <row r="1591" spans="5:19">
      <c r="E1591" s="163"/>
      <c r="K1591" s="163"/>
      <c r="Q1591" s="163"/>
      <c r="R1591" s="163"/>
      <c r="S1591" s="163"/>
    </row>
    <row r="1592" spans="5:19">
      <c r="E1592" s="163"/>
      <c r="K1592" s="163"/>
      <c r="Q1592" s="163"/>
      <c r="R1592" s="163"/>
      <c r="S1592" s="163"/>
    </row>
    <row r="1593" spans="5:19">
      <c r="E1593" s="163"/>
      <c r="K1593" s="163"/>
      <c r="Q1593" s="163"/>
      <c r="R1593" s="163"/>
      <c r="S1593" s="163"/>
    </row>
    <row r="1594" spans="5:19">
      <c r="E1594" s="163"/>
      <c r="K1594" s="163"/>
      <c r="Q1594" s="163"/>
      <c r="R1594" s="163"/>
      <c r="S1594" s="163"/>
    </row>
    <row r="1595" spans="5:19">
      <c r="E1595" s="163"/>
      <c r="K1595" s="163"/>
      <c r="Q1595" s="163"/>
      <c r="R1595" s="163"/>
      <c r="S1595" s="163"/>
    </row>
    <row r="1596" spans="5:19">
      <c r="E1596" s="163"/>
      <c r="K1596" s="163"/>
      <c r="Q1596" s="163"/>
      <c r="R1596" s="163"/>
      <c r="S1596" s="163"/>
    </row>
    <row r="1597" spans="5:19">
      <c r="E1597" s="163"/>
      <c r="K1597" s="163"/>
      <c r="Q1597" s="163"/>
      <c r="R1597" s="163"/>
      <c r="S1597" s="163"/>
    </row>
    <row r="1598" spans="5:19">
      <c r="E1598" s="163"/>
      <c r="K1598" s="163"/>
      <c r="Q1598" s="163"/>
      <c r="R1598" s="163"/>
      <c r="S1598" s="163"/>
    </row>
    <row r="1599" spans="5:19">
      <c r="E1599" s="163"/>
      <c r="K1599" s="163"/>
      <c r="Q1599" s="163"/>
      <c r="R1599" s="163"/>
      <c r="S1599" s="163"/>
    </row>
    <row r="1600" spans="5:19">
      <c r="E1600" s="163"/>
      <c r="K1600" s="163"/>
      <c r="Q1600" s="163"/>
      <c r="R1600" s="163"/>
      <c r="S1600" s="163"/>
    </row>
    <row r="1601" spans="5:19">
      <c r="E1601" s="163"/>
      <c r="K1601" s="163"/>
      <c r="Q1601" s="163"/>
      <c r="R1601" s="163"/>
      <c r="S1601" s="163"/>
    </row>
    <row r="1602" spans="5:19">
      <c r="E1602" s="163"/>
      <c r="K1602" s="163"/>
      <c r="Q1602" s="163"/>
      <c r="R1602" s="163"/>
      <c r="S1602" s="163"/>
    </row>
    <row r="1603" spans="5:19">
      <c r="E1603" s="163"/>
      <c r="K1603" s="163"/>
      <c r="Q1603" s="163"/>
      <c r="R1603" s="163"/>
      <c r="S1603" s="163"/>
    </row>
    <row r="1604" spans="5:19">
      <c r="E1604" s="163"/>
      <c r="K1604" s="163"/>
      <c r="Q1604" s="163"/>
      <c r="R1604" s="163"/>
      <c r="S1604" s="163"/>
    </row>
    <row r="1605" spans="5:19">
      <c r="E1605" s="163"/>
      <c r="K1605" s="163"/>
      <c r="Q1605" s="163"/>
      <c r="R1605" s="163"/>
      <c r="S1605" s="163"/>
    </row>
    <row r="1606" spans="5:19">
      <c r="E1606" s="163"/>
      <c r="K1606" s="163"/>
      <c r="Q1606" s="163"/>
      <c r="R1606" s="163"/>
      <c r="S1606" s="163"/>
    </row>
    <row r="1607" spans="5:19">
      <c r="E1607" s="163"/>
      <c r="K1607" s="163"/>
      <c r="Q1607" s="163"/>
      <c r="R1607" s="163"/>
      <c r="S1607" s="163"/>
    </row>
    <row r="1608" spans="5:19">
      <c r="E1608" s="163"/>
      <c r="K1608" s="163"/>
      <c r="Q1608" s="163"/>
      <c r="R1608" s="163"/>
      <c r="S1608" s="163"/>
    </row>
    <row r="1609" spans="5:19">
      <c r="E1609" s="163"/>
      <c r="K1609" s="163"/>
      <c r="Q1609" s="163"/>
      <c r="R1609" s="163"/>
      <c r="S1609" s="163"/>
    </row>
    <row r="1610" spans="5:19">
      <c r="E1610" s="163"/>
      <c r="K1610" s="163"/>
      <c r="Q1610" s="163"/>
      <c r="R1610" s="163"/>
      <c r="S1610" s="163"/>
    </row>
    <row r="1611" spans="5:19">
      <c r="E1611" s="163"/>
      <c r="K1611" s="163"/>
      <c r="Q1611" s="163"/>
      <c r="R1611" s="163"/>
      <c r="S1611" s="163"/>
    </row>
    <row r="1612" spans="5:19">
      <c r="E1612" s="163"/>
      <c r="K1612" s="163"/>
      <c r="Q1612" s="163"/>
      <c r="R1612" s="163"/>
      <c r="S1612" s="163"/>
    </row>
    <row r="1613" spans="5:19">
      <c r="E1613" s="163"/>
      <c r="K1613" s="163"/>
      <c r="Q1613" s="163"/>
      <c r="R1613" s="163"/>
      <c r="S1613" s="163"/>
    </row>
    <row r="1614" spans="5:19">
      <c r="E1614" s="163"/>
      <c r="K1614" s="163"/>
      <c r="Q1614" s="163"/>
      <c r="R1614" s="163"/>
      <c r="S1614" s="163"/>
    </row>
    <row r="1615" spans="5:19">
      <c r="E1615" s="163"/>
      <c r="K1615" s="163"/>
      <c r="Q1615" s="163"/>
      <c r="R1615" s="163"/>
      <c r="S1615" s="163"/>
    </row>
    <row r="1616" spans="5:19">
      <c r="E1616" s="163"/>
      <c r="K1616" s="163"/>
      <c r="Q1616" s="163"/>
      <c r="R1616" s="163"/>
      <c r="S1616" s="163"/>
    </row>
    <row r="1617" spans="5:19">
      <c r="E1617" s="163"/>
      <c r="K1617" s="163"/>
      <c r="Q1617" s="163"/>
      <c r="R1617" s="163"/>
      <c r="S1617" s="163"/>
    </row>
    <row r="1618" spans="5:19">
      <c r="E1618" s="163"/>
      <c r="K1618" s="163"/>
      <c r="Q1618" s="163"/>
      <c r="R1618" s="163"/>
      <c r="S1618" s="163"/>
    </row>
    <row r="1619" spans="5:19">
      <c r="E1619" s="163"/>
      <c r="K1619" s="163"/>
      <c r="Q1619" s="163"/>
      <c r="R1619" s="163"/>
      <c r="S1619" s="163"/>
    </row>
    <row r="1620" spans="5:19">
      <c r="E1620" s="163"/>
      <c r="K1620" s="163"/>
      <c r="Q1620" s="163"/>
      <c r="R1620" s="163"/>
      <c r="S1620" s="163"/>
    </row>
    <row r="1621" spans="5:19">
      <c r="E1621" s="163"/>
      <c r="K1621" s="163"/>
      <c r="Q1621" s="163"/>
      <c r="R1621" s="163"/>
      <c r="S1621" s="163"/>
    </row>
    <row r="1622" spans="5:19">
      <c r="E1622" s="163"/>
      <c r="K1622" s="163"/>
      <c r="Q1622" s="163"/>
      <c r="R1622" s="163"/>
      <c r="S1622" s="163"/>
    </row>
    <row r="1623" spans="5:19">
      <c r="E1623" s="163"/>
      <c r="K1623" s="163"/>
      <c r="Q1623" s="163"/>
      <c r="R1623" s="163"/>
      <c r="S1623" s="163"/>
    </row>
    <row r="1624" spans="5:19">
      <c r="E1624" s="163"/>
      <c r="K1624" s="163"/>
      <c r="Q1624" s="163"/>
      <c r="R1624" s="163"/>
      <c r="S1624" s="163"/>
    </row>
    <row r="1625" spans="5:19">
      <c r="E1625" s="163"/>
      <c r="K1625" s="163"/>
      <c r="Q1625" s="163"/>
      <c r="R1625" s="163"/>
      <c r="S1625" s="163"/>
    </row>
    <row r="1626" spans="5:19">
      <c r="E1626" s="163"/>
      <c r="K1626" s="163"/>
      <c r="Q1626" s="163"/>
      <c r="R1626" s="163"/>
      <c r="S1626" s="163"/>
    </row>
    <row r="1627" spans="5:19">
      <c r="E1627" s="163"/>
      <c r="K1627" s="163"/>
      <c r="Q1627" s="163"/>
      <c r="R1627" s="163"/>
      <c r="S1627" s="163"/>
    </row>
    <row r="1628" spans="5:19">
      <c r="E1628" s="163"/>
      <c r="K1628" s="163"/>
      <c r="Q1628" s="163"/>
      <c r="R1628" s="163"/>
      <c r="S1628" s="163"/>
    </row>
    <row r="1629" spans="5:19">
      <c r="E1629" s="163"/>
      <c r="K1629" s="163"/>
      <c r="Q1629" s="163"/>
      <c r="R1629" s="163"/>
      <c r="S1629" s="163"/>
    </row>
    <row r="1630" spans="5:19">
      <c r="E1630" s="163"/>
      <c r="K1630" s="163"/>
      <c r="Q1630" s="163"/>
      <c r="R1630" s="163"/>
      <c r="S1630" s="163"/>
    </row>
    <row r="1631" spans="5:19">
      <c r="E1631" s="163"/>
      <c r="K1631" s="163"/>
      <c r="Q1631" s="163"/>
      <c r="R1631" s="163"/>
      <c r="S1631" s="163"/>
    </row>
    <row r="1632" spans="5:19">
      <c r="E1632" s="163"/>
      <c r="K1632" s="163"/>
      <c r="Q1632" s="163"/>
      <c r="R1632" s="163"/>
      <c r="S1632" s="163"/>
    </row>
    <row r="1633" spans="5:19">
      <c r="E1633" s="163"/>
      <c r="K1633" s="163"/>
      <c r="Q1633" s="163"/>
      <c r="R1633" s="163"/>
      <c r="S1633" s="163"/>
    </row>
    <row r="1634" spans="5:19">
      <c r="E1634" s="163"/>
      <c r="K1634" s="163"/>
      <c r="Q1634" s="163"/>
      <c r="R1634" s="163"/>
      <c r="S1634" s="163"/>
    </row>
    <row r="1635" spans="5:19">
      <c r="E1635" s="163"/>
      <c r="K1635" s="163"/>
      <c r="Q1635" s="163"/>
      <c r="R1635" s="163"/>
      <c r="S1635" s="163"/>
    </row>
    <row r="1636" spans="5:19">
      <c r="E1636" s="163"/>
      <c r="K1636" s="163"/>
      <c r="Q1636" s="163"/>
      <c r="R1636" s="163"/>
      <c r="S1636" s="163"/>
    </row>
    <row r="1637" spans="5:19">
      <c r="E1637" s="163"/>
      <c r="K1637" s="163"/>
      <c r="Q1637" s="163"/>
      <c r="R1637" s="163"/>
      <c r="S1637" s="163"/>
    </row>
    <row r="1638" spans="5:19">
      <c r="E1638" s="163"/>
      <c r="K1638" s="163"/>
      <c r="Q1638" s="163"/>
      <c r="R1638" s="163"/>
      <c r="S1638" s="163"/>
    </row>
    <row r="1639" spans="5:19">
      <c r="E1639" s="163"/>
      <c r="K1639" s="163"/>
      <c r="Q1639" s="163"/>
      <c r="R1639" s="163"/>
      <c r="S1639" s="163"/>
    </row>
    <row r="1640" spans="5:19">
      <c r="E1640" s="163"/>
      <c r="K1640" s="163"/>
      <c r="Q1640" s="163"/>
      <c r="R1640" s="163"/>
      <c r="S1640" s="163"/>
    </row>
    <row r="1641" spans="5:19">
      <c r="E1641" s="163"/>
      <c r="K1641" s="163"/>
      <c r="Q1641" s="163"/>
      <c r="R1641" s="163"/>
      <c r="S1641" s="163"/>
    </row>
    <row r="1642" spans="5:19">
      <c r="E1642" s="163"/>
      <c r="K1642" s="163"/>
      <c r="Q1642" s="163"/>
      <c r="R1642" s="163"/>
      <c r="S1642" s="163"/>
    </row>
    <row r="1643" spans="5:19">
      <c r="E1643" s="163"/>
      <c r="K1643" s="163"/>
      <c r="Q1643" s="163"/>
      <c r="R1643" s="163"/>
      <c r="S1643" s="163"/>
    </row>
    <row r="1644" spans="5:19">
      <c r="E1644" s="163"/>
      <c r="K1644" s="163"/>
      <c r="Q1644" s="163"/>
      <c r="R1644" s="163"/>
      <c r="S1644" s="163"/>
    </row>
    <row r="1645" spans="5:19">
      <c r="E1645" s="163"/>
      <c r="K1645" s="163"/>
      <c r="Q1645" s="163"/>
      <c r="R1645" s="163"/>
      <c r="S1645" s="163"/>
    </row>
    <row r="1646" spans="5:19">
      <c r="E1646" s="163"/>
      <c r="K1646" s="163"/>
      <c r="Q1646" s="163"/>
      <c r="R1646" s="163"/>
      <c r="S1646" s="163"/>
    </row>
    <row r="1647" spans="5:19">
      <c r="E1647" s="163"/>
      <c r="K1647" s="163"/>
      <c r="Q1647" s="163"/>
      <c r="R1647" s="163"/>
      <c r="S1647" s="163"/>
    </row>
    <row r="1648" spans="5:19">
      <c r="E1648" s="163"/>
      <c r="K1648" s="163"/>
      <c r="Q1648" s="163"/>
      <c r="R1648" s="163"/>
      <c r="S1648" s="163"/>
    </row>
    <row r="1649" spans="5:19">
      <c r="E1649" s="163"/>
      <c r="K1649" s="163"/>
      <c r="Q1649" s="163"/>
      <c r="R1649" s="163"/>
      <c r="S1649" s="163"/>
    </row>
    <row r="1650" spans="5:19">
      <c r="E1650" s="163"/>
      <c r="K1650" s="163"/>
      <c r="Q1650" s="163"/>
      <c r="R1650" s="163"/>
      <c r="S1650" s="163"/>
    </row>
    <row r="1651" spans="5:19">
      <c r="E1651" s="163"/>
      <c r="K1651" s="163"/>
      <c r="Q1651" s="163"/>
      <c r="R1651" s="163"/>
      <c r="S1651" s="163"/>
    </row>
    <row r="1652" spans="5:19">
      <c r="E1652" s="163"/>
      <c r="K1652" s="163"/>
      <c r="Q1652" s="163"/>
      <c r="R1652" s="163"/>
      <c r="S1652" s="163"/>
    </row>
    <row r="1653" spans="5:19">
      <c r="E1653" s="163"/>
      <c r="K1653" s="163"/>
      <c r="Q1653" s="163"/>
      <c r="R1653" s="163"/>
      <c r="S1653" s="163"/>
    </row>
    <row r="1654" spans="5:19">
      <c r="E1654" s="163"/>
      <c r="K1654" s="163"/>
      <c r="Q1654" s="163"/>
      <c r="R1654" s="163"/>
      <c r="S1654" s="163"/>
    </row>
    <row r="1655" spans="5:19">
      <c r="E1655" s="163"/>
      <c r="K1655" s="163"/>
      <c r="Q1655" s="163"/>
      <c r="R1655" s="163"/>
      <c r="S1655" s="163"/>
    </row>
    <row r="1656" spans="5:19">
      <c r="E1656" s="163"/>
      <c r="K1656" s="163"/>
      <c r="Q1656" s="163"/>
      <c r="R1656" s="163"/>
      <c r="S1656" s="163"/>
    </row>
    <row r="1657" spans="5:19">
      <c r="E1657" s="163"/>
      <c r="K1657" s="163"/>
      <c r="Q1657" s="163"/>
      <c r="R1657" s="163"/>
      <c r="S1657" s="163"/>
    </row>
    <row r="1658" spans="5:19">
      <c r="E1658" s="163"/>
      <c r="K1658" s="163"/>
      <c r="Q1658" s="163"/>
      <c r="R1658" s="163"/>
      <c r="S1658" s="163"/>
    </row>
    <row r="1659" spans="5:19">
      <c r="E1659" s="163"/>
      <c r="K1659" s="163"/>
      <c r="Q1659" s="163"/>
      <c r="R1659" s="163"/>
      <c r="S1659" s="163"/>
    </row>
    <row r="1660" spans="5:19">
      <c r="E1660" s="163"/>
      <c r="K1660" s="163"/>
      <c r="Q1660" s="163"/>
      <c r="R1660" s="163"/>
      <c r="S1660" s="163"/>
    </row>
    <row r="1661" spans="5:19">
      <c r="E1661" s="163"/>
      <c r="K1661" s="163"/>
      <c r="Q1661" s="163"/>
      <c r="R1661" s="163"/>
      <c r="S1661" s="163"/>
    </row>
    <row r="1662" spans="5:19">
      <c r="E1662" s="163"/>
      <c r="K1662" s="163"/>
      <c r="Q1662" s="163"/>
      <c r="R1662" s="163"/>
      <c r="S1662" s="163"/>
    </row>
    <row r="1663" spans="5:19">
      <c r="E1663" s="163"/>
      <c r="K1663" s="163"/>
      <c r="Q1663" s="163"/>
      <c r="R1663" s="163"/>
      <c r="S1663" s="163"/>
    </row>
    <row r="1664" spans="5:19">
      <c r="E1664" s="163"/>
      <c r="K1664" s="163"/>
      <c r="Q1664" s="163"/>
      <c r="R1664" s="163"/>
      <c r="S1664" s="163"/>
    </row>
    <row r="1665" spans="5:19">
      <c r="E1665" s="163"/>
      <c r="K1665" s="163"/>
      <c r="Q1665" s="163"/>
      <c r="R1665" s="163"/>
      <c r="S1665" s="163"/>
    </row>
    <row r="1666" spans="5:19">
      <c r="E1666" s="163"/>
      <c r="K1666" s="163"/>
      <c r="Q1666" s="163"/>
      <c r="R1666" s="163"/>
      <c r="S1666" s="163"/>
    </row>
    <row r="1667" spans="5:19">
      <c r="E1667" s="163"/>
      <c r="K1667" s="163"/>
      <c r="Q1667" s="163"/>
      <c r="R1667" s="163"/>
      <c r="S1667" s="163"/>
    </row>
    <row r="1668" spans="5:19">
      <c r="E1668" s="163"/>
      <c r="K1668" s="163"/>
      <c r="Q1668" s="163"/>
      <c r="R1668" s="163"/>
      <c r="S1668" s="163"/>
    </row>
    <row r="1669" spans="5:19">
      <c r="E1669" s="163"/>
      <c r="K1669" s="163"/>
      <c r="Q1669" s="163"/>
      <c r="R1669" s="163"/>
      <c r="S1669" s="163"/>
    </row>
    <row r="1670" spans="5:19">
      <c r="E1670" s="163"/>
      <c r="K1670" s="163"/>
      <c r="Q1670" s="163"/>
      <c r="R1670" s="163"/>
      <c r="S1670" s="163"/>
    </row>
    <row r="1671" spans="5:19">
      <c r="E1671" s="163"/>
      <c r="K1671" s="163"/>
      <c r="Q1671" s="163"/>
      <c r="R1671" s="163"/>
      <c r="S1671" s="163"/>
    </row>
    <row r="1672" spans="5:19">
      <c r="E1672" s="163"/>
      <c r="K1672" s="163"/>
      <c r="Q1672" s="163"/>
      <c r="R1672" s="163"/>
      <c r="S1672" s="163"/>
    </row>
    <row r="1673" spans="5:19">
      <c r="E1673" s="163"/>
      <c r="K1673" s="163"/>
      <c r="Q1673" s="163"/>
      <c r="R1673" s="163"/>
      <c r="S1673" s="163"/>
    </row>
    <row r="1674" spans="5:19">
      <c r="E1674" s="163"/>
      <c r="K1674" s="163"/>
      <c r="Q1674" s="163"/>
      <c r="R1674" s="163"/>
      <c r="S1674" s="163"/>
    </row>
    <row r="1675" spans="5:19">
      <c r="E1675" s="163"/>
      <c r="K1675" s="163"/>
      <c r="Q1675" s="163"/>
      <c r="R1675" s="163"/>
      <c r="S1675" s="163"/>
    </row>
    <row r="1676" spans="5:19">
      <c r="E1676" s="163"/>
      <c r="K1676" s="163"/>
      <c r="Q1676" s="163"/>
      <c r="R1676" s="163"/>
      <c r="S1676" s="163"/>
    </row>
    <row r="1677" spans="5:19">
      <c r="E1677" s="163"/>
      <c r="K1677" s="163"/>
      <c r="Q1677" s="163"/>
      <c r="R1677" s="163"/>
      <c r="S1677" s="163"/>
    </row>
    <row r="1678" spans="5:19">
      <c r="E1678" s="163"/>
      <c r="K1678" s="163"/>
      <c r="Q1678" s="163"/>
      <c r="R1678" s="163"/>
      <c r="S1678" s="163"/>
    </row>
    <row r="1679" spans="5:19">
      <c r="E1679" s="163"/>
      <c r="K1679" s="163"/>
      <c r="Q1679" s="163"/>
      <c r="R1679" s="163"/>
      <c r="S1679" s="163"/>
    </row>
    <row r="1680" spans="5:19">
      <c r="E1680" s="163"/>
      <c r="K1680" s="163"/>
      <c r="Q1680" s="163"/>
      <c r="R1680" s="163"/>
      <c r="S1680" s="163"/>
    </row>
    <row r="1681" spans="5:19">
      <c r="E1681" s="163"/>
      <c r="K1681" s="163"/>
      <c r="Q1681" s="163"/>
      <c r="R1681" s="163"/>
      <c r="S1681" s="163"/>
    </row>
    <row r="1682" spans="5:19">
      <c r="E1682" s="163"/>
      <c r="K1682" s="163"/>
      <c r="Q1682" s="163"/>
      <c r="R1682" s="163"/>
      <c r="S1682" s="163"/>
    </row>
    <row r="1683" spans="5:19">
      <c r="E1683" s="163"/>
      <c r="K1683" s="163"/>
      <c r="Q1683" s="163"/>
      <c r="R1683" s="163"/>
      <c r="S1683" s="163"/>
    </row>
    <row r="1684" spans="5:19">
      <c r="E1684" s="163"/>
      <c r="K1684" s="163"/>
      <c r="Q1684" s="163"/>
      <c r="R1684" s="163"/>
      <c r="S1684" s="163"/>
    </row>
    <row r="1685" spans="5:19">
      <c r="E1685" s="163"/>
      <c r="K1685" s="163"/>
      <c r="Q1685" s="163"/>
      <c r="R1685" s="163"/>
      <c r="S1685" s="163"/>
    </row>
    <row r="1686" spans="5:19">
      <c r="E1686" s="163"/>
      <c r="K1686" s="163"/>
      <c r="Q1686" s="163"/>
      <c r="R1686" s="163"/>
      <c r="S1686" s="163"/>
    </row>
    <row r="1687" spans="5:19">
      <c r="E1687" s="163"/>
      <c r="K1687" s="163"/>
      <c r="Q1687" s="163"/>
      <c r="R1687" s="163"/>
      <c r="S1687" s="163"/>
    </row>
    <row r="1688" spans="5:19">
      <c r="E1688" s="163"/>
      <c r="K1688" s="163"/>
      <c r="Q1688" s="163"/>
      <c r="R1688" s="163"/>
      <c r="S1688" s="163"/>
    </row>
    <row r="1689" spans="5:19">
      <c r="E1689" s="163"/>
      <c r="K1689" s="163"/>
      <c r="Q1689" s="163"/>
      <c r="R1689" s="163"/>
      <c r="S1689" s="163"/>
    </row>
    <row r="1690" spans="5:19">
      <c r="E1690" s="163"/>
      <c r="K1690" s="163"/>
      <c r="Q1690" s="163"/>
      <c r="R1690" s="163"/>
      <c r="S1690" s="163"/>
    </row>
    <row r="1691" spans="5:19">
      <c r="E1691" s="163"/>
      <c r="K1691" s="163"/>
      <c r="Q1691" s="163"/>
      <c r="R1691" s="163"/>
      <c r="S1691" s="163"/>
    </row>
    <row r="1692" spans="5:19">
      <c r="E1692" s="163"/>
      <c r="K1692" s="163"/>
      <c r="Q1692" s="163"/>
      <c r="R1692" s="163"/>
      <c r="S1692" s="163"/>
    </row>
    <row r="1693" spans="5:19">
      <c r="E1693" s="163"/>
      <c r="K1693" s="163"/>
      <c r="Q1693" s="163"/>
      <c r="R1693" s="163"/>
      <c r="S1693" s="163"/>
    </row>
    <row r="1694" spans="5:19">
      <c r="E1694" s="163"/>
      <c r="K1694" s="163"/>
      <c r="Q1694" s="163"/>
      <c r="R1694" s="163"/>
      <c r="S1694" s="163"/>
    </row>
    <row r="1695" spans="5:19">
      <c r="E1695" s="163"/>
      <c r="K1695" s="163"/>
      <c r="Q1695" s="163"/>
      <c r="R1695" s="163"/>
      <c r="S1695" s="163"/>
    </row>
    <row r="1696" spans="5:19">
      <c r="E1696" s="163"/>
      <c r="K1696" s="163"/>
      <c r="Q1696" s="163"/>
      <c r="R1696" s="163"/>
      <c r="S1696" s="163"/>
    </row>
    <row r="1697" spans="5:19">
      <c r="E1697" s="163"/>
      <c r="K1697" s="163"/>
      <c r="Q1697" s="163"/>
      <c r="R1697" s="163"/>
      <c r="S1697" s="163"/>
    </row>
    <row r="1698" spans="5:19">
      <c r="E1698" s="163"/>
      <c r="K1698" s="163"/>
      <c r="Q1698" s="163"/>
      <c r="R1698" s="163"/>
      <c r="S1698" s="163"/>
    </row>
    <row r="1699" spans="5:19">
      <c r="E1699" s="163"/>
      <c r="K1699" s="163"/>
      <c r="Q1699" s="163"/>
      <c r="R1699" s="163"/>
      <c r="S1699" s="163"/>
    </row>
    <row r="1700" spans="5:19">
      <c r="E1700" s="163"/>
      <c r="K1700" s="163"/>
      <c r="Q1700" s="163"/>
      <c r="R1700" s="163"/>
      <c r="S1700" s="163"/>
    </row>
    <row r="1701" spans="5:19">
      <c r="E1701" s="163"/>
      <c r="K1701" s="163"/>
      <c r="Q1701" s="163"/>
      <c r="R1701" s="163"/>
      <c r="S1701" s="163"/>
    </row>
    <row r="1702" spans="5:19">
      <c r="E1702" s="163"/>
      <c r="K1702" s="163"/>
      <c r="Q1702" s="163"/>
      <c r="R1702" s="163"/>
      <c r="S1702" s="163"/>
    </row>
    <row r="1703" spans="5:19">
      <c r="E1703" s="163"/>
      <c r="K1703" s="163"/>
      <c r="Q1703" s="163"/>
      <c r="R1703" s="163"/>
      <c r="S1703" s="163"/>
    </row>
    <row r="1704" spans="5:19">
      <c r="E1704" s="163"/>
      <c r="K1704" s="163"/>
      <c r="Q1704" s="163"/>
      <c r="R1704" s="163"/>
      <c r="S1704" s="163"/>
    </row>
    <row r="1705" spans="5:19">
      <c r="E1705" s="163"/>
      <c r="K1705" s="163"/>
      <c r="Q1705" s="163"/>
      <c r="R1705" s="163"/>
      <c r="S1705" s="163"/>
    </row>
    <row r="1706" spans="5:19">
      <c r="E1706" s="163"/>
      <c r="K1706" s="163"/>
      <c r="Q1706" s="163"/>
      <c r="R1706" s="163"/>
      <c r="S1706" s="163"/>
    </row>
    <row r="1707" spans="5:19">
      <c r="E1707" s="163"/>
      <c r="K1707" s="163"/>
      <c r="Q1707" s="163"/>
      <c r="R1707" s="163"/>
      <c r="S1707" s="163"/>
    </row>
    <row r="1708" spans="5:19">
      <c r="E1708" s="163"/>
      <c r="K1708" s="163"/>
      <c r="Q1708" s="163"/>
      <c r="R1708" s="163"/>
      <c r="S1708" s="163"/>
    </row>
    <row r="1709" spans="5:19">
      <c r="E1709" s="163"/>
      <c r="K1709" s="163"/>
      <c r="Q1709" s="163"/>
      <c r="R1709" s="163"/>
      <c r="S1709" s="163"/>
    </row>
    <row r="1710" spans="5:19">
      <c r="E1710" s="163"/>
      <c r="K1710" s="163"/>
      <c r="Q1710" s="163"/>
      <c r="R1710" s="163"/>
      <c r="S1710" s="163"/>
    </row>
    <row r="1711" spans="5:19">
      <c r="E1711" s="163"/>
      <c r="K1711" s="163"/>
      <c r="Q1711" s="163"/>
      <c r="R1711" s="163"/>
      <c r="S1711" s="163"/>
    </row>
    <row r="1712" spans="5:19">
      <c r="E1712" s="163"/>
      <c r="K1712" s="163"/>
      <c r="Q1712" s="163"/>
      <c r="R1712" s="163"/>
      <c r="S1712" s="163"/>
    </row>
    <row r="1713" spans="5:19">
      <c r="E1713" s="163"/>
      <c r="K1713" s="163"/>
      <c r="Q1713" s="163"/>
      <c r="R1713" s="163"/>
      <c r="S1713" s="163"/>
    </row>
    <row r="1714" spans="5:19">
      <c r="E1714" s="163"/>
      <c r="K1714" s="163"/>
      <c r="Q1714" s="163"/>
      <c r="R1714" s="163"/>
      <c r="S1714" s="163"/>
    </row>
    <row r="1715" spans="5:19">
      <c r="E1715" s="163"/>
      <c r="K1715" s="163"/>
      <c r="Q1715" s="163"/>
      <c r="R1715" s="163"/>
      <c r="S1715" s="163"/>
    </row>
    <row r="1716" spans="5:19">
      <c r="E1716" s="163"/>
      <c r="K1716" s="163"/>
      <c r="Q1716" s="163"/>
      <c r="R1716" s="163"/>
      <c r="S1716" s="163"/>
    </row>
    <row r="1717" spans="5:19">
      <c r="E1717" s="163"/>
      <c r="K1717" s="163"/>
      <c r="Q1717" s="163"/>
      <c r="R1717" s="163"/>
      <c r="S1717" s="163"/>
    </row>
    <row r="1718" spans="5:19">
      <c r="E1718" s="163"/>
      <c r="K1718" s="163"/>
      <c r="Q1718" s="163"/>
      <c r="R1718" s="163"/>
      <c r="S1718" s="163"/>
    </row>
    <row r="1719" spans="5:19">
      <c r="E1719" s="163"/>
      <c r="K1719" s="163"/>
      <c r="Q1719" s="163"/>
      <c r="R1719" s="163"/>
      <c r="S1719" s="163"/>
    </row>
    <row r="1720" spans="5:19">
      <c r="E1720" s="163"/>
      <c r="K1720" s="163"/>
      <c r="Q1720" s="163"/>
      <c r="R1720" s="163"/>
      <c r="S1720" s="163"/>
    </row>
    <row r="1721" spans="5:19">
      <c r="E1721" s="163"/>
      <c r="K1721" s="163"/>
      <c r="Q1721" s="163"/>
      <c r="R1721" s="163"/>
      <c r="S1721" s="163"/>
    </row>
    <row r="1722" spans="5:19">
      <c r="E1722" s="163"/>
      <c r="K1722" s="163"/>
      <c r="Q1722" s="163"/>
      <c r="R1722" s="163"/>
      <c r="S1722" s="163"/>
    </row>
    <row r="1723" spans="5:19">
      <c r="E1723" s="163"/>
      <c r="K1723" s="163"/>
      <c r="Q1723" s="163"/>
      <c r="R1723" s="163"/>
      <c r="S1723" s="163"/>
    </row>
    <row r="1724" spans="5:19">
      <c r="E1724" s="163"/>
      <c r="K1724" s="163"/>
      <c r="Q1724" s="163"/>
      <c r="R1724" s="163"/>
      <c r="S1724" s="163"/>
    </row>
    <row r="1725" spans="5:19">
      <c r="E1725" s="163"/>
      <c r="K1725" s="163"/>
      <c r="Q1725" s="163"/>
      <c r="R1725" s="163"/>
      <c r="S1725" s="163"/>
    </row>
    <row r="1726" spans="5:19">
      <c r="E1726" s="163"/>
      <c r="K1726" s="163"/>
      <c r="Q1726" s="163"/>
      <c r="R1726" s="163"/>
      <c r="S1726" s="163"/>
    </row>
    <row r="1727" spans="5:19">
      <c r="E1727" s="163"/>
      <c r="K1727" s="163"/>
      <c r="Q1727" s="163"/>
      <c r="R1727" s="163"/>
      <c r="S1727" s="163"/>
    </row>
    <row r="1728" spans="5:19">
      <c r="E1728" s="163"/>
      <c r="K1728" s="163"/>
      <c r="Q1728" s="163"/>
      <c r="R1728" s="163"/>
      <c r="S1728" s="163"/>
    </row>
    <row r="1729" spans="5:19">
      <c r="E1729" s="163"/>
      <c r="K1729" s="163"/>
      <c r="Q1729" s="163"/>
      <c r="R1729" s="163"/>
      <c r="S1729" s="163"/>
    </row>
    <row r="1730" spans="5:19">
      <c r="E1730" s="163"/>
      <c r="K1730" s="163"/>
      <c r="Q1730" s="163"/>
      <c r="R1730" s="163"/>
      <c r="S1730" s="163"/>
    </row>
    <row r="1731" spans="5:19">
      <c r="E1731" s="163"/>
      <c r="K1731" s="163"/>
      <c r="Q1731" s="163"/>
      <c r="R1731" s="163"/>
      <c r="S1731" s="163"/>
    </row>
    <row r="1732" spans="5:19">
      <c r="E1732" s="163"/>
      <c r="K1732" s="163"/>
      <c r="Q1732" s="163"/>
      <c r="R1732" s="163"/>
      <c r="S1732" s="163"/>
    </row>
    <row r="1733" spans="5:19">
      <c r="E1733" s="163"/>
      <c r="K1733" s="163"/>
      <c r="Q1733" s="163"/>
      <c r="R1733" s="163"/>
      <c r="S1733" s="163"/>
    </row>
    <row r="1734" spans="5:19">
      <c r="E1734" s="163"/>
      <c r="K1734" s="163"/>
      <c r="Q1734" s="163"/>
      <c r="R1734" s="163"/>
      <c r="S1734" s="163"/>
    </row>
    <row r="1735" spans="5:19">
      <c r="E1735" s="163"/>
      <c r="K1735" s="163"/>
      <c r="Q1735" s="163"/>
      <c r="R1735" s="163"/>
      <c r="S1735" s="163"/>
    </row>
    <row r="1736" spans="5:19">
      <c r="E1736" s="163"/>
      <c r="K1736" s="163"/>
      <c r="Q1736" s="163"/>
      <c r="R1736" s="163"/>
      <c r="S1736" s="163"/>
    </row>
    <row r="1737" spans="5:19">
      <c r="E1737" s="163"/>
      <c r="K1737" s="163"/>
      <c r="Q1737" s="163"/>
      <c r="R1737" s="163"/>
      <c r="S1737" s="163"/>
    </row>
    <row r="1738" spans="5:19">
      <c r="E1738" s="163"/>
      <c r="K1738" s="163"/>
      <c r="Q1738" s="163"/>
      <c r="R1738" s="163"/>
      <c r="S1738" s="163"/>
    </row>
    <row r="1739" spans="5:19">
      <c r="E1739" s="163"/>
      <c r="K1739" s="163"/>
      <c r="Q1739" s="163"/>
      <c r="R1739" s="163"/>
      <c r="S1739" s="163"/>
    </row>
    <row r="1740" spans="5:19">
      <c r="E1740" s="163"/>
      <c r="K1740" s="163"/>
      <c r="Q1740" s="163"/>
      <c r="R1740" s="163"/>
      <c r="S1740" s="163"/>
    </row>
    <row r="1741" spans="5:19">
      <c r="E1741" s="163"/>
      <c r="K1741" s="163"/>
      <c r="Q1741" s="163"/>
      <c r="R1741" s="163"/>
      <c r="S1741" s="163"/>
    </row>
    <row r="1742" spans="5:19">
      <c r="E1742" s="163"/>
      <c r="K1742" s="163"/>
      <c r="Q1742" s="163"/>
      <c r="R1742" s="163"/>
      <c r="S1742" s="163"/>
    </row>
    <row r="1743" spans="5:19">
      <c r="E1743" s="163"/>
      <c r="K1743" s="163"/>
      <c r="Q1743" s="163"/>
      <c r="R1743" s="163"/>
      <c r="S1743" s="163"/>
    </row>
    <row r="1744" spans="5:19">
      <c r="E1744" s="163"/>
      <c r="K1744" s="163"/>
      <c r="Q1744" s="163"/>
      <c r="R1744" s="163"/>
      <c r="S1744" s="163"/>
    </row>
    <row r="1745" spans="5:19">
      <c r="E1745" s="163"/>
      <c r="K1745" s="163"/>
      <c r="Q1745" s="163"/>
      <c r="R1745" s="163"/>
      <c r="S1745" s="163"/>
    </row>
    <row r="1746" spans="5:19">
      <c r="E1746" s="163"/>
      <c r="K1746" s="163"/>
      <c r="Q1746" s="163"/>
      <c r="R1746" s="163"/>
      <c r="S1746" s="163"/>
    </row>
    <row r="1747" spans="5:19">
      <c r="E1747" s="163"/>
      <c r="K1747" s="163"/>
      <c r="Q1747" s="163"/>
      <c r="R1747" s="163"/>
      <c r="S1747" s="163"/>
    </row>
    <row r="1748" spans="5:19">
      <c r="E1748" s="163"/>
      <c r="K1748" s="163"/>
      <c r="Q1748" s="163"/>
      <c r="R1748" s="163"/>
      <c r="S1748" s="163"/>
    </row>
    <row r="1749" spans="5:19">
      <c r="E1749" s="163"/>
      <c r="K1749" s="163"/>
      <c r="Q1749" s="163"/>
      <c r="R1749" s="163"/>
      <c r="S1749" s="163"/>
    </row>
    <row r="1750" spans="5:19">
      <c r="E1750" s="163"/>
      <c r="K1750" s="163"/>
      <c r="Q1750" s="163"/>
      <c r="R1750" s="163"/>
      <c r="S1750" s="163"/>
    </row>
    <row r="1751" spans="5:19">
      <c r="E1751" s="163"/>
      <c r="K1751" s="163"/>
      <c r="Q1751" s="163"/>
      <c r="R1751" s="163"/>
      <c r="S1751" s="163"/>
    </row>
    <row r="1752" spans="5:19">
      <c r="E1752" s="163"/>
      <c r="K1752" s="163"/>
      <c r="Q1752" s="163"/>
      <c r="R1752" s="163"/>
      <c r="S1752" s="163"/>
    </row>
    <row r="1753" spans="5:19">
      <c r="E1753" s="163"/>
      <c r="K1753" s="163"/>
      <c r="Q1753" s="163"/>
      <c r="R1753" s="163"/>
      <c r="S1753" s="163"/>
    </row>
    <row r="1754" spans="5:19">
      <c r="E1754" s="163"/>
      <c r="K1754" s="163"/>
      <c r="Q1754" s="163"/>
      <c r="R1754" s="163"/>
      <c r="S1754" s="163"/>
    </row>
    <row r="1755" spans="5:19">
      <c r="E1755" s="163"/>
      <c r="K1755" s="163"/>
      <c r="Q1755" s="163"/>
      <c r="R1755" s="163"/>
      <c r="S1755" s="163"/>
    </row>
    <row r="1756" spans="5:19">
      <c r="E1756" s="163"/>
      <c r="K1756" s="163"/>
      <c r="Q1756" s="163"/>
      <c r="R1756" s="163"/>
      <c r="S1756" s="163"/>
    </row>
    <row r="1757" spans="5:19">
      <c r="E1757" s="163"/>
      <c r="K1757" s="163"/>
      <c r="Q1757" s="163"/>
      <c r="R1757" s="163"/>
      <c r="S1757" s="163"/>
    </row>
    <row r="1758" spans="5:19">
      <c r="E1758" s="163"/>
      <c r="K1758" s="163"/>
      <c r="Q1758" s="163"/>
      <c r="R1758" s="163"/>
      <c r="S1758" s="163"/>
    </row>
    <row r="1759" spans="5:19">
      <c r="E1759" s="163"/>
      <c r="K1759" s="163"/>
      <c r="Q1759" s="163"/>
      <c r="R1759" s="163"/>
      <c r="S1759" s="163"/>
    </row>
    <row r="1760" spans="5:19">
      <c r="E1760" s="163"/>
      <c r="K1760" s="163"/>
      <c r="Q1760" s="163"/>
      <c r="R1760" s="163"/>
      <c r="S1760" s="163"/>
    </row>
    <row r="1761" spans="5:19">
      <c r="E1761" s="163"/>
      <c r="K1761" s="163"/>
      <c r="Q1761" s="163"/>
      <c r="R1761" s="163"/>
      <c r="S1761" s="163"/>
    </row>
    <row r="1762" spans="5:19">
      <c r="E1762" s="163"/>
      <c r="K1762" s="163"/>
      <c r="Q1762" s="163"/>
      <c r="R1762" s="163"/>
      <c r="S1762" s="163"/>
    </row>
    <row r="1763" spans="5:19">
      <c r="E1763" s="163"/>
      <c r="K1763" s="163"/>
      <c r="Q1763" s="163"/>
      <c r="R1763" s="163"/>
      <c r="S1763" s="163"/>
    </row>
    <row r="1764" spans="5:19">
      <c r="E1764" s="163"/>
      <c r="K1764" s="163"/>
      <c r="Q1764" s="163"/>
      <c r="R1764" s="163"/>
      <c r="S1764" s="163"/>
    </row>
    <row r="1765" spans="5:19">
      <c r="E1765" s="163"/>
      <c r="K1765" s="163"/>
      <c r="Q1765" s="163"/>
      <c r="R1765" s="163"/>
      <c r="S1765" s="163"/>
    </row>
    <row r="1766" spans="5:19">
      <c r="E1766" s="163"/>
      <c r="K1766" s="163"/>
      <c r="Q1766" s="163"/>
      <c r="R1766" s="163"/>
      <c r="S1766" s="163"/>
    </row>
    <row r="1767" spans="5:19">
      <c r="E1767" s="163"/>
      <c r="K1767" s="163"/>
      <c r="Q1767" s="163"/>
      <c r="R1767" s="163"/>
      <c r="S1767" s="163"/>
    </row>
    <row r="1768" spans="5:19">
      <c r="E1768" s="163"/>
      <c r="K1768" s="163"/>
      <c r="Q1768" s="163"/>
      <c r="R1768" s="163"/>
      <c r="S1768" s="163"/>
    </row>
    <row r="1769" spans="5:19">
      <c r="E1769" s="163"/>
      <c r="K1769" s="163"/>
      <c r="Q1769" s="163"/>
      <c r="R1769" s="163"/>
      <c r="S1769" s="163"/>
    </row>
    <row r="1770" spans="5:19">
      <c r="E1770" s="163"/>
      <c r="K1770" s="163"/>
      <c r="Q1770" s="163"/>
      <c r="R1770" s="163"/>
      <c r="S1770" s="163"/>
    </row>
    <row r="1771" spans="5:19">
      <c r="E1771" s="163"/>
      <c r="K1771" s="163"/>
      <c r="Q1771" s="163"/>
      <c r="R1771" s="163"/>
      <c r="S1771" s="163"/>
    </row>
    <row r="1772" spans="5:19">
      <c r="E1772" s="163"/>
      <c r="K1772" s="163"/>
      <c r="Q1772" s="163"/>
      <c r="R1772" s="163"/>
      <c r="S1772" s="163"/>
    </row>
    <row r="1773" spans="5:19">
      <c r="E1773" s="163"/>
      <c r="K1773" s="163"/>
      <c r="Q1773" s="163"/>
      <c r="R1773" s="163"/>
      <c r="S1773" s="163"/>
    </row>
    <row r="1774" spans="5:19">
      <c r="E1774" s="163"/>
      <c r="K1774" s="163"/>
      <c r="Q1774" s="163"/>
      <c r="R1774" s="163"/>
      <c r="S1774" s="163"/>
    </row>
    <row r="1775" spans="5:19">
      <c r="E1775" s="163"/>
      <c r="K1775" s="163"/>
      <c r="Q1775" s="163"/>
      <c r="R1775" s="163"/>
      <c r="S1775" s="163"/>
    </row>
    <row r="1776" spans="5:19">
      <c r="E1776" s="163"/>
      <c r="K1776" s="163"/>
      <c r="Q1776" s="163"/>
      <c r="R1776" s="163"/>
      <c r="S1776" s="163"/>
    </row>
    <row r="1777" spans="5:19">
      <c r="E1777" s="163"/>
      <c r="K1777" s="163"/>
      <c r="Q1777" s="163"/>
      <c r="R1777" s="163"/>
      <c r="S1777" s="163"/>
    </row>
    <row r="1778" spans="5:19">
      <c r="E1778" s="163"/>
      <c r="K1778" s="163"/>
      <c r="Q1778" s="163"/>
      <c r="R1778" s="163"/>
      <c r="S1778" s="163"/>
    </row>
    <row r="1779" spans="5:19">
      <c r="E1779" s="163"/>
      <c r="K1779" s="163"/>
      <c r="Q1779" s="163"/>
      <c r="R1779" s="163"/>
      <c r="S1779" s="163"/>
    </row>
    <row r="1780" spans="5:19">
      <c r="E1780" s="163"/>
      <c r="K1780" s="163"/>
      <c r="Q1780" s="163"/>
      <c r="R1780" s="163"/>
      <c r="S1780" s="163"/>
    </row>
    <row r="1781" spans="5:19">
      <c r="E1781" s="163"/>
      <c r="K1781" s="163"/>
      <c r="Q1781" s="163"/>
      <c r="R1781" s="163"/>
      <c r="S1781" s="163"/>
    </row>
    <row r="1782" spans="5:19">
      <c r="E1782" s="163"/>
      <c r="K1782" s="163"/>
      <c r="Q1782" s="163"/>
      <c r="R1782" s="163"/>
      <c r="S1782" s="163"/>
    </row>
    <row r="1783" spans="5:19">
      <c r="E1783" s="163"/>
      <c r="K1783" s="163"/>
      <c r="Q1783" s="163"/>
      <c r="R1783" s="163"/>
      <c r="S1783" s="163"/>
    </row>
    <row r="1784" spans="5:19">
      <c r="E1784" s="163"/>
      <c r="K1784" s="163"/>
      <c r="Q1784" s="163"/>
      <c r="R1784" s="163"/>
      <c r="S1784" s="163"/>
    </row>
    <row r="1785" spans="5:19">
      <c r="E1785" s="163"/>
      <c r="K1785" s="163"/>
      <c r="Q1785" s="163"/>
      <c r="R1785" s="163"/>
      <c r="S1785" s="163"/>
    </row>
    <row r="1786" spans="5:19">
      <c r="E1786" s="163"/>
      <c r="K1786" s="163"/>
      <c r="Q1786" s="163"/>
      <c r="R1786" s="163"/>
      <c r="S1786" s="163"/>
    </row>
    <row r="1787" spans="5:19">
      <c r="E1787" s="163"/>
      <c r="K1787" s="163"/>
      <c r="Q1787" s="163"/>
      <c r="R1787" s="163"/>
      <c r="S1787" s="163"/>
    </row>
    <row r="1788" spans="5:19">
      <c r="E1788" s="163"/>
      <c r="K1788" s="163"/>
      <c r="Q1788" s="163"/>
      <c r="R1788" s="163"/>
      <c r="S1788" s="163"/>
    </row>
    <row r="1789" spans="5:19">
      <c r="E1789" s="163"/>
      <c r="K1789" s="163"/>
      <c r="Q1789" s="163"/>
      <c r="R1789" s="163"/>
      <c r="S1789" s="163"/>
    </row>
    <row r="1790" spans="5:19">
      <c r="E1790" s="163"/>
      <c r="K1790" s="163"/>
      <c r="Q1790" s="163"/>
      <c r="R1790" s="163"/>
      <c r="S1790" s="163"/>
    </row>
    <row r="1791" spans="5:19">
      <c r="E1791" s="163"/>
      <c r="K1791" s="163"/>
      <c r="Q1791" s="163"/>
      <c r="R1791" s="163"/>
      <c r="S1791" s="163"/>
    </row>
    <row r="1792" spans="5:19">
      <c r="E1792" s="163"/>
      <c r="K1792" s="163"/>
      <c r="Q1792" s="163"/>
      <c r="R1792" s="163"/>
      <c r="S1792" s="163"/>
    </row>
    <row r="1793" spans="5:19">
      <c r="E1793" s="163"/>
      <c r="K1793" s="163"/>
      <c r="Q1793" s="163"/>
      <c r="R1793" s="163"/>
      <c r="S1793" s="163"/>
    </row>
    <row r="1794" spans="5:19">
      <c r="E1794" s="163"/>
      <c r="K1794" s="163"/>
      <c r="Q1794" s="163"/>
      <c r="R1794" s="163"/>
      <c r="S1794" s="163"/>
    </row>
    <row r="1795" spans="5:19">
      <c r="E1795" s="163"/>
      <c r="K1795" s="163"/>
      <c r="Q1795" s="163"/>
      <c r="R1795" s="163"/>
      <c r="S1795" s="163"/>
    </row>
    <row r="1796" spans="5:19">
      <c r="E1796" s="163"/>
      <c r="K1796" s="163"/>
      <c r="Q1796" s="163"/>
      <c r="R1796" s="163"/>
      <c r="S1796" s="163"/>
    </row>
    <row r="1797" spans="5:19">
      <c r="E1797" s="163"/>
      <c r="K1797" s="163"/>
      <c r="Q1797" s="163"/>
      <c r="R1797" s="163"/>
      <c r="S1797" s="163"/>
    </row>
    <row r="1798" spans="5:19">
      <c r="E1798" s="163"/>
      <c r="K1798" s="163"/>
      <c r="Q1798" s="163"/>
      <c r="R1798" s="163"/>
      <c r="S1798" s="163"/>
    </row>
    <row r="1799" spans="5:19">
      <c r="E1799" s="163"/>
      <c r="K1799" s="163"/>
      <c r="Q1799" s="163"/>
      <c r="R1799" s="163"/>
      <c r="S1799" s="163"/>
    </row>
    <row r="1800" spans="5:19">
      <c r="E1800" s="163"/>
      <c r="K1800" s="163"/>
      <c r="Q1800" s="163"/>
      <c r="R1800" s="163"/>
      <c r="S1800" s="163"/>
    </row>
    <row r="1801" spans="5:19">
      <c r="E1801" s="163"/>
      <c r="K1801" s="163"/>
      <c r="Q1801" s="163"/>
      <c r="R1801" s="163"/>
      <c r="S1801" s="163"/>
    </row>
    <row r="1802" spans="5:19">
      <c r="E1802" s="163"/>
      <c r="K1802" s="163"/>
      <c r="Q1802" s="163"/>
      <c r="R1802" s="163"/>
      <c r="S1802" s="163"/>
    </row>
    <row r="1803" spans="5:19">
      <c r="E1803" s="163"/>
      <c r="K1803" s="163"/>
      <c r="Q1803" s="163"/>
      <c r="R1803" s="163"/>
      <c r="S1803" s="163"/>
    </row>
    <row r="1804" spans="5:19">
      <c r="E1804" s="163"/>
      <c r="K1804" s="163"/>
      <c r="Q1804" s="163"/>
      <c r="R1804" s="163"/>
      <c r="S1804" s="163"/>
    </row>
    <row r="1805" spans="5:19">
      <c r="E1805" s="163"/>
      <c r="K1805" s="163"/>
      <c r="Q1805" s="163"/>
      <c r="R1805" s="163"/>
      <c r="S1805" s="163"/>
    </row>
    <row r="1806" spans="5:19">
      <c r="E1806" s="163"/>
      <c r="K1806" s="163"/>
      <c r="Q1806" s="163"/>
      <c r="R1806" s="163"/>
      <c r="S1806" s="163"/>
    </row>
    <row r="1807" spans="5:19">
      <c r="E1807" s="163"/>
      <c r="K1807" s="163"/>
      <c r="Q1807" s="163"/>
      <c r="R1807" s="163"/>
      <c r="S1807" s="163"/>
    </row>
    <row r="1808" spans="5:19">
      <c r="E1808" s="163"/>
      <c r="K1808" s="163"/>
      <c r="Q1808" s="163"/>
      <c r="R1808" s="163"/>
      <c r="S1808" s="163"/>
    </row>
    <row r="1809" spans="5:19">
      <c r="E1809" s="163"/>
      <c r="K1809" s="163"/>
      <c r="Q1809" s="163"/>
      <c r="R1809" s="163"/>
      <c r="S1809" s="163"/>
    </row>
    <row r="1810" spans="5:19">
      <c r="E1810" s="163"/>
      <c r="K1810" s="163"/>
      <c r="Q1810" s="163"/>
      <c r="R1810" s="163"/>
      <c r="S1810" s="163"/>
    </row>
    <row r="1811" spans="5:19">
      <c r="E1811" s="163"/>
      <c r="K1811" s="163"/>
      <c r="Q1811" s="163"/>
      <c r="R1811" s="163"/>
      <c r="S1811" s="163"/>
    </row>
    <row r="1812" spans="5:19">
      <c r="E1812" s="163"/>
      <c r="K1812" s="163"/>
      <c r="Q1812" s="163"/>
      <c r="R1812" s="163"/>
      <c r="S1812" s="163"/>
    </row>
    <row r="1813" spans="5:19">
      <c r="E1813" s="163"/>
      <c r="K1813" s="163"/>
      <c r="Q1813" s="163"/>
      <c r="R1813" s="163"/>
      <c r="S1813" s="163"/>
    </row>
    <row r="1814" spans="5:19">
      <c r="E1814" s="163"/>
      <c r="K1814" s="163"/>
      <c r="Q1814" s="163"/>
      <c r="R1814" s="163"/>
      <c r="S1814" s="163"/>
    </row>
    <row r="1815" spans="5:19">
      <c r="E1815" s="163"/>
      <c r="K1815" s="163"/>
      <c r="Q1815" s="163"/>
      <c r="R1815" s="163"/>
      <c r="S1815" s="163"/>
    </row>
    <row r="1816" spans="5:19">
      <c r="E1816" s="163"/>
      <c r="K1816" s="163"/>
      <c r="Q1816" s="163"/>
      <c r="R1816" s="163"/>
      <c r="S1816" s="163"/>
    </row>
    <row r="1817" spans="5:19">
      <c r="E1817" s="163"/>
      <c r="K1817" s="163"/>
      <c r="Q1817" s="163"/>
      <c r="R1817" s="163"/>
      <c r="S1817" s="163"/>
    </row>
    <row r="1818" spans="5:19">
      <c r="E1818" s="163"/>
      <c r="K1818" s="163"/>
      <c r="Q1818" s="163"/>
      <c r="R1818" s="163"/>
      <c r="S1818" s="163"/>
    </row>
    <row r="1819" spans="5:19">
      <c r="E1819" s="163"/>
      <c r="K1819" s="163"/>
      <c r="Q1819" s="163"/>
      <c r="R1819" s="163"/>
      <c r="S1819" s="163"/>
    </row>
    <row r="1820" spans="5:19">
      <c r="E1820" s="163"/>
      <c r="K1820" s="163"/>
      <c r="Q1820" s="163"/>
      <c r="R1820" s="163"/>
      <c r="S1820" s="163"/>
    </row>
    <row r="1821" spans="5:19">
      <c r="E1821" s="163"/>
      <c r="K1821" s="163"/>
      <c r="Q1821" s="163"/>
      <c r="R1821" s="163"/>
      <c r="S1821" s="163"/>
    </row>
    <row r="1822" spans="5:19">
      <c r="E1822" s="163"/>
      <c r="K1822" s="163"/>
      <c r="Q1822" s="163"/>
      <c r="R1822" s="163"/>
      <c r="S1822" s="163"/>
    </row>
    <row r="1823" spans="5:19">
      <c r="E1823" s="163"/>
      <c r="K1823" s="163"/>
      <c r="Q1823" s="163"/>
      <c r="R1823" s="163"/>
      <c r="S1823" s="163"/>
    </row>
    <row r="1824" spans="5:19">
      <c r="E1824" s="163"/>
      <c r="K1824" s="163"/>
      <c r="Q1824" s="163"/>
      <c r="R1824" s="163"/>
      <c r="S1824" s="163"/>
    </row>
    <row r="1825" spans="5:19">
      <c r="E1825" s="163"/>
      <c r="K1825" s="163"/>
      <c r="Q1825" s="163"/>
      <c r="R1825" s="163"/>
      <c r="S1825" s="163"/>
    </row>
    <row r="1826" spans="5:19">
      <c r="E1826" s="163"/>
      <c r="K1826" s="163"/>
      <c r="Q1826" s="163"/>
      <c r="R1826" s="163"/>
      <c r="S1826" s="163"/>
    </row>
    <row r="1827" spans="5:19">
      <c r="E1827" s="163"/>
      <c r="K1827" s="163"/>
      <c r="Q1827" s="163"/>
      <c r="R1827" s="163"/>
      <c r="S1827" s="163"/>
    </row>
    <row r="1828" spans="5:19">
      <c r="E1828" s="163"/>
      <c r="K1828" s="163"/>
      <c r="Q1828" s="163"/>
      <c r="R1828" s="163"/>
      <c r="S1828" s="163"/>
    </row>
    <row r="1829" spans="5:19">
      <c r="E1829" s="163"/>
      <c r="K1829" s="163"/>
      <c r="Q1829" s="163"/>
      <c r="R1829" s="163"/>
      <c r="S1829" s="163"/>
    </row>
    <row r="1830" spans="5:19">
      <c r="E1830" s="163"/>
      <c r="K1830" s="163"/>
      <c r="Q1830" s="163"/>
      <c r="R1830" s="163"/>
      <c r="S1830" s="163"/>
    </row>
    <row r="1831" spans="5:19">
      <c r="E1831" s="163"/>
      <c r="K1831" s="163"/>
      <c r="Q1831" s="163"/>
      <c r="R1831" s="163"/>
      <c r="S1831" s="163"/>
    </row>
    <row r="1832" spans="5:19">
      <c r="E1832" s="163"/>
      <c r="K1832" s="163"/>
      <c r="Q1832" s="163"/>
      <c r="R1832" s="163"/>
      <c r="S1832" s="163"/>
    </row>
    <row r="1833" spans="5:19">
      <c r="E1833" s="163"/>
      <c r="K1833" s="163"/>
      <c r="Q1833" s="163"/>
      <c r="R1833" s="163"/>
      <c r="S1833" s="163"/>
    </row>
    <row r="1834" spans="5:19">
      <c r="E1834" s="163"/>
      <c r="K1834" s="163"/>
      <c r="Q1834" s="163"/>
      <c r="R1834" s="163"/>
      <c r="S1834" s="163"/>
    </row>
    <row r="1835" spans="5:19">
      <c r="E1835" s="163"/>
      <c r="K1835" s="163"/>
      <c r="Q1835" s="163"/>
      <c r="R1835" s="163"/>
      <c r="S1835" s="163"/>
    </row>
    <row r="1836" spans="5:19">
      <c r="E1836" s="163"/>
      <c r="K1836" s="163"/>
      <c r="Q1836" s="163"/>
      <c r="R1836" s="163"/>
      <c r="S1836" s="163"/>
    </row>
    <row r="1837" spans="5:19">
      <c r="E1837" s="163"/>
      <c r="K1837" s="163"/>
      <c r="Q1837" s="163"/>
      <c r="R1837" s="163"/>
      <c r="S1837" s="163"/>
    </row>
    <row r="1838" spans="5:19">
      <c r="E1838" s="163"/>
      <c r="K1838" s="163"/>
      <c r="Q1838" s="163"/>
      <c r="R1838" s="163"/>
      <c r="S1838" s="163"/>
    </row>
    <row r="1839" spans="5:19">
      <c r="E1839" s="163"/>
      <c r="K1839" s="163"/>
      <c r="Q1839" s="163"/>
      <c r="R1839" s="163"/>
      <c r="S1839" s="163"/>
    </row>
    <row r="1840" spans="5:19">
      <c r="E1840" s="163"/>
      <c r="K1840" s="163"/>
      <c r="Q1840" s="163"/>
      <c r="R1840" s="163"/>
      <c r="S1840" s="163"/>
    </row>
    <row r="1841" spans="5:19">
      <c r="E1841" s="163"/>
      <c r="K1841" s="163"/>
      <c r="Q1841" s="163"/>
      <c r="R1841" s="163"/>
      <c r="S1841" s="163"/>
    </row>
    <row r="1842" spans="5:19">
      <c r="E1842" s="163"/>
      <c r="K1842" s="163"/>
      <c r="Q1842" s="163"/>
      <c r="R1842" s="163"/>
      <c r="S1842" s="163"/>
    </row>
    <row r="1843" spans="5:19">
      <c r="E1843" s="163"/>
      <c r="K1843" s="163"/>
      <c r="Q1843" s="163"/>
      <c r="R1843" s="163"/>
      <c r="S1843" s="163"/>
    </row>
    <row r="1844" spans="5:19">
      <c r="E1844" s="163"/>
      <c r="K1844" s="163"/>
      <c r="Q1844" s="163"/>
      <c r="R1844" s="163"/>
      <c r="S1844" s="163"/>
    </row>
    <row r="1845" spans="5:19">
      <c r="E1845" s="163"/>
      <c r="K1845" s="163"/>
      <c r="Q1845" s="163"/>
      <c r="R1845" s="163"/>
      <c r="S1845" s="163"/>
    </row>
    <row r="1846" spans="5:19">
      <c r="E1846" s="163"/>
      <c r="K1846" s="163"/>
      <c r="Q1846" s="163"/>
      <c r="R1846" s="163"/>
      <c r="S1846" s="163"/>
    </row>
    <row r="1847" spans="5:19">
      <c r="E1847" s="163"/>
      <c r="K1847" s="163"/>
      <c r="Q1847" s="163"/>
      <c r="R1847" s="163"/>
      <c r="S1847" s="163"/>
    </row>
    <row r="1848" spans="5:19">
      <c r="E1848" s="163"/>
      <c r="K1848" s="163"/>
      <c r="Q1848" s="163"/>
      <c r="R1848" s="163"/>
      <c r="S1848" s="163"/>
    </row>
    <row r="1849" spans="5:19">
      <c r="E1849" s="163"/>
      <c r="K1849" s="163"/>
      <c r="Q1849" s="163"/>
      <c r="R1849" s="163"/>
      <c r="S1849" s="163"/>
    </row>
    <row r="1850" spans="5:19">
      <c r="E1850" s="163"/>
      <c r="K1850" s="163"/>
      <c r="Q1850" s="163"/>
      <c r="R1850" s="163"/>
      <c r="S1850" s="163"/>
    </row>
    <row r="1851" spans="5:19">
      <c r="E1851" s="163"/>
      <c r="K1851" s="163"/>
      <c r="Q1851" s="163"/>
      <c r="R1851" s="163"/>
      <c r="S1851" s="163"/>
    </row>
    <row r="1852" spans="5:19">
      <c r="E1852" s="163"/>
      <c r="K1852" s="163"/>
      <c r="Q1852" s="163"/>
      <c r="R1852" s="163"/>
      <c r="S1852" s="163"/>
    </row>
    <row r="1853" spans="5:19">
      <c r="E1853" s="163"/>
      <c r="K1853" s="163"/>
      <c r="Q1853" s="163"/>
      <c r="R1853" s="163"/>
      <c r="S1853" s="163"/>
    </row>
    <row r="1854" spans="5:19">
      <c r="E1854" s="163"/>
      <c r="K1854" s="163"/>
      <c r="Q1854" s="163"/>
      <c r="R1854" s="163"/>
      <c r="S1854" s="163"/>
    </row>
    <row r="1855" spans="5:19">
      <c r="E1855" s="163"/>
      <c r="K1855" s="163"/>
      <c r="Q1855" s="163"/>
      <c r="R1855" s="163"/>
      <c r="S1855" s="163"/>
    </row>
    <row r="1856" spans="5:19">
      <c r="E1856" s="163"/>
      <c r="K1856" s="163"/>
      <c r="Q1856" s="163"/>
      <c r="R1856" s="163"/>
      <c r="S1856" s="163"/>
    </row>
    <row r="1857" spans="5:19">
      <c r="E1857" s="163"/>
      <c r="K1857" s="163"/>
      <c r="Q1857" s="163"/>
      <c r="R1857" s="163"/>
      <c r="S1857" s="163"/>
    </row>
    <row r="1858" spans="5:19">
      <c r="E1858" s="163"/>
      <c r="K1858" s="163"/>
      <c r="Q1858" s="163"/>
      <c r="R1858" s="163"/>
      <c r="S1858" s="163"/>
    </row>
    <row r="1859" spans="5:19">
      <c r="E1859" s="163"/>
      <c r="K1859" s="163"/>
      <c r="Q1859" s="163"/>
      <c r="R1859" s="163"/>
      <c r="S1859" s="163"/>
    </row>
    <row r="1860" spans="5:19">
      <c r="E1860" s="163"/>
      <c r="K1860" s="163"/>
      <c r="Q1860" s="163"/>
      <c r="R1860" s="163"/>
      <c r="S1860" s="163"/>
    </row>
    <row r="1861" spans="5:19">
      <c r="E1861" s="163"/>
      <c r="K1861" s="163"/>
      <c r="Q1861" s="163"/>
      <c r="R1861" s="163"/>
      <c r="S1861" s="163"/>
    </row>
    <row r="1862" spans="5:19">
      <c r="E1862" s="163"/>
      <c r="K1862" s="163"/>
      <c r="Q1862" s="163"/>
      <c r="R1862" s="163"/>
      <c r="S1862" s="163"/>
    </row>
    <row r="1863" spans="5:19">
      <c r="E1863" s="163"/>
      <c r="K1863" s="163"/>
      <c r="Q1863" s="163"/>
      <c r="R1863" s="163"/>
      <c r="S1863" s="163"/>
    </row>
    <row r="1864" spans="5:19">
      <c r="E1864" s="163"/>
      <c r="K1864" s="163"/>
      <c r="Q1864" s="163"/>
      <c r="R1864" s="163"/>
      <c r="S1864" s="163"/>
    </row>
    <row r="1865" spans="5:19">
      <c r="E1865" s="163"/>
      <c r="K1865" s="163"/>
      <c r="Q1865" s="163"/>
      <c r="R1865" s="163"/>
      <c r="S1865" s="163"/>
    </row>
    <row r="1866" spans="5:19">
      <c r="E1866" s="163"/>
      <c r="K1866" s="163"/>
      <c r="Q1866" s="163"/>
      <c r="R1866" s="163"/>
      <c r="S1866" s="163"/>
    </row>
    <row r="1867" spans="5:19">
      <c r="E1867" s="163"/>
      <c r="K1867" s="163"/>
      <c r="Q1867" s="163"/>
      <c r="R1867" s="163"/>
      <c r="S1867" s="163"/>
    </row>
    <row r="1868" spans="5:19">
      <c r="E1868" s="163"/>
      <c r="K1868" s="163"/>
      <c r="Q1868" s="163"/>
      <c r="R1868" s="163"/>
      <c r="S1868" s="163"/>
    </row>
    <row r="1869" spans="5:19">
      <c r="E1869" s="163"/>
      <c r="K1869" s="163"/>
      <c r="Q1869" s="163"/>
      <c r="R1869" s="163"/>
      <c r="S1869" s="163"/>
    </row>
    <row r="1870" spans="5:19">
      <c r="E1870" s="163"/>
      <c r="K1870" s="163"/>
      <c r="Q1870" s="163"/>
      <c r="R1870" s="163"/>
      <c r="S1870" s="163"/>
    </row>
    <row r="1871" spans="5:19">
      <c r="E1871" s="163"/>
      <c r="K1871" s="163"/>
      <c r="Q1871" s="163"/>
      <c r="R1871" s="163"/>
      <c r="S1871" s="163"/>
    </row>
    <row r="1872" spans="5:19">
      <c r="E1872" s="163"/>
      <c r="K1872" s="163"/>
      <c r="Q1872" s="163"/>
      <c r="R1872" s="163"/>
      <c r="S1872" s="163"/>
    </row>
    <row r="1873" spans="5:19">
      <c r="E1873" s="163"/>
      <c r="K1873" s="163"/>
      <c r="Q1873" s="163"/>
      <c r="R1873" s="163"/>
      <c r="S1873" s="163"/>
    </row>
    <row r="1874" spans="5:19">
      <c r="E1874" s="163"/>
      <c r="K1874" s="163"/>
      <c r="Q1874" s="163"/>
      <c r="R1874" s="163"/>
      <c r="S1874" s="163"/>
    </row>
    <row r="1875" spans="5:19">
      <c r="E1875" s="163"/>
      <c r="K1875" s="163"/>
      <c r="Q1875" s="163"/>
      <c r="R1875" s="163"/>
      <c r="S1875" s="163"/>
    </row>
    <row r="1876" spans="5:19">
      <c r="E1876" s="163"/>
      <c r="K1876" s="163"/>
      <c r="Q1876" s="163"/>
      <c r="R1876" s="163"/>
      <c r="S1876" s="163"/>
    </row>
    <row r="1877" spans="5:19">
      <c r="E1877" s="163"/>
      <c r="K1877" s="163"/>
      <c r="Q1877" s="163"/>
      <c r="R1877" s="163"/>
      <c r="S1877" s="163"/>
    </row>
    <row r="1878" spans="5:19">
      <c r="E1878" s="163"/>
      <c r="K1878" s="163"/>
      <c r="Q1878" s="163"/>
      <c r="R1878" s="163"/>
      <c r="S1878" s="163"/>
    </row>
    <row r="1879" spans="5:19">
      <c r="E1879" s="163"/>
      <c r="K1879" s="163"/>
      <c r="Q1879" s="163"/>
      <c r="R1879" s="163"/>
      <c r="S1879" s="163"/>
    </row>
    <row r="1880" spans="5:19">
      <c r="E1880" s="163"/>
      <c r="K1880" s="163"/>
      <c r="Q1880" s="163"/>
      <c r="R1880" s="163"/>
      <c r="S1880" s="163"/>
    </row>
    <row r="1881" spans="5:19">
      <c r="E1881" s="163"/>
      <c r="K1881" s="163"/>
      <c r="Q1881" s="163"/>
      <c r="R1881" s="163"/>
      <c r="S1881" s="163"/>
    </row>
    <row r="1882" spans="5:19">
      <c r="E1882" s="163"/>
      <c r="K1882" s="163"/>
      <c r="Q1882" s="163"/>
      <c r="R1882" s="163"/>
      <c r="S1882" s="163"/>
    </row>
    <row r="1883" spans="5:19">
      <c r="E1883" s="163"/>
      <c r="K1883" s="163"/>
      <c r="Q1883" s="163"/>
      <c r="R1883" s="163"/>
      <c r="S1883" s="163"/>
    </row>
    <row r="1884" spans="5:19">
      <c r="E1884" s="163"/>
      <c r="K1884" s="163"/>
      <c r="Q1884" s="163"/>
      <c r="R1884" s="163"/>
      <c r="S1884" s="163"/>
    </row>
    <row r="1885" spans="5:19">
      <c r="E1885" s="163"/>
      <c r="K1885" s="163"/>
      <c r="Q1885" s="163"/>
      <c r="R1885" s="163"/>
      <c r="S1885" s="163"/>
    </row>
    <row r="1886" spans="5:19">
      <c r="E1886" s="163"/>
      <c r="K1886" s="163"/>
      <c r="Q1886" s="163"/>
      <c r="R1886" s="163"/>
      <c r="S1886" s="163"/>
    </row>
    <row r="1887" spans="5:19">
      <c r="E1887" s="163"/>
      <c r="K1887" s="163"/>
      <c r="Q1887" s="163"/>
      <c r="R1887" s="163"/>
      <c r="S1887" s="163"/>
    </row>
    <row r="1888" spans="5:19">
      <c r="E1888" s="163"/>
      <c r="K1888" s="163"/>
      <c r="Q1888" s="163"/>
      <c r="R1888" s="163"/>
      <c r="S1888" s="163"/>
    </row>
    <row r="1889" spans="5:19">
      <c r="E1889" s="163"/>
      <c r="K1889" s="163"/>
      <c r="Q1889" s="163"/>
      <c r="R1889" s="163"/>
      <c r="S1889" s="163"/>
    </row>
    <row r="1890" spans="5:19">
      <c r="E1890" s="163"/>
      <c r="K1890" s="163"/>
      <c r="Q1890" s="163"/>
      <c r="R1890" s="163"/>
      <c r="S1890" s="163"/>
    </row>
    <row r="1891" spans="5:19">
      <c r="E1891" s="163"/>
      <c r="K1891" s="163"/>
      <c r="Q1891" s="163"/>
      <c r="R1891" s="163"/>
      <c r="S1891" s="163"/>
    </row>
    <row r="1892" spans="5:19">
      <c r="E1892" s="163"/>
      <c r="K1892" s="163"/>
      <c r="Q1892" s="163"/>
      <c r="R1892" s="163"/>
      <c r="S1892" s="163"/>
    </row>
    <row r="1893" spans="5:19">
      <c r="E1893" s="163"/>
      <c r="K1893" s="163"/>
      <c r="Q1893" s="163"/>
      <c r="R1893" s="163"/>
      <c r="S1893" s="163"/>
    </row>
    <row r="1894" spans="5:19">
      <c r="E1894" s="163"/>
      <c r="K1894" s="163"/>
      <c r="Q1894" s="163"/>
      <c r="R1894" s="163"/>
      <c r="S1894" s="163"/>
    </row>
    <row r="1895" spans="5:19">
      <c r="E1895" s="163"/>
      <c r="K1895" s="163"/>
      <c r="Q1895" s="163"/>
      <c r="R1895" s="163"/>
      <c r="S1895" s="163"/>
    </row>
    <row r="1896" spans="5:19">
      <c r="E1896" s="163"/>
      <c r="K1896" s="163"/>
      <c r="Q1896" s="163"/>
      <c r="R1896" s="163"/>
      <c r="S1896" s="163"/>
    </row>
    <row r="1897" spans="5:19">
      <c r="E1897" s="163"/>
      <c r="K1897" s="163"/>
      <c r="Q1897" s="163"/>
      <c r="R1897" s="163"/>
      <c r="S1897" s="163"/>
    </row>
    <row r="1898" spans="5:19">
      <c r="E1898" s="163"/>
      <c r="K1898" s="163"/>
      <c r="Q1898" s="163"/>
      <c r="R1898" s="163"/>
      <c r="S1898" s="163"/>
    </row>
    <row r="1899" spans="5:19">
      <c r="E1899" s="163"/>
      <c r="K1899" s="163"/>
      <c r="Q1899" s="163"/>
      <c r="R1899" s="163"/>
      <c r="S1899" s="163"/>
    </row>
    <row r="1900" spans="5:19">
      <c r="E1900" s="163"/>
      <c r="K1900" s="163"/>
      <c r="Q1900" s="163"/>
      <c r="R1900" s="163"/>
      <c r="S1900" s="163"/>
    </row>
    <row r="1901" spans="5:19">
      <c r="E1901" s="163"/>
      <c r="K1901" s="163"/>
      <c r="Q1901" s="163"/>
      <c r="R1901" s="163"/>
      <c r="S1901" s="163"/>
    </row>
    <row r="1902" spans="5:19">
      <c r="E1902" s="163"/>
      <c r="K1902" s="163"/>
      <c r="Q1902" s="163"/>
      <c r="R1902" s="163"/>
      <c r="S1902" s="163"/>
    </row>
    <row r="1903" spans="5:19">
      <c r="E1903" s="163"/>
      <c r="K1903" s="163"/>
      <c r="Q1903" s="163"/>
      <c r="R1903" s="163"/>
      <c r="S1903" s="163"/>
    </row>
    <row r="1904" spans="5:19">
      <c r="E1904" s="163"/>
      <c r="K1904" s="163"/>
      <c r="Q1904" s="163"/>
      <c r="R1904" s="163"/>
      <c r="S1904" s="163"/>
    </row>
    <row r="1905" spans="5:19">
      <c r="E1905" s="163"/>
      <c r="K1905" s="163"/>
      <c r="Q1905" s="163"/>
      <c r="R1905" s="163"/>
      <c r="S1905" s="163"/>
    </row>
    <row r="1906" spans="5:19">
      <c r="E1906" s="163"/>
      <c r="K1906" s="163"/>
      <c r="Q1906" s="163"/>
      <c r="R1906" s="163"/>
      <c r="S1906" s="163"/>
    </row>
    <row r="1907" spans="5:19">
      <c r="E1907" s="163"/>
      <c r="K1907" s="163"/>
      <c r="Q1907" s="163"/>
      <c r="R1907" s="163"/>
      <c r="S1907" s="163"/>
    </row>
    <row r="1908" spans="5:19">
      <c r="E1908" s="163"/>
      <c r="K1908" s="163"/>
      <c r="Q1908" s="163"/>
      <c r="R1908" s="163"/>
      <c r="S1908" s="163"/>
    </row>
    <row r="1909" spans="5:19">
      <c r="E1909" s="163"/>
      <c r="K1909" s="163"/>
      <c r="Q1909" s="163"/>
      <c r="R1909" s="163"/>
      <c r="S1909" s="163"/>
    </row>
    <row r="1910" spans="5:19">
      <c r="E1910" s="163"/>
      <c r="K1910" s="163"/>
      <c r="Q1910" s="163"/>
      <c r="R1910" s="163"/>
      <c r="S1910" s="163"/>
    </row>
    <row r="1911" spans="5:19">
      <c r="E1911" s="163"/>
      <c r="K1911" s="163"/>
      <c r="Q1911" s="163"/>
      <c r="R1911" s="163"/>
      <c r="S1911" s="163"/>
    </row>
    <row r="1912" spans="5:19">
      <c r="E1912" s="163"/>
      <c r="K1912" s="163"/>
      <c r="Q1912" s="163"/>
      <c r="R1912" s="163"/>
      <c r="S1912" s="163"/>
    </row>
    <row r="1913" spans="5:19">
      <c r="E1913" s="163"/>
      <c r="K1913" s="163"/>
      <c r="Q1913" s="163"/>
      <c r="R1913" s="163"/>
      <c r="S1913" s="163"/>
    </row>
    <row r="1914" spans="5:19">
      <c r="E1914" s="163"/>
      <c r="K1914" s="163"/>
      <c r="Q1914" s="163"/>
      <c r="R1914" s="163"/>
      <c r="S1914" s="163"/>
    </row>
    <row r="1915" spans="5:19">
      <c r="E1915" s="163"/>
      <c r="K1915" s="163"/>
      <c r="Q1915" s="163"/>
      <c r="R1915" s="163"/>
      <c r="S1915" s="163"/>
    </row>
    <row r="1916" spans="5:19">
      <c r="E1916" s="163"/>
      <c r="K1916" s="163"/>
      <c r="Q1916" s="163"/>
      <c r="R1916" s="163"/>
      <c r="S1916" s="163"/>
    </row>
    <row r="1917" spans="5:19">
      <c r="E1917" s="163"/>
      <c r="K1917" s="163"/>
      <c r="Q1917" s="163"/>
      <c r="R1917" s="163"/>
      <c r="S1917" s="163"/>
    </row>
    <row r="1918" spans="5:19">
      <c r="E1918" s="163"/>
      <c r="K1918" s="163"/>
      <c r="Q1918" s="163"/>
      <c r="R1918" s="163"/>
      <c r="S1918" s="163"/>
    </row>
    <row r="1919" spans="5:19">
      <c r="E1919" s="163"/>
      <c r="K1919" s="163"/>
      <c r="Q1919" s="163"/>
      <c r="R1919" s="163"/>
      <c r="S1919" s="163"/>
    </row>
    <row r="1920" spans="5:19">
      <c r="E1920" s="163"/>
      <c r="K1920" s="163"/>
      <c r="Q1920" s="163"/>
      <c r="R1920" s="163"/>
      <c r="S1920" s="163"/>
    </row>
    <row r="1921" spans="5:19">
      <c r="E1921" s="163"/>
      <c r="K1921" s="163"/>
      <c r="Q1921" s="163"/>
      <c r="R1921" s="163"/>
      <c r="S1921" s="163"/>
    </row>
    <row r="1922" spans="5:19">
      <c r="E1922" s="163"/>
      <c r="K1922" s="163"/>
      <c r="Q1922" s="163"/>
      <c r="R1922" s="163"/>
      <c r="S1922" s="163"/>
    </row>
    <row r="1923" spans="5:19">
      <c r="E1923" s="163"/>
      <c r="K1923" s="163"/>
      <c r="Q1923" s="163"/>
      <c r="R1923" s="163"/>
      <c r="S1923" s="163"/>
    </row>
    <row r="1924" spans="5:19">
      <c r="E1924" s="163"/>
      <c r="K1924" s="163"/>
      <c r="Q1924" s="163"/>
      <c r="R1924" s="163"/>
      <c r="S1924" s="163"/>
    </row>
    <row r="1925" spans="5:19">
      <c r="E1925" s="163"/>
      <c r="K1925" s="163"/>
      <c r="Q1925" s="163"/>
      <c r="R1925" s="163"/>
      <c r="S1925" s="163"/>
    </row>
    <row r="1926" spans="5:19">
      <c r="E1926" s="163"/>
      <c r="K1926" s="163"/>
      <c r="Q1926" s="163"/>
      <c r="R1926" s="163"/>
      <c r="S1926" s="163"/>
    </row>
    <row r="1927" spans="5:19">
      <c r="E1927" s="163"/>
      <c r="K1927" s="163"/>
      <c r="Q1927" s="163"/>
      <c r="R1927" s="163"/>
      <c r="S1927" s="163"/>
    </row>
    <row r="1928" spans="5:19">
      <c r="E1928" s="163"/>
      <c r="K1928" s="163"/>
      <c r="Q1928" s="163"/>
      <c r="R1928" s="163"/>
      <c r="S1928" s="163"/>
    </row>
    <row r="1929" spans="5:19">
      <c r="E1929" s="163"/>
      <c r="K1929" s="163"/>
      <c r="Q1929" s="163"/>
      <c r="R1929" s="163"/>
      <c r="S1929" s="163"/>
    </row>
    <row r="1930" spans="5:19">
      <c r="E1930" s="163"/>
      <c r="K1930" s="163"/>
      <c r="Q1930" s="163"/>
      <c r="R1930" s="163"/>
      <c r="S1930" s="163"/>
    </row>
    <row r="1931" spans="5:19">
      <c r="E1931" s="163"/>
      <c r="K1931" s="163"/>
      <c r="Q1931" s="163"/>
      <c r="R1931" s="163"/>
      <c r="S1931" s="163"/>
    </row>
    <row r="1932" spans="5:19">
      <c r="E1932" s="163"/>
      <c r="K1932" s="163"/>
      <c r="Q1932" s="163"/>
      <c r="R1932" s="163"/>
      <c r="S1932" s="163"/>
    </row>
    <row r="1933" spans="5:19">
      <c r="E1933" s="163"/>
      <c r="K1933" s="163"/>
      <c r="Q1933" s="163"/>
      <c r="R1933" s="163"/>
      <c r="S1933" s="163"/>
    </row>
    <row r="1934" spans="5:19">
      <c r="E1934" s="163"/>
      <c r="K1934" s="163"/>
      <c r="Q1934" s="163"/>
      <c r="R1934" s="163"/>
      <c r="S1934" s="163"/>
    </row>
    <row r="1935" spans="5:19">
      <c r="E1935" s="163"/>
      <c r="K1935" s="163"/>
      <c r="Q1935" s="163"/>
      <c r="R1935" s="163"/>
      <c r="S1935" s="163"/>
    </row>
    <row r="1936" spans="5:19">
      <c r="E1936" s="163"/>
      <c r="K1936" s="163"/>
      <c r="Q1936" s="163"/>
      <c r="R1936" s="163"/>
      <c r="S1936" s="163"/>
    </row>
    <row r="1937" spans="5:19">
      <c r="E1937" s="163"/>
      <c r="K1937" s="163"/>
      <c r="Q1937" s="163"/>
      <c r="R1937" s="163"/>
      <c r="S1937" s="163"/>
    </row>
    <row r="1938" spans="5:19">
      <c r="E1938" s="163"/>
      <c r="K1938" s="163"/>
      <c r="Q1938" s="163"/>
      <c r="R1938" s="163"/>
      <c r="S1938" s="163"/>
    </row>
    <row r="1939" spans="5:19">
      <c r="E1939" s="163"/>
      <c r="K1939" s="163"/>
      <c r="Q1939" s="163"/>
      <c r="R1939" s="163"/>
      <c r="S1939" s="163"/>
    </row>
    <row r="1940" spans="5:19">
      <c r="E1940" s="163"/>
      <c r="K1940" s="163"/>
      <c r="Q1940" s="163"/>
      <c r="R1940" s="163"/>
      <c r="S1940" s="163"/>
    </row>
    <row r="1941" spans="5:19">
      <c r="E1941" s="163"/>
      <c r="K1941" s="163"/>
      <c r="Q1941" s="163"/>
      <c r="R1941" s="163"/>
      <c r="S1941" s="163"/>
    </row>
    <row r="1942" spans="5:19">
      <c r="E1942" s="163"/>
      <c r="K1942" s="163"/>
      <c r="Q1942" s="163"/>
      <c r="R1942" s="163"/>
      <c r="S1942" s="163"/>
    </row>
    <row r="1943" spans="5:19">
      <c r="E1943" s="163"/>
      <c r="K1943" s="163"/>
      <c r="Q1943" s="163"/>
      <c r="R1943" s="163"/>
      <c r="S1943" s="163"/>
    </row>
    <row r="1944" spans="5:19">
      <c r="E1944" s="163"/>
      <c r="K1944" s="163"/>
      <c r="Q1944" s="163"/>
      <c r="R1944" s="163"/>
      <c r="S1944" s="163"/>
    </row>
    <row r="1945" spans="5:19">
      <c r="E1945" s="163"/>
      <c r="K1945" s="163"/>
      <c r="Q1945" s="163"/>
      <c r="R1945" s="163"/>
      <c r="S1945" s="163"/>
    </row>
    <row r="1946" spans="5:19">
      <c r="E1946" s="163"/>
      <c r="K1946" s="163"/>
      <c r="Q1946" s="163"/>
      <c r="R1946" s="163"/>
      <c r="S1946" s="163"/>
    </row>
    <row r="1947" spans="5:19">
      <c r="E1947" s="163"/>
      <c r="K1947" s="163"/>
      <c r="Q1947" s="163"/>
      <c r="R1947" s="163"/>
      <c r="S1947" s="163"/>
    </row>
    <row r="1948" spans="5:19">
      <c r="E1948" s="163"/>
      <c r="K1948" s="163"/>
      <c r="Q1948" s="163"/>
      <c r="R1948" s="163"/>
      <c r="S1948" s="163"/>
    </row>
    <row r="1949" spans="5:19">
      <c r="E1949" s="163"/>
      <c r="K1949" s="163"/>
      <c r="Q1949" s="163"/>
      <c r="R1949" s="163"/>
      <c r="S1949" s="163"/>
    </row>
    <row r="1950" spans="5:19">
      <c r="E1950" s="163"/>
      <c r="K1950" s="163"/>
      <c r="Q1950" s="163"/>
      <c r="R1950" s="163"/>
      <c r="S1950" s="163"/>
    </row>
    <row r="1951" spans="5:19">
      <c r="E1951" s="163"/>
      <c r="K1951" s="163"/>
      <c r="Q1951" s="163"/>
      <c r="R1951" s="163"/>
      <c r="S1951" s="163"/>
    </row>
    <row r="1952" spans="5:19">
      <c r="E1952" s="163"/>
      <c r="K1952" s="163"/>
      <c r="Q1952" s="163"/>
      <c r="R1952" s="163"/>
      <c r="S1952" s="163"/>
    </row>
    <row r="1953" spans="5:19">
      <c r="E1953" s="163"/>
      <c r="K1953" s="163"/>
      <c r="Q1953" s="163"/>
      <c r="R1953" s="163"/>
      <c r="S1953" s="163"/>
    </row>
    <row r="1954" spans="5:19">
      <c r="E1954" s="163"/>
      <c r="K1954" s="163"/>
      <c r="Q1954" s="163"/>
      <c r="R1954" s="163"/>
      <c r="S1954" s="163"/>
    </row>
    <row r="1955" spans="5:19">
      <c r="E1955" s="163"/>
      <c r="K1955" s="163"/>
      <c r="Q1955" s="163"/>
      <c r="R1955" s="163"/>
      <c r="S1955" s="163"/>
    </row>
    <row r="1956" spans="5:19">
      <c r="E1956" s="163"/>
      <c r="K1956" s="163"/>
      <c r="Q1956" s="163"/>
      <c r="R1956" s="163"/>
      <c r="S1956" s="163"/>
    </row>
    <row r="1957" spans="5:19">
      <c r="E1957" s="163"/>
      <c r="K1957" s="163"/>
      <c r="Q1957" s="163"/>
      <c r="R1957" s="163"/>
      <c r="S1957" s="163"/>
    </row>
    <row r="1958" spans="5:19">
      <c r="E1958" s="163"/>
      <c r="K1958" s="163"/>
      <c r="Q1958" s="163"/>
      <c r="R1958" s="163"/>
      <c r="S1958" s="163"/>
    </row>
    <row r="1959" spans="5:19">
      <c r="E1959" s="163"/>
      <c r="K1959" s="163"/>
      <c r="Q1959" s="163"/>
      <c r="R1959" s="163"/>
      <c r="S1959" s="163"/>
    </row>
    <row r="1960" spans="5:19">
      <c r="E1960" s="163"/>
      <c r="K1960" s="163"/>
      <c r="Q1960" s="163"/>
      <c r="R1960" s="163"/>
      <c r="S1960" s="163"/>
    </row>
    <row r="1961" spans="5:19">
      <c r="E1961" s="163"/>
      <c r="K1961" s="163"/>
      <c r="Q1961" s="163"/>
      <c r="R1961" s="163"/>
      <c r="S1961" s="163"/>
    </row>
    <row r="1962" spans="5:19">
      <c r="E1962" s="163"/>
      <c r="K1962" s="163"/>
      <c r="Q1962" s="163"/>
      <c r="R1962" s="163"/>
      <c r="S1962" s="163"/>
    </row>
    <row r="1963" spans="5:19">
      <c r="E1963" s="163"/>
      <c r="K1963" s="163"/>
      <c r="Q1963" s="163"/>
      <c r="R1963" s="163"/>
      <c r="S1963" s="163"/>
    </row>
    <row r="1964" spans="5:19">
      <c r="E1964" s="163"/>
      <c r="K1964" s="163"/>
      <c r="Q1964" s="163"/>
      <c r="R1964" s="163"/>
      <c r="S1964" s="163"/>
    </row>
    <row r="1965" spans="5:19">
      <c r="E1965" s="163"/>
      <c r="K1965" s="163"/>
      <c r="Q1965" s="163"/>
      <c r="R1965" s="163"/>
      <c r="S1965" s="163"/>
    </row>
    <row r="1966" spans="5:19">
      <c r="E1966" s="163"/>
      <c r="K1966" s="163"/>
      <c r="Q1966" s="163"/>
      <c r="R1966" s="163"/>
      <c r="S1966" s="163"/>
    </row>
    <row r="1967" spans="5:19">
      <c r="E1967" s="163"/>
      <c r="K1967" s="163"/>
      <c r="Q1967" s="163"/>
      <c r="R1967" s="163"/>
      <c r="S1967" s="163"/>
    </row>
    <row r="1968" spans="5:19">
      <c r="E1968" s="163"/>
      <c r="K1968" s="163"/>
      <c r="Q1968" s="163"/>
      <c r="R1968" s="163"/>
      <c r="S1968" s="163"/>
    </row>
    <row r="1969" spans="5:19">
      <c r="E1969" s="163"/>
      <c r="K1969" s="163"/>
      <c r="Q1969" s="163"/>
      <c r="R1969" s="163"/>
      <c r="S1969" s="163"/>
    </row>
    <row r="1970" spans="5:19">
      <c r="E1970" s="163"/>
      <c r="K1970" s="163"/>
      <c r="Q1970" s="163"/>
      <c r="R1970" s="163"/>
      <c r="S1970" s="163"/>
    </row>
    <row r="1971" spans="5:19">
      <c r="E1971" s="163"/>
      <c r="K1971" s="163"/>
      <c r="Q1971" s="163"/>
      <c r="R1971" s="163"/>
      <c r="S1971" s="163"/>
    </row>
    <row r="1972" spans="5:19">
      <c r="E1972" s="163"/>
      <c r="K1972" s="163"/>
      <c r="Q1972" s="163"/>
      <c r="R1972" s="163"/>
      <c r="S1972" s="163"/>
    </row>
    <row r="1973" spans="5:19">
      <c r="E1973" s="163"/>
      <c r="K1973" s="163"/>
      <c r="Q1973" s="163"/>
      <c r="R1973" s="163"/>
      <c r="S1973" s="163"/>
    </row>
    <row r="1974" spans="5:19">
      <c r="E1974" s="163"/>
      <c r="K1974" s="163"/>
      <c r="Q1974" s="163"/>
      <c r="R1974" s="163"/>
      <c r="S1974" s="163"/>
    </row>
    <row r="1975" spans="5:19">
      <c r="E1975" s="163"/>
      <c r="K1975" s="163"/>
      <c r="Q1975" s="163"/>
      <c r="R1975" s="163"/>
      <c r="S1975" s="163"/>
    </row>
    <row r="1976" spans="5:19">
      <c r="E1976" s="163"/>
      <c r="K1976" s="163"/>
      <c r="Q1976" s="163"/>
      <c r="R1976" s="163"/>
      <c r="S1976" s="163"/>
    </row>
    <row r="1977" spans="5:19">
      <c r="E1977" s="163"/>
      <c r="K1977" s="163"/>
      <c r="Q1977" s="163"/>
      <c r="R1977" s="163"/>
      <c r="S1977" s="163"/>
    </row>
    <row r="1978" spans="5:19">
      <c r="E1978" s="163"/>
      <c r="K1978" s="163"/>
      <c r="Q1978" s="163"/>
      <c r="R1978" s="163"/>
      <c r="S1978" s="163"/>
    </row>
    <row r="1979" spans="5:19">
      <c r="E1979" s="163"/>
      <c r="K1979" s="163"/>
      <c r="Q1979" s="163"/>
      <c r="R1979" s="163"/>
      <c r="S1979" s="163"/>
    </row>
    <row r="1980" spans="5:19">
      <c r="E1980" s="163"/>
      <c r="K1980" s="163"/>
      <c r="Q1980" s="163"/>
      <c r="R1980" s="163"/>
      <c r="S1980" s="163"/>
    </row>
    <row r="1981" spans="5:19">
      <c r="E1981" s="163"/>
      <c r="K1981" s="163"/>
      <c r="Q1981" s="163"/>
      <c r="R1981" s="163"/>
      <c r="S1981" s="163"/>
    </row>
    <row r="1982" spans="5:19">
      <c r="E1982" s="163"/>
      <c r="K1982" s="163"/>
      <c r="Q1982" s="163"/>
      <c r="R1982" s="163"/>
      <c r="S1982" s="163"/>
    </row>
    <row r="1983" spans="5:19">
      <c r="E1983" s="163"/>
      <c r="K1983" s="163"/>
      <c r="Q1983" s="163"/>
      <c r="R1983" s="163"/>
      <c r="S1983" s="163"/>
    </row>
    <row r="1984" spans="5:19">
      <c r="E1984" s="163"/>
      <c r="K1984" s="163"/>
      <c r="Q1984" s="163"/>
      <c r="R1984" s="163"/>
      <c r="S1984" s="163"/>
    </row>
    <row r="1985" spans="5:19">
      <c r="E1985" s="163"/>
      <c r="K1985" s="163"/>
      <c r="Q1985" s="163"/>
      <c r="R1985" s="163"/>
      <c r="S1985" s="163"/>
    </row>
    <row r="1986" spans="5:19">
      <c r="E1986" s="163"/>
      <c r="K1986" s="163"/>
      <c r="Q1986" s="163"/>
      <c r="R1986" s="163"/>
      <c r="S1986" s="163"/>
    </row>
    <row r="1987" spans="5:19">
      <c r="E1987" s="163"/>
      <c r="K1987" s="163"/>
      <c r="Q1987" s="163"/>
      <c r="R1987" s="163"/>
      <c r="S1987" s="163"/>
    </row>
    <row r="1988" spans="5:19">
      <c r="E1988" s="163"/>
      <c r="K1988" s="163"/>
      <c r="Q1988" s="163"/>
      <c r="R1988" s="163"/>
      <c r="S1988" s="163"/>
    </row>
    <row r="1989" spans="5:19">
      <c r="E1989" s="163"/>
      <c r="K1989" s="163"/>
      <c r="Q1989" s="163"/>
      <c r="R1989" s="163"/>
      <c r="S1989" s="163"/>
    </row>
    <row r="1990" spans="5:19">
      <c r="E1990" s="163"/>
      <c r="K1990" s="163"/>
      <c r="Q1990" s="163"/>
      <c r="R1990" s="163"/>
      <c r="S1990" s="163"/>
    </row>
    <row r="1991" spans="5:19">
      <c r="E1991" s="163"/>
      <c r="K1991" s="163"/>
      <c r="Q1991" s="163"/>
      <c r="R1991" s="163"/>
      <c r="S1991" s="163"/>
    </row>
    <row r="1992" spans="5:19">
      <c r="E1992" s="163"/>
      <c r="K1992" s="163"/>
      <c r="Q1992" s="163"/>
      <c r="R1992" s="163"/>
      <c r="S1992" s="163"/>
    </row>
    <row r="1993" spans="5:19">
      <c r="E1993" s="163"/>
      <c r="K1993" s="163"/>
      <c r="Q1993" s="163"/>
      <c r="R1993" s="163"/>
      <c r="S1993" s="163"/>
    </row>
    <row r="1994" spans="5:19">
      <c r="E1994" s="163"/>
      <c r="K1994" s="163"/>
      <c r="Q1994" s="163"/>
      <c r="R1994" s="163"/>
      <c r="S1994" s="163"/>
    </row>
    <row r="1995" spans="5:19">
      <c r="E1995" s="163"/>
      <c r="K1995" s="163"/>
      <c r="Q1995" s="163"/>
      <c r="R1995" s="163"/>
      <c r="S1995" s="163"/>
    </row>
    <row r="1996" spans="5:19">
      <c r="E1996" s="163"/>
      <c r="K1996" s="163"/>
      <c r="Q1996" s="163"/>
      <c r="R1996" s="163"/>
      <c r="S1996" s="163"/>
    </row>
    <row r="1997" spans="5:19">
      <c r="E1997" s="163"/>
      <c r="K1997" s="163"/>
      <c r="Q1997" s="163"/>
      <c r="R1997" s="163"/>
      <c r="S1997" s="163"/>
    </row>
    <row r="1998" spans="5:19">
      <c r="E1998" s="163"/>
      <c r="K1998" s="163"/>
      <c r="Q1998" s="163"/>
      <c r="R1998" s="163"/>
      <c r="S1998" s="163"/>
    </row>
    <row r="1999" spans="5:19">
      <c r="E1999" s="163"/>
      <c r="K1999" s="163"/>
      <c r="Q1999" s="163"/>
      <c r="R1999" s="163"/>
      <c r="S1999" s="163"/>
    </row>
    <row r="2000" spans="5:19">
      <c r="E2000" s="163"/>
      <c r="K2000" s="163"/>
      <c r="Q2000" s="163"/>
      <c r="R2000" s="163"/>
      <c r="S2000" s="163"/>
    </row>
    <row r="2001" spans="5:19">
      <c r="E2001" s="163"/>
      <c r="K2001" s="163"/>
      <c r="Q2001" s="163"/>
      <c r="R2001" s="163"/>
      <c r="S2001" s="163"/>
    </row>
    <row r="2002" spans="5:19">
      <c r="E2002" s="163"/>
      <c r="K2002" s="163"/>
      <c r="Q2002" s="163"/>
      <c r="R2002" s="163"/>
      <c r="S2002" s="163"/>
    </row>
    <row r="2003" spans="5:19">
      <c r="E2003" s="163"/>
      <c r="K2003" s="163"/>
      <c r="Q2003" s="163"/>
      <c r="R2003" s="163"/>
      <c r="S2003" s="163"/>
    </row>
    <row r="2004" spans="5:19">
      <c r="E2004" s="163"/>
      <c r="K2004" s="163"/>
      <c r="Q2004" s="163"/>
      <c r="R2004" s="163"/>
      <c r="S2004" s="163"/>
    </row>
    <row r="2005" spans="5:19">
      <c r="E2005" s="163"/>
      <c r="K2005" s="163"/>
      <c r="Q2005" s="163"/>
      <c r="R2005" s="163"/>
      <c r="S2005" s="163"/>
    </row>
    <row r="2006" spans="5:19">
      <c r="E2006" s="163"/>
      <c r="K2006" s="163"/>
      <c r="Q2006" s="163"/>
      <c r="R2006" s="163"/>
      <c r="S2006" s="163"/>
    </row>
    <row r="2007" spans="5:19">
      <c r="E2007" s="163"/>
      <c r="K2007" s="163"/>
      <c r="Q2007" s="163"/>
      <c r="R2007" s="163"/>
      <c r="S2007" s="163"/>
    </row>
    <row r="2008" spans="5:19">
      <c r="E2008" s="163"/>
      <c r="K2008" s="163"/>
      <c r="Q2008" s="163"/>
      <c r="R2008" s="163"/>
      <c r="S2008" s="163"/>
    </row>
    <row r="2009" spans="5:19">
      <c r="E2009" s="163"/>
      <c r="K2009" s="163"/>
      <c r="Q2009" s="163"/>
      <c r="R2009" s="163"/>
      <c r="S2009" s="163"/>
    </row>
    <row r="2010" spans="5:19">
      <c r="E2010" s="163"/>
      <c r="K2010" s="163"/>
      <c r="Q2010" s="163"/>
      <c r="R2010" s="163"/>
      <c r="S2010" s="163"/>
    </row>
    <row r="2011" spans="5:19">
      <c r="E2011" s="163"/>
      <c r="K2011" s="163"/>
      <c r="Q2011" s="163"/>
      <c r="R2011" s="163"/>
      <c r="S2011" s="163"/>
    </row>
    <row r="2012" spans="5:19">
      <c r="E2012" s="163"/>
      <c r="K2012" s="163"/>
      <c r="Q2012" s="163"/>
      <c r="R2012" s="163"/>
      <c r="S2012" s="163"/>
    </row>
    <row r="2013" spans="5:19">
      <c r="E2013" s="163"/>
      <c r="K2013" s="163"/>
      <c r="Q2013" s="163"/>
      <c r="R2013" s="163"/>
      <c r="S2013" s="163"/>
    </row>
    <row r="2014" spans="5:19">
      <c r="E2014" s="163"/>
      <c r="K2014" s="163"/>
      <c r="Q2014" s="163"/>
      <c r="R2014" s="163"/>
      <c r="S2014" s="163"/>
    </row>
    <row r="2015" spans="5:19">
      <c r="E2015" s="163"/>
      <c r="K2015" s="163"/>
      <c r="Q2015" s="163"/>
      <c r="R2015" s="163"/>
      <c r="S2015" s="163"/>
    </row>
    <row r="2016" spans="5:19">
      <c r="E2016" s="163"/>
      <c r="K2016" s="163"/>
      <c r="Q2016" s="163"/>
      <c r="R2016" s="163"/>
      <c r="S2016" s="163"/>
    </row>
    <row r="2017" spans="5:19">
      <c r="E2017" s="163"/>
      <c r="K2017" s="163"/>
      <c r="Q2017" s="163"/>
      <c r="R2017" s="163"/>
      <c r="S2017" s="163"/>
    </row>
    <row r="2018" spans="5:19">
      <c r="E2018" s="163"/>
      <c r="K2018" s="163"/>
      <c r="Q2018" s="163"/>
      <c r="R2018" s="163"/>
      <c r="S2018" s="163"/>
    </row>
    <row r="2019" spans="5:19">
      <c r="E2019" s="163"/>
      <c r="K2019" s="163"/>
      <c r="Q2019" s="163"/>
      <c r="R2019" s="163"/>
      <c r="S2019" s="163"/>
    </row>
    <row r="2020" spans="5:19">
      <c r="E2020" s="163"/>
      <c r="K2020" s="163"/>
      <c r="Q2020" s="163"/>
      <c r="R2020" s="163"/>
      <c r="S2020" s="163"/>
    </row>
    <row r="2021" spans="5:19">
      <c r="E2021" s="163"/>
      <c r="K2021" s="163"/>
      <c r="Q2021" s="163"/>
      <c r="R2021" s="163"/>
      <c r="S2021" s="163"/>
    </row>
    <row r="2022" spans="5:19">
      <c r="E2022" s="163"/>
      <c r="K2022" s="163"/>
      <c r="Q2022" s="163"/>
      <c r="R2022" s="163"/>
      <c r="S2022" s="163"/>
    </row>
    <row r="2023" spans="5:19">
      <c r="E2023" s="163"/>
      <c r="K2023" s="163"/>
      <c r="Q2023" s="163"/>
      <c r="R2023" s="163"/>
      <c r="S2023" s="163"/>
    </row>
    <row r="2024" spans="5:19">
      <c r="E2024" s="163"/>
      <c r="K2024" s="163"/>
      <c r="Q2024" s="163"/>
      <c r="R2024" s="163"/>
      <c r="S2024" s="163"/>
    </row>
    <row r="2025" spans="5:19">
      <c r="E2025" s="163"/>
      <c r="K2025" s="163"/>
      <c r="Q2025" s="163"/>
      <c r="R2025" s="163"/>
      <c r="S2025" s="163"/>
    </row>
    <row r="2026" spans="5:19">
      <c r="E2026" s="163"/>
      <c r="K2026" s="163"/>
      <c r="Q2026" s="163"/>
      <c r="R2026" s="163"/>
      <c r="S2026" s="163"/>
    </row>
    <row r="2027" spans="5:19">
      <c r="E2027" s="163"/>
      <c r="K2027" s="163"/>
      <c r="Q2027" s="163"/>
      <c r="R2027" s="163"/>
      <c r="S2027" s="163"/>
    </row>
    <row r="2028" spans="5:19">
      <c r="E2028" s="163"/>
      <c r="K2028" s="163"/>
      <c r="Q2028" s="163"/>
      <c r="R2028" s="163"/>
      <c r="S2028" s="163"/>
    </row>
    <row r="2029" spans="5:19">
      <c r="E2029" s="163"/>
      <c r="K2029" s="163"/>
      <c r="Q2029" s="163"/>
      <c r="R2029" s="163"/>
      <c r="S2029" s="163"/>
    </row>
    <row r="2030" spans="5:19">
      <c r="E2030" s="163"/>
      <c r="K2030" s="163"/>
      <c r="Q2030" s="163"/>
      <c r="R2030" s="163"/>
      <c r="S2030" s="163"/>
    </row>
    <row r="2031" spans="5:19">
      <c r="E2031" s="163"/>
      <c r="K2031" s="163"/>
      <c r="Q2031" s="163"/>
      <c r="R2031" s="163"/>
      <c r="S2031" s="163"/>
    </row>
    <row r="2032" spans="5:19">
      <c r="E2032" s="163"/>
      <c r="K2032" s="163"/>
      <c r="Q2032" s="163"/>
      <c r="R2032" s="163"/>
      <c r="S2032" s="163"/>
    </row>
    <row r="2033" spans="5:19">
      <c r="E2033" s="163"/>
      <c r="K2033" s="163"/>
      <c r="Q2033" s="163"/>
      <c r="R2033" s="163"/>
      <c r="S2033" s="163"/>
    </row>
    <row r="2034" spans="5:19">
      <c r="E2034" s="163"/>
      <c r="K2034" s="163"/>
      <c r="Q2034" s="163"/>
      <c r="R2034" s="163"/>
      <c r="S2034" s="163"/>
    </row>
    <row r="2035" spans="5:19">
      <c r="E2035" s="163"/>
      <c r="K2035" s="163"/>
      <c r="Q2035" s="163"/>
      <c r="R2035" s="163"/>
      <c r="S2035" s="163"/>
    </row>
    <row r="2036" spans="5:19">
      <c r="E2036" s="163"/>
      <c r="K2036" s="163"/>
      <c r="Q2036" s="163"/>
      <c r="R2036" s="163"/>
      <c r="S2036" s="163"/>
    </row>
    <row r="2037" spans="5:19">
      <c r="E2037" s="163"/>
      <c r="K2037" s="163"/>
      <c r="Q2037" s="163"/>
      <c r="R2037" s="163"/>
      <c r="S2037" s="163"/>
    </row>
    <row r="2038" spans="5:19">
      <c r="E2038" s="163"/>
      <c r="K2038" s="163"/>
      <c r="Q2038" s="163"/>
      <c r="R2038" s="163"/>
      <c r="S2038" s="163"/>
    </row>
    <row r="2039" spans="5:19">
      <c r="E2039" s="163"/>
      <c r="K2039" s="163"/>
      <c r="Q2039" s="163"/>
      <c r="R2039" s="163"/>
      <c r="S2039" s="163"/>
    </row>
    <row r="2040" spans="5:19">
      <c r="E2040" s="163"/>
      <c r="K2040" s="163"/>
      <c r="Q2040" s="163"/>
      <c r="R2040" s="163"/>
      <c r="S2040" s="163"/>
    </row>
    <row r="2041" spans="5:19">
      <c r="E2041" s="163"/>
      <c r="K2041" s="163"/>
      <c r="Q2041" s="163"/>
      <c r="R2041" s="163"/>
      <c r="S2041" s="163"/>
    </row>
    <row r="2042" spans="5:19">
      <c r="E2042" s="163"/>
      <c r="K2042" s="163"/>
      <c r="Q2042" s="163"/>
      <c r="R2042" s="163"/>
      <c r="S2042" s="163"/>
    </row>
    <row r="2043" spans="5:19">
      <c r="E2043" s="163"/>
      <c r="K2043" s="163"/>
      <c r="Q2043" s="163"/>
      <c r="R2043" s="163"/>
      <c r="S2043" s="163"/>
    </row>
    <row r="2044" spans="5:19">
      <c r="E2044" s="163"/>
      <c r="K2044" s="163"/>
      <c r="Q2044" s="163"/>
      <c r="R2044" s="163"/>
      <c r="S2044" s="163"/>
    </row>
    <row r="2045" spans="5:19">
      <c r="E2045" s="163"/>
      <c r="K2045" s="163"/>
      <c r="Q2045" s="163"/>
      <c r="R2045" s="163"/>
      <c r="S2045" s="163"/>
    </row>
    <row r="2046" spans="5:19">
      <c r="E2046" s="163"/>
      <c r="K2046" s="163"/>
      <c r="Q2046" s="163"/>
      <c r="R2046" s="163"/>
      <c r="S2046" s="163"/>
    </row>
    <row r="2047" spans="5:19">
      <c r="E2047" s="163"/>
      <c r="K2047" s="163"/>
      <c r="Q2047" s="163"/>
      <c r="R2047" s="163"/>
      <c r="S2047" s="163"/>
    </row>
    <row r="2048" spans="5:19">
      <c r="E2048" s="163"/>
      <c r="K2048" s="163"/>
      <c r="Q2048" s="163"/>
      <c r="R2048" s="163"/>
      <c r="S2048" s="163"/>
    </row>
    <row r="2049" spans="5:19">
      <c r="E2049" s="163"/>
      <c r="K2049" s="163"/>
      <c r="Q2049" s="163"/>
      <c r="R2049" s="163"/>
      <c r="S2049" s="163"/>
    </row>
    <row r="2050" spans="5:19">
      <c r="E2050" s="163"/>
      <c r="K2050" s="163"/>
      <c r="Q2050" s="163"/>
      <c r="R2050" s="163"/>
      <c r="S2050" s="163"/>
    </row>
    <row r="2051" spans="5:19">
      <c r="E2051" s="163"/>
      <c r="K2051" s="163"/>
      <c r="Q2051" s="163"/>
      <c r="R2051" s="163"/>
      <c r="S2051" s="163"/>
    </row>
    <row r="2052" spans="5:19">
      <c r="E2052" s="163"/>
      <c r="K2052" s="163"/>
      <c r="Q2052" s="163"/>
      <c r="R2052" s="163"/>
      <c r="S2052" s="163"/>
    </row>
    <row r="2053" spans="5:19">
      <c r="E2053" s="163"/>
      <c r="K2053" s="163"/>
      <c r="Q2053" s="163"/>
      <c r="R2053" s="163"/>
      <c r="S2053" s="163"/>
    </row>
    <row r="2054" spans="5:19">
      <c r="E2054" s="163"/>
      <c r="K2054" s="163"/>
      <c r="Q2054" s="163"/>
      <c r="R2054" s="163"/>
      <c r="S2054" s="163"/>
    </row>
    <row r="2055" spans="5:19">
      <c r="E2055" s="163"/>
      <c r="K2055" s="163"/>
      <c r="Q2055" s="163"/>
      <c r="R2055" s="163"/>
      <c r="S2055" s="163"/>
    </row>
    <row r="2056" spans="5:19">
      <c r="E2056" s="163"/>
      <c r="K2056" s="163"/>
      <c r="Q2056" s="163"/>
      <c r="R2056" s="163"/>
      <c r="S2056" s="163"/>
    </row>
    <row r="2057" spans="5:19">
      <c r="E2057" s="163"/>
      <c r="K2057" s="163"/>
      <c r="Q2057" s="163"/>
      <c r="R2057" s="163"/>
      <c r="S2057" s="163"/>
    </row>
    <row r="2058" spans="5:19">
      <c r="E2058" s="163"/>
      <c r="K2058" s="163"/>
      <c r="Q2058" s="163"/>
      <c r="R2058" s="163"/>
      <c r="S2058" s="163"/>
    </row>
    <row r="2059" spans="5:19">
      <c r="E2059" s="163"/>
      <c r="K2059" s="163"/>
      <c r="Q2059" s="163"/>
      <c r="R2059" s="163"/>
      <c r="S2059" s="163"/>
    </row>
    <row r="2060" spans="5:19">
      <c r="E2060" s="163"/>
      <c r="K2060" s="163"/>
      <c r="Q2060" s="163"/>
      <c r="R2060" s="163"/>
      <c r="S2060" s="163"/>
    </row>
    <row r="2061" spans="5:19">
      <c r="E2061" s="163"/>
      <c r="K2061" s="163"/>
      <c r="Q2061" s="163"/>
      <c r="R2061" s="163"/>
      <c r="S2061" s="163"/>
    </row>
    <row r="2062" spans="5:19">
      <c r="E2062" s="163"/>
      <c r="K2062" s="163"/>
      <c r="Q2062" s="163"/>
      <c r="R2062" s="163"/>
      <c r="S2062" s="163"/>
    </row>
    <row r="2063" spans="5:19">
      <c r="E2063" s="163"/>
      <c r="K2063" s="163"/>
      <c r="Q2063" s="163"/>
      <c r="R2063" s="163"/>
      <c r="S2063" s="163"/>
    </row>
    <row r="2064" spans="5:19">
      <c r="E2064" s="163"/>
      <c r="K2064" s="163"/>
      <c r="Q2064" s="163"/>
      <c r="R2064" s="163"/>
      <c r="S2064" s="163"/>
    </row>
    <row r="2065" spans="5:19">
      <c r="E2065" s="163"/>
      <c r="K2065" s="163"/>
      <c r="Q2065" s="163"/>
      <c r="R2065" s="163"/>
      <c r="S2065" s="163"/>
    </row>
    <row r="2066" spans="5:19">
      <c r="E2066" s="163"/>
      <c r="K2066" s="163"/>
      <c r="Q2066" s="163"/>
      <c r="R2066" s="163"/>
      <c r="S2066" s="163"/>
    </row>
    <row r="2067" spans="5:19">
      <c r="E2067" s="163"/>
      <c r="K2067" s="163"/>
      <c r="Q2067" s="163"/>
      <c r="R2067" s="163"/>
      <c r="S2067" s="163"/>
    </row>
    <row r="2068" spans="5:19">
      <c r="E2068" s="163"/>
      <c r="K2068" s="163"/>
      <c r="Q2068" s="163"/>
      <c r="R2068" s="163"/>
      <c r="S2068" s="163"/>
    </row>
    <row r="2069" spans="5:19">
      <c r="E2069" s="163"/>
      <c r="K2069" s="163"/>
      <c r="Q2069" s="163"/>
      <c r="R2069" s="163"/>
      <c r="S2069" s="163"/>
    </row>
    <row r="2070" spans="5:19">
      <c r="E2070" s="163"/>
      <c r="K2070" s="163"/>
      <c r="Q2070" s="163"/>
      <c r="R2070" s="163"/>
      <c r="S2070" s="163"/>
    </row>
    <row r="2071" spans="5:19">
      <c r="E2071" s="163"/>
      <c r="K2071" s="163"/>
      <c r="Q2071" s="163"/>
      <c r="R2071" s="163"/>
      <c r="S2071" s="163"/>
    </row>
    <row r="2072" spans="5:19">
      <c r="E2072" s="163"/>
      <c r="K2072" s="163"/>
      <c r="Q2072" s="163"/>
      <c r="R2072" s="163"/>
      <c r="S2072" s="163"/>
    </row>
    <row r="2073" spans="5:19">
      <c r="E2073" s="163"/>
      <c r="K2073" s="163"/>
      <c r="Q2073" s="163"/>
      <c r="R2073" s="163"/>
      <c r="S2073" s="163"/>
    </row>
    <row r="2074" spans="5:19">
      <c r="E2074" s="163"/>
      <c r="K2074" s="163"/>
      <c r="Q2074" s="163"/>
      <c r="R2074" s="163"/>
      <c r="S2074" s="163"/>
    </row>
    <row r="2075" spans="5:19">
      <c r="E2075" s="163"/>
      <c r="K2075" s="163"/>
      <c r="Q2075" s="163"/>
      <c r="R2075" s="163"/>
      <c r="S2075" s="163"/>
    </row>
    <row r="2076" spans="5:19">
      <c r="E2076" s="163"/>
      <c r="K2076" s="163"/>
      <c r="Q2076" s="163"/>
      <c r="R2076" s="163"/>
      <c r="S2076" s="163"/>
    </row>
    <row r="2077" spans="5:19">
      <c r="E2077" s="163"/>
      <c r="K2077" s="163"/>
      <c r="Q2077" s="163"/>
      <c r="R2077" s="163"/>
      <c r="S2077" s="163"/>
    </row>
    <row r="2078" spans="5:19">
      <c r="E2078" s="163"/>
      <c r="K2078" s="163"/>
      <c r="Q2078" s="163"/>
      <c r="R2078" s="163"/>
      <c r="S2078" s="163"/>
    </row>
    <row r="2079" spans="5:19">
      <c r="E2079" s="163"/>
      <c r="K2079" s="163"/>
      <c r="Q2079" s="163"/>
      <c r="R2079" s="163"/>
      <c r="S2079" s="163"/>
    </row>
    <row r="2080" spans="5:19">
      <c r="E2080" s="163"/>
      <c r="K2080" s="163"/>
      <c r="Q2080" s="163"/>
      <c r="R2080" s="163"/>
      <c r="S2080" s="163"/>
    </row>
    <row r="2081" spans="5:19">
      <c r="E2081" s="163"/>
      <c r="K2081" s="163"/>
      <c r="Q2081" s="163"/>
      <c r="R2081" s="163"/>
      <c r="S2081" s="163"/>
    </row>
    <row r="2082" spans="5:19">
      <c r="E2082" s="163"/>
      <c r="K2082" s="163"/>
      <c r="Q2082" s="163"/>
      <c r="R2082" s="163"/>
      <c r="S2082" s="163"/>
    </row>
    <row r="2083" spans="5:19">
      <c r="E2083" s="163"/>
      <c r="K2083" s="163"/>
      <c r="Q2083" s="163"/>
      <c r="R2083" s="163"/>
      <c r="S2083" s="163"/>
    </row>
    <row r="2084" spans="5:19">
      <c r="E2084" s="163"/>
      <c r="K2084" s="163"/>
      <c r="Q2084" s="163"/>
      <c r="R2084" s="163"/>
      <c r="S2084" s="163"/>
    </row>
    <row r="2085" spans="5:19">
      <c r="E2085" s="163"/>
      <c r="K2085" s="163"/>
      <c r="Q2085" s="163"/>
      <c r="R2085" s="163"/>
      <c r="S2085" s="163"/>
    </row>
    <row r="2086" spans="5:19">
      <c r="E2086" s="163"/>
      <c r="K2086" s="163"/>
      <c r="Q2086" s="163"/>
      <c r="R2086" s="163"/>
      <c r="S2086" s="163"/>
    </row>
    <row r="2087" spans="5:19">
      <c r="E2087" s="163"/>
      <c r="K2087" s="163"/>
      <c r="Q2087" s="163"/>
      <c r="R2087" s="163"/>
      <c r="S2087" s="163"/>
    </row>
    <row r="2088" spans="5:19">
      <c r="E2088" s="163"/>
      <c r="K2088" s="163"/>
      <c r="Q2088" s="163"/>
      <c r="R2088" s="163"/>
      <c r="S2088" s="163"/>
    </row>
    <row r="2089" spans="5:19">
      <c r="E2089" s="163"/>
      <c r="K2089" s="163"/>
      <c r="Q2089" s="163"/>
      <c r="R2089" s="163"/>
      <c r="S2089" s="163"/>
    </row>
    <row r="2090" spans="5:19">
      <c r="E2090" s="163"/>
      <c r="K2090" s="163"/>
      <c r="Q2090" s="163"/>
      <c r="R2090" s="163"/>
      <c r="S2090" s="163"/>
    </row>
    <row r="2091" spans="5:19">
      <c r="E2091" s="163"/>
      <c r="K2091" s="163"/>
      <c r="Q2091" s="163"/>
      <c r="R2091" s="163"/>
      <c r="S2091" s="163"/>
    </row>
    <row r="2092" spans="5:19">
      <c r="E2092" s="163"/>
      <c r="K2092" s="163"/>
      <c r="Q2092" s="163"/>
      <c r="R2092" s="163"/>
      <c r="S2092" s="163"/>
    </row>
    <row r="2093" spans="5:19">
      <c r="E2093" s="163"/>
      <c r="K2093" s="163"/>
      <c r="Q2093" s="163"/>
      <c r="R2093" s="163"/>
      <c r="S2093" s="163"/>
    </row>
    <row r="2094" spans="5:19">
      <c r="E2094" s="163"/>
      <c r="K2094" s="163"/>
      <c r="Q2094" s="163"/>
      <c r="R2094" s="163"/>
      <c r="S2094" s="163"/>
    </row>
    <row r="2095" spans="5:19">
      <c r="E2095" s="163"/>
      <c r="K2095" s="163"/>
      <c r="Q2095" s="163"/>
      <c r="R2095" s="163"/>
      <c r="S2095" s="163"/>
    </row>
    <row r="2096" spans="5:19">
      <c r="E2096" s="163"/>
      <c r="K2096" s="163"/>
      <c r="Q2096" s="163"/>
      <c r="R2096" s="163"/>
      <c r="S2096" s="163"/>
    </row>
    <row r="2097" spans="5:19">
      <c r="E2097" s="163"/>
      <c r="K2097" s="163"/>
      <c r="Q2097" s="163"/>
      <c r="R2097" s="163"/>
      <c r="S2097" s="163"/>
    </row>
    <row r="2098" spans="5:19">
      <c r="E2098" s="163"/>
      <c r="K2098" s="163"/>
      <c r="Q2098" s="163"/>
      <c r="R2098" s="163"/>
      <c r="S2098" s="163"/>
    </row>
    <row r="2099" spans="5:19">
      <c r="E2099" s="163"/>
      <c r="K2099" s="163"/>
      <c r="Q2099" s="163"/>
      <c r="R2099" s="163"/>
      <c r="S2099" s="163"/>
    </row>
    <row r="2100" spans="5:19">
      <c r="E2100" s="163"/>
      <c r="K2100" s="163"/>
      <c r="Q2100" s="163"/>
      <c r="R2100" s="163"/>
      <c r="S2100" s="163"/>
    </row>
    <row r="2101" spans="5:19">
      <c r="E2101" s="163"/>
      <c r="K2101" s="163"/>
      <c r="Q2101" s="163"/>
      <c r="R2101" s="163"/>
      <c r="S2101" s="163"/>
    </row>
    <row r="2102" spans="5:19">
      <c r="E2102" s="163"/>
      <c r="K2102" s="163"/>
      <c r="Q2102" s="163"/>
      <c r="R2102" s="163"/>
      <c r="S2102" s="163"/>
    </row>
    <row r="2103" spans="5:19">
      <c r="E2103" s="163"/>
      <c r="K2103" s="163"/>
      <c r="Q2103" s="163"/>
      <c r="R2103" s="163"/>
      <c r="S2103" s="163"/>
    </row>
    <row r="2104" spans="5:19">
      <c r="E2104" s="163"/>
      <c r="K2104" s="163"/>
      <c r="Q2104" s="163"/>
      <c r="R2104" s="163"/>
      <c r="S2104" s="163"/>
    </row>
    <row r="2105" spans="5:19">
      <c r="E2105" s="163"/>
      <c r="K2105" s="163"/>
      <c r="Q2105" s="163"/>
      <c r="R2105" s="163"/>
      <c r="S2105" s="163"/>
    </row>
    <row r="2106" spans="5:19">
      <c r="E2106" s="163"/>
      <c r="K2106" s="163"/>
      <c r="Q2106" s="163"/>
      <c r="R2106" s="163"/>
      <c r="S2106" s="163"/>
    </row>
    <row r="2107" spans="5:19">
      <c r="E2107" s="163"/>
      <c r="K2107" s="163"/>
      <c r="Q2107" s="163"/>
      <c r="R2107" s="163"/>
      <c r="S2107" s="163"/>
    </row>
    <row r="2108" spans="5:19">
      <c r="E2108" s="163"/>
      <c r="K2108" s="163"/>
      <c r="Q2108" s="163"/>
      <c r="R2108" s="163"/>
      <c r="S2108" s="163"/>
    </row>
    <row r="2109" spans="5:19">
      <c r="E2109" s="163"/>
      <c r="K2109" s="163"/>
      <c r="Q2109" s="163"/>
      <c r="R2109" s="163"/>
      <c r="S2109" s="163"/>
    </row>
    <row r="2110" spans="5:19">
      <c r="E2110" s="163"/>
      <c r="K2110" s="163"/>
      <c r="Q2110" s="163"/>
      <c r="R2110" s="163"/>
      <c r="S2110" s="163"/>
    </row>
    <row r="2111" spans="5:19">
      <c r="E2111" s="163"/>
      <c r="K2111" s="163"/>
      <c r="Q2111" s="163"/>
      <c r="R2111" s="163"/>
      <c r="S2111" s="163"/>
    </row>
    <row r="2112" spans="5:19">
      <c r="E2112" s="163"/>
      <c r="K2112" s="163"/>
      <c r="Q2112" s="163"/>
      <c r="R2112" s="163"/>
      <c r="S2112" s="163"/>
    </row>
    <row r="2113" spans="5:19">
      <c r="E2113" s="163"/>
      <c r="K2113" s="163"/>
      <c r="Q2113" s="163"/>
      <c r="R2113" s="163"/>
      <c r="S2113" s="163"/>
    </row>
    <row r="2114" spans="5:19">
      <c r="E2114" s="163"/>
      <c r="K2114" s="163"/>
      <c r="Q2114" s="163"/>
      <c r="R2114" s="163"/>
      <c r="S2114" s="163"/>
    </row>
    <row r="2115" spans="5:19">
      <c r="E2115" s="163"/>
      <c r="K2115" s="163"/>
      <c r="Q2115" s="163"/>
      <c r="R2115" s="163"/>
      <c r="S2115" s="163"/>
    </row>
    <row r="2116" spans="5:19">
      <c r="E2116" s="163"/>
      <c r="K2116" s="163"/>
      <c r="Q2116" s="163"/>
      <c r="R2116" s="163"/>
      <c r="S2116" s="163"/>
    </row>
    <row r="2117" spans="5:19">
      <c r="E2117" s="163"/>
      <c r="K2117" s="163"/>
      <c r="Q2117" s="163"/>
      <c r="R2117" s="163"/>
      <c r="S2117" s="163"/>
    </row>
    <row r="2118" spans="5:19">
      <c r="E2118" s="163"/>
      <c r="K2118" s="163"/>
      <c r="Q2118" s="163"/>
      <c r="R2118" s="163"/>
      <c r="S2118" s="163"/>
    </row>
    <row r="2119" spans="5:19">
      <c r="E2119" s="163"/>
      <c r="K2119" s="163"/>
      <c r="Q2119" s="163"/>
      <c r="R2119" s="163"/>
      <c r="S2119" s="163"/>
    </row>
    <row r="2120" spans="5:19">
      <c r="E2120" s="163"/>
      <c r="K2120" s="163"/>
      <c r="Q2120" s="163"/>
      <c r="R2120" s="163"/>
      <c r="S2120" s="163"/>
    </row>
    <row r="2121" spans="5:19">
      <c r="E2121" s="163"/>
      <c r="K2121" s="163"/>
      <c r="Q2121" s="163"/>
      <c r="R2121" s="163"/>
      <c r="S2121" s="163"/>
    </row>
    <row r="2122" spans="5:19">
      <c r="E2122" s="163"/>
      <c r="K2122" s="163"/>
      <c r="Q2122" s="163"/>
      <c r="R2122" s="163"/>
      <c r="S2122" s="163"/>
    </row>
    <row r="2123" spans="5:19">
      <c r="E2123" s="163"/>
      <c r="K2123" s="163"/>
      <c r="Q2123" s="163"/>
      <c r="R2123" s="163"/>
      <c r="S2123" s="163"/>
    </row>
    <row r="2124" spans="5:19">
      <c r="E2124" s="163"/>
      <c r="K2124" s="163"/>
      <c r="Q2124" s="163"/>
      <c r="R2124" s="163"/>
      <c r="S2124" s="163"/>
    </row>
    <row r="2125" spans="5:19">
      <c r="E2125" s="163"/>
      <c r="K2125" s="163"/>
      <c r="Q2125" s="163"/>
      <c r="R2125" s="163"/>
      <c r="S2125" s="163"/>
    </row>
    <row r="2126" spans="5:19">
      <c r="E2126" s="163"/>
      <c r="K2126" s="163"/>
      <c r="Q2126" s="163"/>
      <c r="R2126" s="163"/>
      <c r="S2126" s="163"/>
    </row>
    <row r="2127" spans="5:19">
      <c r="E2127" s="163"/>
      <c r="K2127" s="163"/>
      <c r="Q2127" s="163"/>
      <c r="R2127" s="163"/>
      <c r="S2127" s="163"/>
    </row>
    <row r="2128" spans="5:19">
      <c r="E2128" s="163"/>
      <c r="K2128" s="163"/>
      <c r="Q2128" s="163"/>
      <c r="R2128" s="163"/>
      <c r="S2128" s="163"/>
    </row>
    <row r="2129" spans="5:19">
      <c r="E2129" s="163"/>
      <c r="K2129" s="163"/>
      <c r="Q2129" s="163"/>
      <c r="R2129" s="163"/>
      <c r="S2129" s="163"/>
    </row>
    <row r="2130" spans="5:19">
      <c r="E2130" s="163"/>
      <c r="K2130" s="163"/>
      <c r="Q2130" s="163"/>
      <c r="R2130" s="163"/>
      <c r="S2130" s="163"/>
    </row>
    <row r="2131" spans="5:19">
      <c r="E2131" s="163"/>
      <c r="K2131" s="163"/>
      <c r="Q2131" s="163"/>
      <c r="R2131" s="163"/>
      <c r="S2131" s="163"/>
    </row>
    <row r="2132" spans="5:19">
      <c r="E2132" s="163"/>
      <c r="K2132" s="163"/>
      <c r="Q2132" s="163"/>
      <c r="R2132" s="163"/>
      <c r="S2132" s="163"/>
    </row>
    <row r="2133" spans="5:19">
      <c r="E2133" s="163"/>
      <c r="K2133" s="163"/>
      <c r="Q2133" s="163"/>
      <c r="R2133" s="163"/>
      <c r="S2133" s="163"/>
    </row>
    <row r="2134" spans="5:19">
      <c r="E2134" s="163"/>
      <c r="K2134" s="163"/>
      <c r="Q2134" s="163"/>
      <c r="R2134" s="163"/>
      <c r="S2134" s="163"/>
    </row>
    <row r="2135" spans="5:19">
      <c r="E2135" s="163"/>
      <c r="K2135" s="163"/>
      <c r="Q2135" s="163"/>
      <c r="R2135" s="163"/>
      <c r="S2135" s="163"/>
    </row>
    <row r="2136" spans="5:19">
      <c r="E2136" s="163"/>
      <c r="K2136" s="163"/>
      <c r="Q2136" s="163"/>
      <c r="R2136" s="163"/>
      <c r="S2136" s="163"/>
    </row>
    <row r="2137" spans="5:19">
      <c r="E2137" s="163"/>
      <c r="K2137" s="163"/>
      <c r="Q2137" s="163"/>
      <c r="R2137" s="163"/>
      <c r="S2137" s="163"/>
    </row>
    <row r="2138" spans="5:19">
      <c r="E2138" s="163"/>
      <c r="K2138" s="163"/>
      <c r="Q2138" s="163"/>
      <c r="R2138" s="163"/>
      <c r="S2138" s="163"/>
    </row>
    <row r="2139" spans="5:19">
      <c r="E2139" s="163"/>
      <c r="K2139" s="163"/>
      <c r="Q2139" s="163"/>
      <c r="R2139" s="163"/>
      <c r="S2139" s="163"/>
    </row>
    <row r="2140" spans="5:19">
      <c r="E2140" s="163"/>
      <c r="K2140" s="163"/>
      <c r="Q2140" s="163"/>
      <c r="R2140" s="163"/>
      <c r="S2140" s="163"/>
    </row>
    <row r="2141" spans="5:19">
      <c r="E2141" s="163"/>
      <c r="K2141" s="163"/>
      <c r="Q2141" s="163"/>
      <c r="R2141" s="163"/>
      <c r="S2141" s="163"/>
    </row>
    <row r="2142" spans="5:19">
      <c r="E2142" s="163"/>
      <c r="K2142" s="163"/>
      <c r="Q2142" s="163"/>
      <c r="R2142" s="163"/>
      <c r="S2142" s="163"/>
    </row>
    <row r="2143" spans="5:19">
      <c r="E2143" s="163"/>
      <c r="K2143" s="163"/>
      <c r="Q2143" s="163"/>
      <c r="R2143" s="163"/>
      <c r="S2143" s="163"/>
    </row>
    <row r="2144" spans="5:19">
      <c r="E2144" s="163"/>
      <c r="K2144" s="163"/>
      <c r="Q2144" s="163"/>
      <c r="R2144" s="163"/>
      <c r="S2144" s="163"/>
    </row>
    <row r="2145" spans="5:19">
      <c r="E2145" s="163"/>
      <c r="K2145" s="163"/>
      <c r="Q2145" s="163"/>
      <c r="R2145" s="163"/>
      <c r="S2145" s="163"/>
    </row>
    <row r="2146" spans="5:19">
      <c r="E2146" s="163"/>
      <c r="K2146" s="163"/>
      <c r="Q2146" s="163"/>
      <c r="R2146" s="163"/>
      <c r="S2146" s="163"/>
    </row>
    <row r="2147" spans="5:19">
      <c r="E2147" s="163"/>
      <c r="K2147" s="163"/>
      <c r="Q2147" s="163"/>
      <c r="R2147" s="163"/>
      <c r="S2147" s="163"/>
    </row>
    <row r="2148" spans="5:19">
      <c r="E2148" s="163"/>
      <c r="K2148" s="163"/>
      <c r="Q2148" s="163"/>
      <c r="R2148" s="163"/>
      <c r="S2148" s="163"/>
    </row>
    <row r="2149" spans="5:19">
      <c r="E2149" s="163"/>
      <c r="K2149" s="163"/>
      <c r="Q2149" s="163"/>
      <c r="R2149" s="163"/>
      <c r="S2149" s="163"/>
    </row>
    <row r="2150" spans="5:19">
      <c r="E2150" s="163"/>
      <c r="K2150" s="163"/>
      <c r="Q2150" s="163"/>
      <c r="R2150" s="163"/>
      <c r="S2150" s="163"/>
    </row>
    <row r="2151" spans="5:19">
      <c r="E2151" s="163"/>
      <c r="K2151" s="163"/>
      <c r="Q2151" s="163"/>
      <c r="R2151" s="163"/>
      <c r="S2151" s="163"/>
    </row>
    <row r="2152" spans="5:19">
      <c r="E2152" s="163"/>
      <c r="K2152" s="163"/>
      <c r="Q2152" s="163"/>
      <c r="R2152" s="163"/>
      <c r="S2152" s="163"/>
    </row>
    <row r="2153" spans="5:19">
      <c r="E2153" s="163"/>
      <c r="K2153" s="163"/>
      <c r="Q2153" s="163"/>
      <c r="R2153" s="163"/>
      <c r="S2153" s="163"/>
    </row>
    <row r="2154" spans="5:19">
      <c r="E2154" s="163"/>
      <c r="K2154" s="163"/>
      <c r="Q2154" s="163"/>
      <c r="R2154" s="163"/>
      <c r="S2154" s="163"/>
    </row>
    <row r="2155" spans="5:19">
      <c r="E2155" s="163"/>
      <c r="K2155" s="163"/>
      <c r="Q2155" s="163"/>
      <c r="R2155" s="163"/>
      <c r="S2155" s="163"/>
    </row>
    <row r="2156" spans="5:19">
      <c r="E2156" s="163"/>
      <c r="K2156" s="163"/>
      <c r="Q2156" s="163"/>
      <c r="R2156" s="163"/>
      <c r="S2156" s="163"/>
    </row>
    <row r="2157" spans="5:19">
      <c r="E2157" s="163"/>
      <c r="K2157" s="163"/>
      <c r="Q2157" s="163"/>
      <c r="R2157" s="163"/>
      <c r="S2157" s="163"/>
    </row>
    <row r="2158" spans="5:19">
      <c r="E2158" s="163"/>
      <c r="K2158" s="163"/>
      <c r="Q2158" s="163"/>
      <c r="R2158" s="163"/>
      <c r="S2158" s="163"/>
    </row>
    <row r="2159" spans="5:19">
      <c r="E2159" s="163"/>
      <c r="K2159" s="163"/>
      <c r="Q2159" s="163"/>
      <c r="R2159" s="163"/>
      <c r="S2159" s="163"/>
    </row>
    <row r="2160" spans="5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6">
    <sortCondition ref="A1:A8166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Normal="100" workbookViewId="0">
      <selection activeCell="Q20" sqref="Q20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5" t="s">
        <v>1132</v>
      </c>
      <c r="B1" s="175"/>
      <c r="C1" s="175"/>
      <c r="D1" s="175"/>
      <c r="E1" s="175"/>
      <c r="F1" s="175"/>
      <c r="G1" s="175"/>
      <c r="H1" s="175"/>
      <c r="I1" s="175"/>
      <c r="J1" s="175"/>
      <c r="K1" s="175"/>
      <c r="L1" s="175"/>
      <c r="M1" s="176"/>
      <c r="N1" s="177" t="s">
        <v>1133</v>
      </c>
      <c r="O1" s="177"/>
      <c r="P1" s="177"/>
      <c r="Q1" s="177"/>
      <c r="R1" s="177"/>
    </row>
    <row r="2" spans="1:18" ht="4.5" customHeight="1">
      <c r="M2" s="176"/>
    </row>
    <row r="3" spans="1:18" ht="25.5" customHeight="1">
      <c r="A3" s="4" t="s">
        <v>19</v>
      </c>
      <c r="C3" s="4" t="s">
        <v>31</v>
      </c>
      <c r="E3" s="4" t="s">
        <v>64</v>
      </c>
      <c r="G3" s="4" t="s">
        <v>66</v>
      </c>
      <c r="J3" s="4" t="s">
        <v>35</v>
      </c>
      <c r="L3" s="4" t="s">
        <v>36</v>
      </c>
      <c r="M3" s="176"/>
      <c r="N3" s="36" t="s">
        <v>70</v>
      </c>
      <c r="O3" s="36" t="s">
        <v>49</v>
      </c>
      <c r="P3" s="36" t="s">
        <v>45</v>
      </c>
      <c r="Q3" s="36" t="s">
        <v>75</v>
      </c>
      <c r="R3" s="36" t="s">
        <v>61</v>
      </c>
    </row>
    <row r="4" spans="1:18" ht="15.75" customHeight="1">
      <c r="A4" s="37" t="s">
        <v>54</v>
      </c>
      <c r="C4" s="37" t="s">
        <v>43</v>
      </c>
      <c r="E4" s="38">
        <v>0.7</v>
      </c>
      <c r="G4" s="39">
        <v>0.6</v>
      </c>
      <c r="J4" s="37" t="s">
        <v>70</v>
      </c>
      <c r="L4" s="37" t="s">
        <v>46</v>
      </c>
      <c r="M4" s="176"/>
      <c r="N4" s="37" t="s">
        <v>1134</v>
      </c>
      <c r="O4" s="37" t="s">
        <v>50</v>
      </c>
      <c r="P4" s="37" t="s">
        <v>1135</v>
      </c>
      <c r="Q4" s="37" t="s">
        <v>77</v>
      </c>
      <c r="R4" s="37" t="s">
        <v>1136</v>
      </c>
    </row>
    <row r="5" spans="1:18" ht="15.75" customHeight="1">
      <c r="A5" s="40" t="s">
        <v>42</v>
      </c>
      <c r="C5" s="40" t="s">
        <v>561</v>
      </c>
      <c r="E5" s="41">
        <v>0.24</v>
      </c>
      <c r="G5" s="42">
        <v>0.6</v>
      </c>
      <c r="J5" s="40" t="s">
        <v>49</v>
      </c>
      <c r="L5" s="40" t="s">
        <v>80</v>
      </c>
      <c r="M5" s="176"/>
      <c r="N5" s="40" t="s">
        <v>1137</v>
      </c>
      <c r="O5" s="40" t="s">
        <v>1138</v>
      </c>
      <c r="P5" s="40" t="s">
        <v>58</v>
      </c>
      <c r="Q5" s="40" t="s">
        <v>101</v>
      </c>
      <c r="R5" s="40" t="s">
        <v>1139</v>
      </c>
    </row>
    <row r="6" spans="1:18" ht="15.75" customHeight="1">
      <c r="A6" s="37" t="s">
        <v>1140</v>
      </c>
      <c r="C6" s="37" t="s">
        <v>232</v>
      </c>
      <c r="E6" s="38">
        <v>0.21</v>
      </c>
      <c r="G6" s="39">
        <v>0.55000000000000004</v>
      </c>
      <c r="J6" s="37" t="s">
        <v>45</v>
      </c>
      <c r="L6" s="37" t="s">
        <v>76</v>
      </c>
      <c r="M6" s="176"/>
      <c r="N6" s="37" t="s">
        <v>1141</v>
      </c>
      <c r="O6" s="37" t="s">
        <v>1142</v>
      </c>
      <c r="P6" s="37" t="s">
        <v>1143</v>
      </c>
      <c r="Q6" s="37" t="s">
        <v>1144</v>
      </c>
      <c r="R6" s="37" t="s">
        <v>1145</v>
      </c>
    </row>
    <row r="7" spans="1:18" ht="15.75" customHeight="1">
      <c r="A7" s="40" t="s">
        <v>86</v>
      </c>
      <c r="C7" s="40" t="s">
        <v>1146</v>
      </c>
      <c r="E7" s="41">
        <v>0.13</v>
      </c>
      <c r="G7" s="42">
        <v>0.55000000000000004</v>
      </c>
      <c r="J7" s="37" t="s">
        <v>75</v>
      </c>
      <c r="L7" s="40" t="s">
        <v>90</v>
      </c>
      <c r="M7" s="176"/>
      <c r="N7" s="40" t="s">
        <v>1147</v>
      </c>
      <c r="O7" s="40" t="s">
        <v>83</v>
      </c>
      <c r="P7" s="40" t="s">
        <v>58</v>
      </c>
      <c r="Q7" s="40" t="s">
        <v>1148</v>
      </c>
      <c r="R7" s="40" t="s">
        <v>78</v>
      </c>
    </row>
    <row r="8" spans="1:18" ht="15.75" customHeight="1">
      <c r="A8" s="37"/>
      <c r="C8" s="40" t="s">
        <v>68</v>
      </c>
      <c r="D8" s="43"/>
      <c r="E8" s="41">
        <v>0.35</v>
      </c>
      <c r="F8" s="43"/>
      <c r="G8" s="42">
        <v>0.6</v>
      </c>
      <c r="H8" s="43"/>
      <c r="J8" s="40" t="s">
        <v>61</v>
      </c>
      <c r="L8" s="37" t="s">
        <v>99</v>
      </c>
      <c r="M8" s="176"/>
      <c r="N8" s="37" t="s">
        <v>1149</v>
      </c>
      <c r="O8" s="37" t="s">
        <v>1150</v>
      </c>
      <c r="P8" s="37" t="s">
        <v>1143</v>
      </c>
      <c r="Q8" s="37" t="s">
        <v>1151</v>
      </c>
      <c r="R8" s="37" t="s">
        <v>1152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1153</v>
      </c>
      <c r="M9" s="176"/>
      <c r="N9" s="40" t="s">
        <v>1154</v>
      </c>
      <c r="O9" s="40" t="s">
        <v>1155</v>
      </c>
      <c r="P9" s="40" t="s">
        <v>1156</v>
      </c>
      <c r="Q9" s="40" t="s">
        <v>73</v>
      </c>
      <c r="R9" s="40" t="s">
        <v>1157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1158</v>
      </c>
      <c r="M10" s="176"/>
      <c r="N10" s="37" t="s">
        <v>1159</v>
      </c>
      <c r="O10" s="37" t="s">
        <v>95</v>
      </c>
      <c r="P10" s="37" t="s">
        <v>1160</v>
      </c>
      <c r="Q10" s="37" t="s">
        <v>1161</v>
      </c>
      <c r="R10" s="37" t="s">
        <v>1162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1163</v>
      </c>
      <c r="M11" s="176"/>
      <c r="N11" s="40" t="s">
        <v>1164</v>
      </c>
      <c r="O11" s="40" t="s">
        <v>1165</v>
      </c>
      <c r="P11" s="40" t="s">
        <v>1166</v>
      </c>
      <c r="Q11" s="40" t="s">
        <v>1167</v>
      </c>
      <c r="R11" s="40" t="s">
        <v>92</v>
      </c>
    </row>
    <row r="12" spans="1:18" ht="15.75" customHeight="1">
      <c r="A12" s="37"/>
      <c r="C12" s="37"/>
      <c r="J12" s="37"/>
      <c r="L12" s="37" t="s">
        <v>1168</v>
      </c>
      <c r="M12" s="176"/>
      <c r="N12" s="37" t="s">
        <v>1169</v>
      </c>
      <c r="O12" s="37" t="s">
        <v>1170</v>
      </c>
      <c r="P12" s="37" t="s">
        <v>73</v>
      </c>
      <c r="Q12" s="37" t="s">
        <v>106</v>
      </c>
      <c r="R12" s="37" t="s">
        <v>1171</v>
      </c>
    </row>
    <row r="13" spans="1:18" ht="15.75" customHeight="1">
      <c r="A13" s="40"/>
      <c r="C13" s="40"/>
      <c r="J13" s="40"/>
      <c r="L13" s="40" t="s">
        <v>1172</v>
      </c>
      <c r="M13" s="176"/>
      <c r="N13" s="40"/>
      <c r="O13" s="40" t="s">
        <v>1173</v>
      </c>
      <c r="P13" s="40" t="s">
        <v>1174</v>
      </c>
      <c r="Q13" s="40" t="s">
        <v>1175</v>
      </c>
      <c r="R13" s="40" t="s">
        <v>110</v>
      </c>
    </row>
    <row r="14" spans="1:18" ht="15.75" customHeight="1">
      <c r="A14" s="37"/>
      <c r="C14" s="37"/>
      <c r="J14" s="37"/>
      <c r="L14" s="37" t="s">
        <v>1176</v>
      </c>
      <c r="M14" s="176"/>
      <c r="N14" s="37" t="s">
        <v>71</v>
      </c>
      <c r="O14" s="37" t="s">
        <v>1177</v>
      </c>
      <c r="P14" s="37" t="s">
        <v>1178</v>
      </c>
      <c r="Q14" s="37" t="s">
        <v>1179</v>
      </c>
      <c r="R14" s="37" t="s">
        <v>1180</v>
      </c>
    </row>
    <row r="15" spans="1:18" ht="15.75" customHeight="1">
      <c r="A15" s="40"/>
      <c r="C15" s="40"/>
      <c r="J15" s="40"/>
      <c r="L15" s="40" t="s">
        <v>1181</v>
      </c>
      <c r="M15" s="176"/>
      <c r="N15" s="40" t="s">
        <v>1182</v>
      </c>
      <c r="O15" s="40" t="s">
        <v>1183</v>
      </c>
      <c r="P15" s="40" t="s">
        <v>1184</v>
      </c>
      <c r="Q15" s="40" t="s">
        <v>1185</v>
      </c>
      <c r="R15" s="40" t="s">
        <v>1186</v>
      </c>
    </row>
    <row r="16" spans="1:18" ht="15.75" customHeight="1">
      <c r="A16" s="37"/>
      <c r="C16" s="37"/>
      <c r="J16" s="37"/>
      <c r="L16" s="37" t="s">
        <v>1187</v>
      </c>
      <c r="M16" s="176"/>
      <c r="N16" s="37" t="s">
        <v>1188</v>
      </c>
      <c r="O16" s="37" t="s">
        <v>1189</v>
      </c>
      <c r="P16" s="37" t="s">
        <v>1190</v>
      </c>
      <c r="Q16" s="37" t="s">
        <v>1191</v>
      </c>
      <c r="R16" s="37" t="s">
        <v>1192</v>
      </c>
    </row>
    <row r="17" spans="1:18" ht="15.75" customHeight="1">
      <c r="A17" s="40"/>
      <c r="C17" s="40"/>
      <c r="J17" s="40"/>
      <c r="L17" s="40" t="s">
        <v>1193</v>
      </c>
      <c r="M17" s="176"/>
      <c r="N17" s="40" t="s">
        <v>1194</v>
      </c>
      <c r="O17" s="40" t="s">
        <v>1195</v>
      </c>
      <c r="P17" s="40" t="s">
        <v>1196</v>
      </c>
      <c r="Q17" s="40" t="s">
        <v>1197</v>
      </c>
      <c r="R17" s="40" t="s">
        <v>1198</v>
      </c>
    </row>
    <row r="18" spans="1:18" ht="15.75" customHeight="1">
      <c r="A18" s="37"/>
      <c r="C18" s="37"/>
      <c r="J18" s="37"/>
      <c r="L18" s="37" t="s">
        <v>1199</v>
      </c>
      <c r="M18" s="176"/>
      <c r="N18" s="37" t="s">
        <v>1200</v>
      </c>
      <c r="O18" s="37" t="s">
        <v>1201</v>
      </c>
      <c r="P18" s="37" t="s">
        <v>1202</v>
      </c>
      <c r="Q18" s="37" t="s">
        <v>1203</v>
      </c>
      <c r="R18" s="37" t="s">
        <v>1204</v>
      </c>
    </row>
    <row r="19" spans="1:18" ht="15.75" customHeight="1">
      <c r="A19" s="40"/>
      <c r="C19" s="40"/>
      <c r="J19" s="40"/>
      <c r="L19" s="40" t="s">
        <v>1205</v>
      </c>
      <c r="M19" s="176"/>
      <c r="N19" s="40" t="s">
        <v>1206</v>
      </c>
      <c r="O19" s="40" t="s">
        <v>1207</v>
      </c>
      <c r="P19" s="40" t="s">
        <v>1208</v>
      </c>
      <c r="Q19" s="40" t="s">
        <v>87</v>
      </c>
      <c r="R19" s="40" t="s">
        <v>1209</v>
      </c>
    </row>
    <row r="20" spans="1:18" ht="15.75" customHeight="1">
      <c r="A20" s="37"/>
      <c r="C20" s="37"/>
      <c r="J20" s="37"/>
      <c r="L20" s="37" t="s">
        <v>1210</v>
      </c>
      <c r="M20" s="176"/>
      <c r="N20" s="37"/>
      <c r="O20" s="37" t="s">
        <v>55</v>
      </c>
      <c r="P20" s="37" t="s">
        <v>1211</v>
      </c>
      <c r="Q20" s="37"/>
      <c r="R20" s="37" t="s">
        <v>1212</v>
      </c>
    </row>
    <row r="21" spans="1:18" ht="15.75" customHeight="1">
      <c r="A21" s="40"/>
      <c r="C21" s="40"/>
      <c r="J21" s="40"/>
      <c r="L21" s="40" t="s">
        <v>1213</v>
      </c>
      <c r="M21" s="176"/>
      <c r="N21" s="40"/>
      <c r="O21" s="40" t="s">
        <v>1214</v>
      </c>
      <c r="P21" s="40" t="s">
        <v>1215</v>
      </c>
      <c r="Q21" s="40"/>
      <c r="R21" s="40" t="s">
        <v>1216</v>
      </c>
    </row>
    <row r="22" spans="1:18" ht="15.75" customHeight="1">
      <c r="A22" s="37"/>
      <c r="C22" s="37"/>
      <c r="J22" s="37"/>
      <c r="L22" s="37" t="s">
        <v>1217</v>
      </c>
      <c r="M22" s="176"/>
      <c r="N22" s="37"/>
      <c r="O22" s="37"/>
      <c r="P22" s="37" t="s">
        <v>1218</v>
      </c>
      <c r="Q22" s="37"/>
      <c r="R22" s="37" t="s">
        <v>1219</v>
      </c>
    </row>
    <row r="23" spans="1:18" ht="15.75" customHeight="1">
      <c r="A23" s="40"/>
      <c r="C23" s="40"/>
      <c r="J23" s="40"/>
      <c r="L23" s="40" t="s">
        <v>102</v>
      </c>
      <c r="M23" s="176"/>
      <c r="N23" s="40"/>
      <c r="O23" s="40"/>
      <c r="P23" s="40" t="s">
        <v>103</v>
      </c>
      <c r="Q23" s="40"/>
      <c r="R23" s="40" t="s">
        <v>1220</v>
      </c>
    </row>
    <row r="24" spans="1:18" ht="15.75" customHeight="1">
      <c r="A24" s="37"/>
      <c r="C24" s="37"/>
      <c r="J24" s="37"/>
      <c r="L24" s="37" t="s">
        <v>108</v>
      </c>
      <c r="M24" s="176"/>
      <c r="N24" s="37"/>
      <c r="O24" s="37"/>
      <c r="P24" s="37" t="s">
        <v>1221</v>
      </c>
      <c r="Q24" s="37"/>
      <c r="R24" s="37" t="s">
        <v>1222</v>
      </c>
    </row>
    <row r="25" spans="1:18" ht="15.75" customHeight="1">
      <c r="A25" s="40"/>
      <c r="C25" s="40"/>
      <c r="J25" s="40"/>
      <c r="L25" s="40" t="s">
        <v>82</v>
      </c>
      <c r="M25" s="176"/>
      <c r="N25" s="40"/>
      <c r="O25" s="40"/>
      <c r="P25" s="40" t="s">
        <v>1223</v>
      </c>
      <c r="Q25" s="40"/>
      <c r="R25" s="40" t="s">
        <v>1224</v>
      </c>
    </row>
    <row r="26" spans="1:18" ht="15.75" customHeight="1">
      <c r="A26" s="37"/>
      <c r="C26" s="37"/>
      <c r="J26" s="37"/>
      <c r="L26" s="37" t="s">
        <v>72</v>
      </c>
      <c r="M26" s="176"/>
      <c r="N26" s="37"/>
      <c r="O26" s="37"/>
      <c r="P26" s="37" t="s">
        <v>1225</v>
      </c>
      <c r="Q26" s="37"/>
      <c r="R26" s="37"/>
    </row>
    <row r="27" spans="1:18" ht="15.75" customHeight="1">
      <c r="A27" s="40"/>
      <c r="C27" s="40"/>
      <c r="J27" s="40"/>
      <c r="L27" s="40" t="s">
        <v>1226</v>
      </c>
      <c r="M27" s="176"/>
      <c r="N27" s="40"/>
      <c r="O27" s="40"/>
      <c r="P27" s="40" t="s">
        <v>1220</v>
      </c>
      <c r="Q27" s="40"/>
      <c r="R27" s="40" t="s">
        <v>1157</v>
      </c>
    </row>
    <row r="28" spans="1:18" ht="15.75" customHeight="1">
      <c r="A28" s="37"/>
      <c r="C28" s="37"/>
      <c r="J28" s="37"/>
      <c r="L28" s="37" t="s">
        <v>1227</v>
      </c>
      <c r="M28" s="176"/>
      <c r="N28" s="37"/>
      <c r="O28" s="37"/>
      <c r="P28" s="37" t="s">
        <v>1202</v>
      </c>
      <c r="Q28" s="37"/>
      <c r="R28" s="37" t="s">
        <v>1228</v>
      </c>
    </row>
    <row r="29" spans="1:18" ht="15.75" customHeight="1">
      <c r="A29" s="40"/>
      <c r="C29" s="40"/>
      <c r="J29" s="40"/>
      <c r="L29" s="40" t="s">
        <v>1229</v>
      </c>
      <c r="M29" s="176"/>
      <c r="N29" s="40"/>
      <c r="O29" s="40"/>
      <c r="P29" s="40" t="s">
        <v>1230</v>
      </c>
      <c r="Q29" s="40"/>
      <c r="R29" s="40" t="s">
        <v>1231</v>
      </c>
    </row>
    <row r="30" spans="1:18" ht="15.75" customHeight="1">
      <c r="A30" s="37"/>
      <c r="C30" s="37"/>
      <c r="J30" s="37"/>
      <c r="L30" s="37" t="s">
        <v>1232</v>
      </c>
      <c r="M30" s="176"/>
      <c r="N30" s="37"/>
      <c r="O30" s="37"/>
      <c r="P30" s="37" t="s">
        <v>1233</v>
      </c>
      <c r="Q30" s="37"/>
      <c r="R30" s="37" t="s">
        <v>1234</v>
      </c>
    </row>
    <row r="31" spans="1:18" ht="15.75" customHeight="1">
      <c r="A31" s="40"/>
      <c r="C31" s="40"/>
      <c r="J31" s="40"/>
      <c r="L31" s="40" t="s">
        <v>1235</v>
      </c>
      <c r="M31" s="176"/>
      <c r="N31" s="40"/>
      <c r="O31" s="40"/>
      <c r="P31" s="40" t="s">
        <v>1236</v>
      </c>
      <c r="Q31" s="40"/>
      <c r="R31" s="40" t="s">
        <v>1237</v>
      </c>
    </row>
    <row r="32" spans="1:18" ht="15.75" customHeight="1">
      <c r="A32" s="37"/>
      <c r="C32" s="37"/>
      <c r="J32" s="37"/>
      <c r="L32" s="37" t="s">
        <v>1238</v>
      </c>
      <c r="M32" s="176"/>
      <c r="N32" s="37"/>
      <c r="O32" s="37"/>
      <c r="P32" s="37" t="s">
        <v>1239</v>
      </c>
      <c r="Q32" s="37"/>
      <c r="R32" t="s">
        <v>1240</v>
      </c>
    </row>
    <row r="33" spans="1:18" ht="15.75" customHeight="1">
      <c r="A33" s="40"/>
      <c r="C33" s="50" t="s">
        <v>1241</v>
      </c>
      <c r="E33" s="51">
        <v>1000</v>
      </c>
      <c r="J33" s="40"/>
      <c r="L33" s="40" t="s">
        <v>1242</v>
      </c>
      <c r="M33" s="176"/>
      <c r="N33" s="40"/>
      <c r="O33" s="40"/>
      <c r="P33" s="40" t="s">
        <v>1243</v>
      </c>
      <c r="Q33" s="40"/>
      <c r="R33" s="40" t="s">
        <v>61</v>
      </c>
    </row>
    <row r="34" spans="1:18" ht="15.75" customHeight="1">
      <c r="A34" s="37"/>
      <c r="C34" s="37"/>
      <c r="J34" s="37"/>
      <c r="L34" s="37" t="s">
        <v>91</v>
      </c>
      <c r="M34" s="176"/>
      <c r="N34" s="37"/>
      <c r="O34" s="37"/>
      <c r="P34" s="37" t="s">
        <v>1171</v>
      </c>
      <c r="Q34" s="37"/>
      <c r="R34" s="37" t="s">
        <v>1244</v>
      </c>
    </row>
    <row r="35" spans="1:18" ht="15.75" customHeight="1">
      <c r="A35" s="40"/>
      <c r="C35" s="40"/>
      <c r="J35" s="40"/>
      <c r="L35" s="40" t="s">
        <v>84</v>
      </c>
      <c r="M35" s="176"/>
      <c r="N35" s="40"/>
      <c r="O35" s="40"/>
      <c r="P35" s="40" t="s">
        <v>1245</v>
      </c>
      <c r="Q35" s="40"/>
      <c r="R35" s="40" t="s">
        <v>1246</v>
      </c>
    </row>
    <row r="36" spans="1:18" ht="15.75" customHeight="1">
      <c r="A36" s="37"/>
      <c r="C36" s="37"/>
      <c r="J36" s="37"/>
      <c r="L36" s="37" t="s">
        <v>107</v>
      </c>
      <c r="M36" s="176"/>
      <c r="N36" s="37"/>
      <c r="O36" s="37"/>
      <c r="P36" s="37" t="s">
        <v>1247</v>
      </c>
      <c r="Q36" s="37"/>
      <c r="R36" s="37" t="s">
        <v>1248</v>
      </c>
    </row>
    <row r="37" spans="1:18" ht="15.75" customHeight="1">
      <c r="A37" s="40"/>
      <c r="C37" s="40"/>
      <c r="J37" s="40"/>
      <c r="L37" s="40" t="s">
        <v>1249</v>
      </c>
      <c r="M37" s="176"/>
      <c r="N37" s="40"/>
      <c r="O37" s="40"/>
      <c r="P37" s="40" t="s">
        <v>47</v>
      </c>
      <c r="Q37" s="40"/>
      <c r="R37" s="40" t="s">
        <v>81</v>
      </c>
    </row>
    <row r="38" spans="1:18" ht="15.75" customHeight="1">
      <c r="A38" s="37"/>
      <c r="C38" s="37"/>
      <c r="J38" s="37"/>
      <c r="L38" s="37" t="s">
        <v>1250</v>
      </c>
      <c r="M38" s="176"/>
      <c r="N38" s="37"/>
      <c r="O38" s="37"/>
      <c r="P38" s="37" t="s">
        <v>1251</v>
      </c>
      <c r="Q38" s="37"/>
      <c r="R38" s="37" t="s">
        <v>1252</v>
      </c>
    </row>
    <row r="39" spans="1:18" ht="15.75" customHeight="1">
      <c r="A39" s="40"/>
      <c r="C39" s="40"/>
      <c r="J39" s="40"/>
      <c r="L39" s="40" t="s">
        <v>1253</v>
      </c>
      <c r="M39" s="176"/>
      <c r="N39" s="40"/>
      <c r="O39" s="40"/>
      <c r="P39" s="40" t="s">
        <v>1254</v>
      </c>
      <c r="Q39" s="40"/>
      <c r="R39" s="40" t="s">
        <v>1255</v>
      </c>
    </row>
    <row r="40" spans="1:18" ht="15.75" customHeight="1">
      <c r="A40" s="37"/>
      <c r="C40" s="37"/>
      <c r="J40" s="37"/>
      <c r="L40" s="37"/>
      <c r="M40" s="176"/>
      <c r="N40" s="37"/>
      <c r="O40" s="37"/>
      <c r="P40" s="37" t="s">
        <v>1256</v>
      </c>
      <c r="Q40" s="37"/>
      <c r="R40" s="37" t="s">
        <v>1257</v>
      </c>
    </row>
    <row r="41" spans="1:18" ht="15.75" customHeight="1">
      <c r="A41" s="40"/>
      <c r="C41" s="40"/>
      <c r="J41" s="40"/>
      <c r="L41" s="40"/>
      <c r="M41" s="176"/>
      <c r="N41" s="40"/>
      <c r="O41" s="40"/>
      <c r="P41" s="40" t="s">
        <v>1258</v>
      </c>
      <c r="Q41" s="40"/>
      <c r="R41" s="40" t="s">
        <v>1259</v>
      </c>
    </row>
    <row r="42" spans="1:18" ht="15.75" customHeight="1">
      <c r="A42" s="37"/>
      <c r="C42" s="37"/>
      <c r="J42" s="37"/>
      <c r="L42" s="37"/>
      <c r="M42" s="176"/>
      <c r="N42" s="37"/>
      <c r="O42" s="37"/>
      <c r="P42" s="37" t="s">
        <v>1260</v>
      </c>
      <c r="Q42" s="37"/>
      <c r="R42" s="37" t="s">
        <v>1261</v>
      </c>
    </row>
    <row r="43" spans="1:18" ht="15.75" customHeight="1">
      <c r="A43" s="40"/>
      <c r="C43" s="40"/>
      <c r="J43" s="40"/>
      <c r="L43" s="40"/>
      <c r="M43" s="176"/>
      <c r="N43" s="40"/>
      <c r="O43" s="40"/>
      <c r="P43" s="40" t="s">
        <v>1262</v>
      </c>
      <c r="Q43" s="40"/>
      <c r="R43" s="40" t="s">
        <v>1263</v>
      </c>
    </row>
    <row r="44" spans="1:18" ht="15.75" customHeight="1">
      <c r="A44" s="37"/>
      <c r="C44" s="37"/>
      <c r="J44" s="37"/>
      <c r="L44" s="37"/>
      <c r="M44" s="176"/>
      <c r="N44" s="37"/>
      <c r="O44" s="37"/>
      <c r="P44" s="37" t="s">
        <v>1264</v>
      </c>
      <c r="Q44" s="37"/>
      <c r="R44" s="37" t="s">
        <v>1265</v>
      </c>
    </row>
    <row r="45" spans="1:18" ht="15.75" customHeight="1">
      <c r="A45" s="40"/>
      <c r="C45" s="40"/>
      <c r="J45" s="40"/>
      <c r="L45" s="40"/>
      <c r="M45" s="176"/>
      <c r="N45" s="40"/>
      <c r="O45" s="40"/>
      <c r="P45" s="40" t="s">
        <v>1266</v>
      </c>
      <c r="Q45" s="40"/>
      <c r="R45" s="40" t="s">
        <v>1267</v>
      </c>
    </row>
    <row r="46" spans="1:18" ht="15.75" customHeight="1">
      <c r="A46" s="37"/>
      <c r="C46" s="37"/>
      <c r="J46" s="37"/>
      <c r="L46" s="37"/>
      <c r="M46" s="176"/>
      <c r="N46" s="37"/>
      <c r="O46" s="37"/>
      <c r="P46" s="37" t="s">
        <v>1268</v>
      </c>
      <c r="Q46" s="37"/>
      <c r="R46" s="37" t="s">
        <v>1269</v>
      </c>
    </row>
    <row r="47" spans="1:18" ht="15.75" customHeight="1">
      <c r="A47" s="40"/>
      <c r="C47" s="40"/>
      <c r="J47" s="40"/>
      <c r="L47" s="40"/>
      <c r="M47" s="176"/>
      <c r="N47" s="40"/>
      <c r="O47" s="40"/>
      <c r="P47" s="40" t="s">
        <v>1270</v>
      </c>
      <c r="Q47" s="40"/>
      <c r="R47" s="40" t="s">
        <v>1271</v>
      </c>
    </row>
    <row r="48" spans="1:18" ht="15.75" customHeight="1">
      <c r="A48" s="37"/>
      <c r="C48" s="37"/>
      <c r="J48" s="37"/>
      <c r="L48" s="37"/>
      <c r="M48" s="176"/>
      <c r="N48" s="37"/>
      <c r="O48" s="37"/>
      <c r="P48" s="37" t="s">
        <v>1272</v>
      </c>
      <c r="Q48" s="37"/>
      <c r="R48" s="37" t="s">
        <v>1273</v>
      </c>
    </row>
    <row r="49" spans="1:18" ht="18" customHeight="1">
      <c r="M49" s="176"/>
      <c r="N49" s="40"/>
      <c r="O49" s="40"/>
      <c r="P49" s="40" t="s">
        <v>1274</v>
      </c>
      <c r="Q49" s="40"/>
      <c r="R49" s="40" t="s">
        <v>1275</v>
      </c>
    </row>
    <row r="50" spans="1:18" ht="21" customHeight="1">
      <c r="A50" s="52" t="s">
        <v>1276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6"/>
      <c r="N50" s="37"/>
      <c r="O50" s="37"/>
      <c r="P50" s="37" t="s">
        <v>1277</v>
      </c>
      <c r="Q50" s="37"/>
      <c r="R50" s="37" t="s">
        <v>1278</v>
      </c>
    </row>
    <row r="51" spans="1:18" ht="24" customHeight="1">
      <c r="M51" s="176"/>
      <c r="N51" s="40"/>
      <c r="O51" s="40"/>
      <c r="P51" s="40" t="s">
        <v>1279</v>
      </c>
      <c r="Q51" s="40"/>
      <c r="R51" s="40" t="s">
        <v>85</v>
      </c>
    </row>
    <row r="52" spans="1:18" ht="24" customHeight="1">
      <c r="M52" s="176"/>
      <c r="N52" s="37"/>
      <c r="O52" s="37"/>
      <c r="P52" s="37" t="s">
        <v>1280</v>
      </c>
      <c r="Q52" s="37"/>
      <c r="R52" s="37" t="s">
        <v>1281</v>
      </c>
    </row>
    <row r="53" spans="1:18" ht="36" customHeight="1">
      <c r="M53" s="176"/>
      <c r="N53" s="40"/>
      <c r="O53" s="40"/>
      <c r="P53" s="40" t="s">
        <v>1282</v>
      </c>
      <c r="Q53" s="40"/>
      <c r="R53" s="40" t="s">
        <v>1283</v>
      </c>
    </row>
    <row r="54" spans="1:18" ht="15" customHeight="1">
      <c r="M54" s="176"/>
      <c r="N54" s="37"/>
      <c r="O54" s="37"/>
      <c r="P54" s="37" t="s">
        <v>1284</v>
      </c>
      <c r="Q54" s="37"/>
      <c r="R54" s="37" t="s">
        <v>1285</v>
      </c>
    </row>
    <row r="55" spans="1:18" ht="15" customHeight="1">
      <c r="M55" s="176"/>
      <c r="N55" s="40"/>
      <c r="O55" s="40"/>
      <c r="P55" s="40" t="s">
        <v>1286</v>
      </c>
      <c r="Q55" s="40"/>
      <c r="R55" s="40" t="s">
        <v>1287</v>
      </c>
    </row>
    <row r="56" spans="1:18" ht="15" customHeight="1">
      <c r="M56" s="176"/>
      <c r="N56" s="37"/>
      <c r="O56" s="37"/>
      <c r="P56" s="37" t="s">
        <v>1288</v>
      </c>
      <c r="Q56" s="37"/>
      <c r="R56" s="37" t="s">
        <v>93</v>
      </c>
    </row>
    <row r="57" spans="1:18" ht="15" customHeight="1">
      <c r="M57" s="176"/>
      <c r="N57" s="40"/>
      <c r="O57" s="40"/>
      <c r="P57" s="40" t="s">
        <v>1148</v>
      </c>
      <c r="Q57" s="40"/>
      <c r="R57" s="40" t="s">
        <v>1289</v>
      </c>
    </row>
    <row r="58" spans="1:18" ht="15" customHeight="1">
      <c r="M58" s="176"/>
      <c r="N58" s="37"/>
      <c r="O58" s="37"/>
      <c r="P58" s="37" t="s">
        <v>1290</v>
      </c>
      <c r="Q58" s="37"/>
      <c r="R58" s="37" t="s">
        <v>1291</v>
      </c>
    </row>
    <row r="59" spans="1:18" ht="15" customHeight="1">
      <c r="M59" s="176"/>
      <c r="N59" s="40"/>
      <c r="O59" s="40"/>
      <c r="P59" s="40" t="s">
        <v>1292</v>
      </c>
      <c r="Q59" s="40"/>
      <c r="R59" s="40" t="s">
        <v>1293</v>
      </c>
    </row>
    <row r="60" spans="1:18" ht="15" customHeight="1">
      <c r="M60" s="176"/>
      <c r="N60" s="37"/>
      <c r="O60" s="37"/>
      <c r="P60" s="53" t="s">
        <v>1195</v>
      </c>
      <c r="Q60" s="37"/>
      <c r="R60" s="37" t="s">
        <v>62</v>
      </c>
    </row>
    <row r="61" spans="1:18" ht="15" customHeight="1">
      <c r="M61" s="176"/>
      <c r="N61" s="40"/>
      <c r="O61" s="40"/>
      <c r="P61" s="40" t="s">
        <v>1294</v>
      </c>
      <c r="Q61" s="40"/>
      <c r="R61" s="40"/>
    </row>
    <row r="62" spans="1:18" ht="15" customHeight="1">
      <c r="M62" s="176"/>
      <c r="N62" s="37"/>
      <c r="O62" s="37"/>
      <c r="P62" s="37" t="s">
        <v>1295</v>
      </c>
      <c r="Q62" s="37"/>
      <c r="R62" s="37"/>
    </row>
    <row r="63" spans="1:18" ht="15" customHeight="1">
      <c r="M63" s="176"/>
      <c r="N63" s="40"/>
      <c r="O63" s="40"/>
      <c r="P63" s="40" t="s">
        <v>1296</v>
      </c>
      <c r="Q63" s="40"/>
      <c r="R63" s="40"/>
    </row>
    <row r="64" spans="1:18" ht="15" customHeight="1">
      <c r="M64" s="176"/>
      <c r="N64" s="37"/>
      <c r="O64" s="37"/>
      <c r="P64" s="37" t="s">
        <v>1297</v>
      </c>
      <c r="Q64" s="37"/>
      <c r="R64" s="37"/>
    </row>
    <row r="65" spans="13:18" ht="15" customHeight="1">
      <c r="M65" s="176"/>
      <c r="N65" s="40"/>
      <c r="O65" s="40"/>
      <c r="P65" s="40" t="s">
        <v>1298</v>
      </c>
      <c r="Q65" s="40"/>
      <c r="R65" s="40"/>
    </row>
    <row r="66" spans="13:18" ht="15" customHeight="1">
      <c r="M66" s="176"/>
      <c r="N66" s="37"/>
      <c r="O66" s="37"/>
      <c r="P66" s="37" t="s">
        <v>1299</v>
      </c>
      <c r="Q66" s="37"/>
      <c r="R66" s="37"/>
    </row>
    <row r="67" spans="13:18" ht="15" customHeight="1">
      <c r="M67" s="176"/>
      <c r="N67" s="40"/>
      <c r="O67" s="40"/>
      <c r="P67" s="40" t="s">
        <v>1300</v>
      </c>
      <c r="Q67" s="40"/>
      <c r="R67" s="40"/>
    </row>
    <row r="68" spans="13:18" ht="15" customHeight="1">
      <c r="M68" s="176"/>
      <c r="N68" s="37"/>
      <c r="O68" s="37"/>
      <c r="P68" s="37" t="s">
        <v>1301</v>
      </c>
      <c r="Q68" s="37"/>
      <c r="R68" s="37"/>
    </row>
    <row r="69" spans="13:18" ht="15" customHeight="1">
      <c r="M69" s="176"/>
      <c r="N69" s="40"/>
      <c r="O69" s="40"/>
      <c r="P69" s="40" t="s">
        <v>1302</v>
      </c>
      <c r="Q69" s="40"/>
      <c r="R69" s="40"/>
    </row>
    <row r="70" spans="13:18" ht="15" customHeight="1">
      <c r="M70" s="176"/>
      <c r="N70" s="37"/>
      <c r="O70" s="37"/>
      <c r="P70" s="37" t="s">
        <v>1303</v>
      </c>
      <c r="Q70" s="37"/>
      <c r="R70" s="37"/>
    </row>
    <row r="71" spans="13:18" ht="15" customHeight="1">
      <c r="M71" s="176"/>
      <c r="N71" s="40"/>
      <c r="O71" s="40"/>
      <c r="P71" s="40" t="s">
        <v>1304</v>
      </c>
      <c r="Q71" s="40"/>
      <c r="R71" s="40"/>
    </row>
    <row r="72" spans="13:18" ht="15" customHeight="1">
      <c r="M72" s="176"/>
      <c r="N72" s="37"/>
      <c r="O72" s="37"/>
      <c r="P72" s="37" t="s">
        <v>1305</v>
      </c>
      <c r="Q72" s="37"/>
      <c r="R72" s="37"/>
    </row>
    <row r="73" spans="13:18" ht="15" customHeight="1">
      <c r="M73" s="176"/>
      <c r="N73" s="40"/>
      <c r="O73" s="40"/>
      <c r="P73" s="40" t="s">
        <v>1306</v>
      </c>
      <c r="Q73" s="40"/>
      <c r="R73" s="40"/>
    </row>
    <row r="74" spans="13:18" ht="15" customHeight="1">
      <c r="M74" s="176"/>
      <c r="N74" s="37"/>
      <c r="O74" s="37"/>
      <c r="P74" s="37" t="s">
        <v>57</v>
      </c>
      <c r="Q74" s="37"/>
      <c r="R74" s="37"/>
    </row>
    <row r="75" spans="13:18" ht="15" customHeight="1">
      <c r="M75" s="176"/>
      <c r="N75" s="40"/>
      <c r="O75" s="40"/>
      <c r="P75" s="40" t="s">
        <v>1307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2026-09-03T01:01:46Z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