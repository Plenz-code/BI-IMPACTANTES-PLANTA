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94" documentId="13_ncr:1_{9DFDFEE8-78F7-4C04-B87C-99924EE6CC37}" xr6:coauthVersionLast="47" xr6:coauthVersionMax="47" xr10:uidLastSave="{1D1445E6-4DAD-4471-A96F-E81A9E4E9E1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<sst xmlns="http://schemas.openxmlformats.org/spreadsheetml/2006/main" count="6791" uniqueCount="2312">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</sst>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567960</v>
      </c>
      <c r="G4" s="20">
        <f t="shared" ref="G4:G34" si="0">IFERROR(D4+E4+F4,"")</f>
        <v>1735030</v>
      </c>
      <c r="H4" s="21">
        <f>IFERROR('Linha 1'!T28+'Linha 2'!T28+'Linha 3'!T28,0)</f>
        <v>728.71259999999995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872690</v>
      </c>
      <c r="E35" s="31">
        <f t="shared" si="2"/>
        <v>294380</v>
      </c>
      <c r="F35" s="31">
        <f t="shared" si="2"/>
        <v>567960</v>
      </c>
      <c r="G35" s="31">
        <f t="shared" si="2"/>
        <v>1735030</v>
      </c>
      <c r="H35" s="32">
        <f>IFERROR(SUM(H4:H34),"")</f>
        <v>728.71259999999995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J17" sqref="J1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/>
      <c r="M17" s="86">
        <f t="shared" ca="1" si="4"/>
        <v>7.9444907401921228E-2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0.27180601851303238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0.33986157406858786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S28" sqref="S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366.52979999999997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366.52979999999997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S28" sqref="S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/>
      <c r="Q17" s="86">
        <f t="shared" ca="1" si="6"/>
        <v>0.18638935185299488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0.29888935185299492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123.63959999999999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0.65583379629743921</v>
      </c>
      <c r="R28" s="1" t="s">
        <v>271</v>
      </c>
      <c r="S28" s="31">
        <f>IFERROR(S14+S27,"")</f>
        <v>294380</v>
      </c>
      <c r="T28" s="32">
        <f>IFERROR(J28,"")</f>
        <v>123.63959999999999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27" sqref="G2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15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26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2026-09-02T10:48:54Z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