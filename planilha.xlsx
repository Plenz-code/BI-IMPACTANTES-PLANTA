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2" documentId="13_ncr:1_{A6DBCFB4-28D9-4249-9038-216934055CA6}" xr6:coauthVersionLast="47" xr6:coauthVersionMax="47" xr10:uidLastSave="{4DA10890-29EF-44AC-88F9-52AD58FC491F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<sst xmlns="http://schemas.openxmlformats.org/spreadsheetml/2006/main" count="10659" uniqueCount="437">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</sst>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2" sqref="F64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/>
      <c r="M636" s="66">
        <f t="shared" ref="M636:M647" ca="1" si="138">IFERROR(IF(K636="","",IF(L636="",MOD(NOW()-K636,1),IF(L636&gt;=K636,L636-K636,L636+1-K636))),"")</f>
        <v>5.3567476854368579E-2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25</v>
      </c>
      <c r="G641" s="69"/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236</v>
      </c>
      <c r="G648" s="2">
        <f>SUM(G636:G647)</f>
        <v>1055</v>
      </c>
      <c r="H648" s="72"/>
      <c r="I648" s="72"/>
      <c r="J648" s="72"/>
      <c r="K648" s="72"/>
      <c r="L648" s="72"/>
      <c r="M648" s="73">
        <f ca="1">IFERROR(SUM(M636:M647),"")</f>
        <v>5.3567476854368579E-2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642</v>
      </c>
      <c r="G649" s="1">
        <f>G635+G648</f>
        <v>3085</v>
      </c>
      <c r="H649" s="76"/>
      <c r="I649" s="76"/>
      <c r="J649" s="76"/>
      <c r="K649" s="76"/>
      <c r="L649" s="76"/>
      <c r="M649" s="77">
        <f ca="1">IFERROR(M635+M648,"")</f>
        <v>7.5789699076590777E-2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2" sqref="G64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0.93134525462664897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1.0702341435155367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1.1549563657377595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82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353.2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244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1033.6000000000001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38" sqref="P63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3.4722222222222238E-2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8.8194444444444436E-2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1" sqref="G64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7.1623032410570886E-2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100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432</v>
      </c>
      <c r="L648" s="72"/>
      <c r="M648" s="72"/>
      <c r="N648" s="72"/>
      <c r="O648" s="134"/>
      <c r="P648" s="134"/>
      <c r="Q648" s="73">
        <f ca="1">IFERROR(SUM(Q636:Q647),"")</f>
        <v>0.12370636574390426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1444.2</v>
      </c>
      <c r="L649" s="76"/>
      <c r="M649" s="76"/>
      <c r="N649" s="76"/>
      <c r="O649" s="135"/>
      <c r="P649" s="135"/>
      <c r="Q649" s="77">
        <f ca="1">IFERROR(Q635+Q648,"")</f>
        <v>0.19315081018834868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2026-08-25T05:17:32Z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