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90" documentId="8_{AF585B22-221D-4780-BB9C-493D365A6A02}" xr6:coauthVersionLast="47" xr6:coauthVersionMax="47" xr10:uidLastSave="{1BF65780-08C3-47CD-A842-D0AF4F1F3E1E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<sst xmlns="http://schemas.openxmlformats.org/spreadsheetml/2006/main" count="1512" uniqueCount="209">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</sst>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2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174</v>
      </c>
      <c r="L48" s="16"/>
      <c r="M48" s="16"/>
    </row>
    <row r="49" spans="1:13" ht="18" customHeight="1">
      <c r="H49" s="87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177</v>
      </c>
      <c r="L50" s="16"/>
      <c r="M50" s="16"/>
    </row>
    <row r="51" spans="1:13" ht="24" customHeight="1">
      <c r="H51" s="87"/>
      <c r="I51" s="17"/>
      <c r="J51" s="17"/>
      <c r="K51" s="17" t="s">
        <v>178</v>
      </c>
      <c r="L51" s="17"/>
      <c r="M51" s="17"/>
    </row>
    <row r="52" spans="1:13" ht="24" customHeight="1">
      <c r="H52" s="87"/>
      <c r="I52" s="16"/>
      <c r="J52" s="16"/>
      <c r="K52" s="16" t="s">
        <v>179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" activePane="bottomLeft" state="frozen"/>
      <selection pane="bottomLeft" activeCell="G35" sqref="G3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/>
      <c r="M30" s="30">
        <f t="shared" ca="1" si="7"/>
        <v>0.27536898148537148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0.3225912037075937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0.3225912037075937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18" activePane="bottomLeft" state="frozen"/>
      <selection pane="bottomLeft" activeCell="F37" sqref="F3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198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90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199</v>
      </c>
      <c r="M29" s="35" t="str">
        <f t="shared" ref="M29:M40" ca="1" si="7">IFERROR(IF(K29="","",IF(L29="",MOD(NOW()-K29,1),IF(L29&gt;=K29,L29-K29,L29+1-K29))),"")</f>
        <v/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16</v>
      </c>
      <c r="G36" s="34">
        <f t="shared" si="6"/>
        <v>67.2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58</v>
      </c>
      <c r="G41" s="36">
        <f>SUM(G29:G40)</f>
        <v>243.60000000000002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58</v>
      </c>
      <c r="G55" s="40">
        <f>G41+G54</f>
        <v>243.60000000000002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0" activePane="bottomLeft" state="frozen"/>
      <selection pane="bottomLeft" activeCell="F37" sqref="F3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>
        <v>21</v>
      </c>
      <c r="G36" s="34">
        <f t="shared" si="6"/>
        <v>88.2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44</v>
      </c>
      <c r="G41" s="36">
        <f>SUM(G29:G40)</f>
        <v>184.8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44</v>
      </c>
      <c r="G55" s="40">
        <f>G41+G54</f>
        <v>184.8</v>
      </c>
      <c r="H55" s="41"/>
      <c r="I55" s="41"/>
      <c r="J55" s="41"/>
      <c r="K55" s="41"/>
      <c r="L55" s="41"/>
      <c r="M55" s="42">
        <f ca="1">IFERROR(M41+M54,"")</f>
        <v>0.15486111111111106</v>
      </c>
      <c r="N55" s="40" t="s">
        <v>197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K36" sqref="K3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/>
      <c r="M35" s="30">
        <f t="shared" ca="1" si="7"/>
        <v>4.6896759260562249E-2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198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198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198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40</v>
      </c>
      <c r="G41" s="36">
        <f>SUM(G29:G40)</f>
        <v>168</v>
      </c>
      <c r="H41" s="37"/>
      <c r="I41" s="37"/>
      <c r="J41" s="37"/>
      <c r="K41" s="61"/>
      <c r="L41" s="61"/>
      <c r="M41" s="38">
        <f ca="1">IFERROR(SUM(M29:M40),"")</f>
        <v>0.20870231481611778</v>
      </c>
      <c r="N41" s="36" t="s">
        <v>194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40</v>
      </c>
      <c r="G55" s="40">
        <f>G41+G54</f>
        <v>168</v>
      </c>
      <c r="H55" s="41"/>
      <c r="I55" s="41"/>
      <c r="J55" s="41"/>
      <c r="K55" s="63"/>
      <c r="L55" s="63"/>
      <c r="M55" s="42">
        <f ca="1">IFERROR(M41+M54,"")</f>
        <v>0.20870231481611778</v>
      </c>
      <c r="N55" s="40" t="s">
        <v>197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2026-07-02T19:42:58Z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