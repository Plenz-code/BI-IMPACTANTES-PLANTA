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68" documentId="8_{AF585B22-221D-4780-BB9C-493D365A6A02}" xr6:coauthVersionLast="47" xr6:coauthVersionMax="47" xr10:uidLastSave="{C8129DEC-2066-483C-9688-8CBD43E4C34D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<sst xmlns="http://schemas.openxmlformats.org/spreadsheetml/2006/main" count="2696" uniqueCount="239">
  <si>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</si>
  <si>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</si>
  <si>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</si>
  <si>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</si>
  <si>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</si>
  <si>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</si>
  <si>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</si>
  <si>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</si>
  <si>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</si>
  <si>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</si>
  <si>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</si>
  <si>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</si>
  <si>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</si>
  <si>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</si>
  <si>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</si>
  <si>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</si>
  <si>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</si>
  <si>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</si>
  <si>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</si>
  <si>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</si>
  <si>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</si>
  <si>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</si>
  <si>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</si>
  <si>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</si>
  <si>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</si>
  <si>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</si>
  <si>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</si>
  <si>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</si>
  <si>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</si>
  <si>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</si>
  <si>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</si>
  <si>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</si>
  <si>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</si>
  <si>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</si>
  <si>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</si>
  <si>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</si>
  <si>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</si>
  <si>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</si>
  <si>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</si>
  <si>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</si>
  <si>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</si>
  <si>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</si>
  <si>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</si>
  <si>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</si>
  <si>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</si>
  <si>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</si>
  <si>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</si>
  <si>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</si>
  <si>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</si>
  <si>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</si>
  <si>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</si>
  <si>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</si>
  <si>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</si>
  <si>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</si>
  <si>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</si>
  <si>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</si>
  <si>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</si>
  <si>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</si>
  <si>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</si>
  <si>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</si>
  <si>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</si>
  <si>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</si>
  <si>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</si>
  <si>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</si>
  <si>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</si>
  <si>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</si>
  <si>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</si>
  <si>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</si>
  <si>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</si>
  <si>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</si>
  <si>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</si>
  <si>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</si>
  <si>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</si>
  <si>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</si>
  <si>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</si>
  <si>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</si>
  <si>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</si>
  <si>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</si>
  <si>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</si>
  <si>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</si>
  <si>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</si>
  <si>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</si>
  <si>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</si>
  <si>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</si>
  <si>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</si>
  <si>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</si>
  <si>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</si>
  <si>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</si>
  <si>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</si>
  <si>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</si>
  <si>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</si>
  <si>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</si>
  <si>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</si>
  <si>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</si>
  <si>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</si>
  <si>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</si>
  <si>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</si>
  <si>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</si>
  <si>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</si>
  <si>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</si>
  <si>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</si>
  <si>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</si>
  <si>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</si>
  <si>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</si>
  <si>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</si>
  <si>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</si>
  <si>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</si>
  <si>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</si>
  <si>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</si>
  <si>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</si>
  <si>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</si>
  <si>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</si>
  <si>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</si>
  <si>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</si>
  <si>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</si>
  <si>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</si>
  <si>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</si>
  <si>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</si>
  <si>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</si>
  <si>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</si>
  <si>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</si>
  <si>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</si>
  <si>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</si>
  <si>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</si>
  <si>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</si>
  <si>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</si>
  <si>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</si>
  <si>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</si>
  <si>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</si>
  <si>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</si>
  <si>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</si>
  <si>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</si>
  <si>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</si>
  <si>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</si>
  <si>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</si>
  <si>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</si>
  <si>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</si>
  <si>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</si>
  <si>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</si>
  <si>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</si>
  <si>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</si>
  <si>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</si>
  <si>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</si>
  <si>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</si>
  <si>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</si>
  <si>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</si>
  <si>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</si>
  <si>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</si>
  <si>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</si>
  <si>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</si>
  <si>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</si>
  <si>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</si>
  <si>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</si>
  <si>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</si>
  <si>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</si>
  <si>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</si>
  <si>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</si>
  <si>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</si>
  <si>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</si>
  <si>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</si>
  <si>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</si>
  <si>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</si>
  <si>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</si>
  <si>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</si>
  <si>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</si>
  <si>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</si>
  <si>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</si>
  <si>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</si>
  <si>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</si>
  <si>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</si>
  <si>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</si>
  <si>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</si>
  <si>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</si>
  <si>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</si>
  <si>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</si>
  <si>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</si>
  <si>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</si>
  <si>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</si>
  <si>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</si>
  <si>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</si>
  <si>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</si>
  <si>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</si>
  <si>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</si>
  <si>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</si>
  <si>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</si>
  <si>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</si>
  <si>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</si>
  <si>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</si>
  <si>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</si>
  <si>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</si>
  <si>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</si>
  <si>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</si>
  <si>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</si>
  <si>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</si>
  <si>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</si>
  <si>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</si>
  <si>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</si>
  <si>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</si>
  <si>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</si>
  <si>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</si>
  <si>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</si>
  <si>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</si>
  <si>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</si>
  <si>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</si>
  <si>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</si>
  <si>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</si>
  <si>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</si>
  <si>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</si>
  <si>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</si>
  <si>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</si>
  <si>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</si>
  <si>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</si>
  <si>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</si>
  <si>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</si>
  <si>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</si>
  <si>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</si>
  <si>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</si>
  <si>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</si>
  <si>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</si>
  <si>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</si>
  <si>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23:!2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</si>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</sst>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197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201</v>
      </c>
      <c r="O27" s="39">
        <v>1183060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201</v>
      </c>
      <c r="O54" s="39">
        <v>959290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201</v>
      </c>
      <c r="O81" s="39">
        <v>878050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201</v>
      </c>
      <c r="O108" s="39">
        <v>1700000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204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4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1" activePane="bottomLeft" state="frozen"/>
      <selection pane="bottomLeft" activeCell="J124" sqref="J1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201</v>
      </c>
      <c r="O27" s="78">
        <v>393200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85">
        <v>276360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201</v>
      </c>
      <c r="O81" s="54">
        <v>787860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201</v>
      </c>
      <c r="O108" s="54">
        <v>1087080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219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20</v>
      </c>
      <c r="G125" s="34">
        <f t="shared" si="27"/>
        <v>100</v>
      </c>
      <c r="H125" s="33"/>
      <c r="I125" s="33"/>
      <c r="J125" s="33"/>
      <c r="K125" s="29" t="s">
        <v>220</v>
      </c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17</v>
      </c>
      <c r="G126" s="28">
        <f t="shared" si="27"/>
        <v>85</v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79</v>
      </c>
      <c r="G135" s="36">
        <f>SUM(G123:G134)</f>
        <v>395</v>
      </c>
      <c r="H135" s="37"/>
      <c r="I135" s="37"/>
      <c r="J135" s="37"/>
      <c r="K135" s="37"/>
      <c r="L135" s="37"/>
      <c r="M135" s="38">
        <f ca="1">IFERROR(SUM(M123:M134),"")</f>
        <v>2.6388888888889017E-2</v>
      </c>
      <c r="N135" s="36" t="s">
        <v>201</v>
      </c>
      <c r="O135" s="54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214</v>
      </c>
      <c r="G136" s="40">
        <f>G122+G135</f>
        <v>962</v>
      </c>
      <c r="H136" s="41"/>
      <c r="I136" s="41"/>
      <c r="J136" s="41"/>
      <c r="K136" s="41"/>
      <c r="L136" s="41"/>
      <c r="M136" s="42">
        <f ca="1">IFERROR(M122+M135,"")</f>
        <v>0.16805555555555568</v>
      </c>
      <c r="N136" s="40" t="s">
        <v>204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5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78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78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78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78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78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78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78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78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78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78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78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78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78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78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78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78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78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78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78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78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78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F127" sqref="F1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201</v>
      </c>
      <c r="O27" s="39">
        <v>308500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39">
        <v>124290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201</v>
      </c>
      <c r="O81" s="39">
        <v>396340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201</v>
      </c>
      <c r="O108" s="39">
        <v>41230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36</v>
      </c>
      <c r="G135" s="36">
        <f>SUM(G123:G134)</f>
        <v>180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43</v>
      </c>
      <c r="G136" s="40">
        <f>G122+G135</f>
        <v>209.4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204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39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21" activePane="bottomLeft" state="frozen"/>
      <selection pane="bottomLeft" activeCell="F127" sqref="F1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201</v>
      </c>
      <c r="O27" s="39">
        <v>202230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201</v>
      </c>
      <c r="O54" s="39">
        <v>473910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231</v>
      </c>
      <c r="L58" s="29">
        <v>0.54097222222222219</v>
      </c>
      <c r="M58" s="30" t="str">
        <f t="shared" ca="1" si="13"/>
        <v/>
      </c>
      <c r="N58" s="27" t="s">
        <v>232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201</v>
      </c>
      <c r="O81" s="39">
        <v>565120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201</v>
      </c>
      <c r="O108" s="39">
        <v>558590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14</v>
      </c>
      <c r="G124" s="28">
        <f t="shared" si="27"/>
        <v>70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20</v>
      </c>
      <c r="G125" s="34">
        <f t="shared" si="27"/>
        <v>100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23</v>
      </c>
      <c r="G126" s="28">
        <f t="shared" si="27"/>
        <v>115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62</v>
      </c>
      <c r="G135" s="36">
        <f>SUM(G123:G134)</f>
        <v>310</v>
      </c>
      <c r="H135" s="37"/>
      <c r="I135" s="37"/>
      <c r="J135" s="37"/>
      <c r="K135" s="61"/>
      <c r="L135" s="61"/>
      <c r="M135" s="38">
        <f ca="1">IFERROR(SUM(M123:M134),"")</f>
        <v>5.902777777777779E-2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116</v>
      </c>
      <c r="G136" s="40">
        <f>G122+G135</f>
        <v>536.79999999999995</v>
      </c>
      <c r="H136" s="41"/>
      <c r="I136" s="41"/>
      <c r="J136" s="41"/>
      <c r="K136" s="63"/>
      <c r="L136" s="63"/>
      <c r="M136" s="42">
        <f ca="1">IFERROR(M122+M135,"")</f>
        <v>0.42638888888888887</v>
      </c>
      <c r="N136" s="40" t="s">
        <v>204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201</v>
      </c>
      <c r="O432" s="39"/>
    </row>
    <row r="433" spans="1:17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2026-07-06T03:13:02Z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