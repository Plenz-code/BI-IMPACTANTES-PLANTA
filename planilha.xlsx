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587" documentId="13_ncr:1_{0A10D8D4-8450-4366-8075-B53B08E6B7EA}" xr6:coauthVersionLast="47" xr6:coauthVersionMax="47" xr10:uidLastSave="{BEFBEB10-1C14-4D05-809C-356DBD68475C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1" i="6"/>
  <c r="J341" i="6" s="1"/>
  <c r="H342" i="6"/>
  <c r="J342" i="6" s="1"/>
  <c r="H343" i="6"/>
  <c r="J343" i="6" s="1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1" i="5"/>
  <c r="J341" i="5" s="1"/>
  <c r="H342" i="5"/>
  <c r="J342" i="5" s="1"/>
  <c r="H343" i="5"/>
  <c r="J343" i="5" s="1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1" i="4"/>
  <c r="J341" i="4" s="1"/>
  <c r="H342" i="4"/>
  <c r="J342" i="4" s="1"/>
  <c r="H343" i="4"/>
  <c r="J343" i="4" s="1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9" i="6" l="1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<sst xmlns="http://schemas.openxmlformats.org/spreadsheetml/2006/main" count="6095" uniqueCount="340">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</sst>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1" sqref="F341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/>
      <c r="M339" s="35">
        <f t="shared" ref="M339:M350" ca="1" si="71">IFERROR(IF(K339="","",IF(L339="",MOD(NOW()-K339,1),IF(L339&gt;=K339,L339-K339,L339+1-K339))),"")</f>
        <v>5.4699768516002223E-2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45</v>
      </c>
      <c r="G351" s="36">
        <f>SUM(G339:G350)</f>
        <v>225</v>
      </c>
      <c r="H351" s="37"/>
      <c r="I351" s="37"/>
      <c r="J351" s="37"/>
      <c r="K351" s="37"/>
      <c r="L351" s="37"/>
      <c r="M351" s="38">
        <f ca="1">IFERROR(SUM(M339:M350),"")</f>
        <v>5.4699768516002223E-2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277</v>
      </c>
      <c r="G352" s="40">
        <f>G338+G351</f>
        <v>1385</v>
      </c>
      <c r="H352" s="41"/>
      <c r="I352" s="41"/>
      <c r="J352" s="41"/>
      <c r="K352" s="41"/>
      <c r="L352" s="41"/>
      <c r="M352" s="42">
        <f ca="1">IFERROR(M338+M351,"")</f>
        <v>0.13178310184933562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P341" sqref="P34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0.77969976851454703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0.91858865740343587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1.0033108796256582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21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88.2</v>
      </c>
      <c r="L351" s="37"/>
      <c r="M351" s="37"/>
      <c r="N351" s="37"/>
      <c r="O351" s="37"/>
      <c r="P351" s="37"/>
      <c r="Q351" s="38">
        <f ca="1">IFERROR(SUM(Q339:Q350),"")</f>
        <v>3.8194444444444531E-2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58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261.2</v>
      </c>
      <c r="L352" s="41"/>
      <c r="M352" s="41"/>
      <c r="N352" s="41"/>
      <c r="O352" s="41"/>
      <c r="P352" s="41"/>
      <c r="Q352" s="42">
        <f ca="1">IFERROR(Q338+Q351,"")</f>
        <v>0.38055555555555554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G341" sqref="G34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11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46.2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72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343.2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22" activePane="bottomLeft" state="frozen"/>
      <selection pane="bottomLeft" activeCell="O341" sqref="O34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/>
      <c r="M340" s="26"/>
      <c r="N340" s="26"/>
      <c r="O340" s="29">
        <v>0.89652777777777781</v>
      </c>
      <c r="P340" s="29"/>
      <c r="Q340" s="30">
        <f t="shared" ca="1" si="80"/>
        <v>4.6997685203677975E-3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46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193.2</v>
      </c>
      <c r="L351" s="37"/>
      <c r="M351" s="37"/>
      <c r="N351" s="37"/>
      <c r="O351" s="61"/>
      <c r="P351" s="61"/>
      <c r="Q351" s="38">
        <f ca="1">IFERROR(SUM(Q339:Q350),"")</f>
        <v>6.7831018537011234E-3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263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1161.4000000000001</v>
      </c>
      <c r="L352" s="41"/>
      <c r="M352" s="41"/>
      <c r="N352" s="41"/>
      <c r="O352" s="63"/>
      <c r="P352" s="63"/>
      <c r="Q352" s="42">
        <f ca="1">IFERROR(Q338+Q351,"")</f>
        <v>4.7755324075923256E-2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2026-08-14T01:38:06Z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