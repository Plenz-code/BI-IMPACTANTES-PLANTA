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64" documentId="13_ncr:1_{0A10D8D4-8450-4366-8075-B53B08E6B7EA}" xr6:coauthVersionLast="47" xr6:coauthVersionMax="47" xr10:uidLastSave="{E341BF11-C0B3-48AC-9F54-AAC6DAD2D4E6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17" i="6" s="1"/>
  <c r="J41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H417" i="5" s="1"/>
  <c r="J417" i="5" s="1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H417" i="4" s="1"/>
  <c r="J417" i="4" s="1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15" i="6" l="1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<sst xmlns="http://schemas.openxmlformats.org/spreadsheetml/2006/main" count="7142" uniqueCount="356">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</sst>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sqref="A1:K1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18" sqref="F418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185</v>
      </c>
      <c r="G419" s="36">
        <f>SUM(G407:G418)</f>
        <v>925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185</v>
      </c>
      <c r="G433" s="40">
        <f>G419+G432</f>
        <v>925</v>
      </c>
      <c r="H433" s="41"/>
      <c r="I433" s="41"/>
      <c r="J433" s="41"/>
      <c r="K433" s="41"/>
      <c r="L433" s="41"/>
      <c r="M433" s="42">
        <f ca="1">IFERROR(M419+M432,"")</f>
        <v>0.2326388888888889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81" activePane="bottomLeft" state="frozen"/>
      <selection pane="bottomLeft" activeCell="G418" sqref="G418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0.63277939814724959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0.77166828703613843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0.8563905092583608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0</v>
      </c>
      <c r="I408" s="135">
        <f>IFERROR(IF($D408="","",VLOOKUP($D408,Cadastro!$C$4:$G$7,5,FALSE)),"")</f>
        <v>0.6</v>
      </c>
      <c r="J408" s="136">
        <f t="shared" si="98"/>
        <v>0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0</v>
      </c>
      <c r="I409" s="135">
        <f>IFERROR(IF($D409="","",VLOOKUP($D409,Cadastro!$C$4:$G$7,5,FALSE)),"")</f>
        <v>0.6</v>
      </c>
      <c r="J409" s="136">
        <f t="shared" si="98"/>
        <v>0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0</v>
      </c>
      <c r="I410" s="135">
        <f>IFERROR(IF($D410="","",VLOOKUP($D410,Cadastro!$C$4:$G$7,5,FALSE)),"")</f>
        <v>0.6</v>
      </c>
      <c r="J410" s="136">
        <f t="shared" si="98"/>
        <v>0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0</v>
      </c>
      <c r="I411" s="135">
        <f>IFERROR(IF($D411="","",VLOOKUP($D411,Cadastro!$C$4:$G$7,5,FALSE)),"")</f>
        <v>0.6</v>
      </c>
      <c r="J411" s="136">
        <f t="shared" si="98"/>
        <v>0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0</v>
      </c>
      <c r="I412" s="135">
        <f>IFERROR(IF($D412="","",VLOOKUP($D412,Cadastro!$C$4:$G$7,5,FALSE)),"")</f>
        <v>0.6</v>
      </c>
      <c r="J412" s="136">
        <f t="shared" si="98"/>
        <v>0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0</v>
      </c>
      <c r="I413" s="135">
        <f>IFERROR(IF($D413="","",VLOOKUP($D413,Cadastro!$C$4:$G$7,5,FALSE)),"")</f>
        <v>0.6</v>
      </c>
      <c r="J413" s="136">
        <f t="shared" si="98"/>
        <v>0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0</v>
      </c>
      <c r="I414" s="135">
        <f>IFERROR(IF($D414="","",VLOOKUP($D414,Cadastro!$C$4:$G$7,5,FALSE)),"")</f>
        <v>0.6</v>
      </c>
      <c r="J414" s="136">
        <f t="shared" si="98"/>
        <v>0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0</v>
      </c>
      <c r="I415" s="135">
        <f>IFERROR(IF($D415="","",VLOOKUP($D415,Cadastro!$C$4:$G$7,5,FALSE)),"")</f>
        <v>0.6</v>
      </c>
      <c r="J415" s="136">
        <f t="shared" si="98"/>
        <v>0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0</v>
      </c>
      <c r="I416" s="135">
        <f>IFERROR(IF($D416="","",VLOOKUP($D416,Cadastro!$C$4:$G$7,5,FALSE)),"")</f>
        <v>0.6</v>
      </c>
      <c r="J416" s="136">
        <f t="shared" si="98"/>
        <v>0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0</v>
      </c>
      <c r="I417" s="135">
        <f>IFERROR(IF($D417="","",VLOOKUP($D417,Cadastro!$C$4:$G$7,5,FALSE)),"")</f>
        <v>0.6</v>
      </c>
      <c r="J417" s="136">
        <f t="shared" si="98"/>
        <v>0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136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571.20000000000005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136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571.20000000000005</v>
      </c>
      <c r="L433" s="41"/>
      <c r="M433" s="41"/>
      <c r="N433" s="41"/>
      <c r="O433" s="41"/>
      <c r="P433" s="41"/>
      <c r="Q433" s="42">
        <f ca="1">IFERROR(Q419+Q432,"")</f>
        <v>9.0972222222222232E-2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18" sqref="G418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0</v>
      </c>
      <c r="I408" s="135">
        <f>IFERROR(IF($D408="","",VLOOKUP($D408,Cadastro!$C$4:$G$7,5,FALSE)),"")</f>
        <v>0.6</v>
      </c>
      <c r="J408" s="136">
        <f t="shared" si="96"/>
        <v>0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/>
      <c r="Q408" s="30">
        <f t="shared" ca="1" si="98"/>
        <v>2.6529398150159977E-2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0</v>
      </c>
      <c r="I409" s="135">
        <f>IFERROR(IF($D409="","",VLOOKUP($D409,Cadastro!$C$4:$G$7,5,FALSE)),"")</f>
        <v>0.6</v>
      </c>
      <c r="J409" s="136">
        <f t="shared" si="96"/>
        <v>0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0</v>
      </c>
      <c r="I410" s="135">
        <f>IFERROR(IF($D410="","",VLOOKUP($D410,Cadastro!$C$4:$G$7,5,FALSE)),"")</f>
        <v>0.6</v>
      </c>
      <c r="J410" s="136">
        <f t="shared" si="96"/>
        <v>0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0</v>
      </c>
      <c r="I411" s="135">
        <f>IFERROR(IF($D411="","",VLOOKUP($D411,Cadastro!$C$4:$G$7,5,FALSE)),"")</f>
        <v>0.6</v>
      </c>
      <c r="J411" s="136">
        <f t="shared" si="96"/>
        <v>0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0</v>
      </c>
      <c r="I412" s="135">
        <f>IFERROR(IF($D412="","",VLOOKUP($D412,Cadastro!$C$4:$G$7,5,FALSE)),"")</f>
        <v>0.6</v>
      </c>
      <c r="J412" s="136">
        <f t="shared" si="96"/>
        <v>0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0</v>
      </c>
      <c r="I413" s="135">
        <f>IFERROR(IF($D413="","",VLOOKUP($D413,Cadastro!$C$4:$G$7,5,FALSE)),"")</f>
        <v>0.6</v>
      </c>
      <c r="J413" s="136">
        <f t="shared" si="96"/>
        <v>0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0</v>
      </c>
      <c r="I414" s="135">
        <f>IFERROR(IF($D414="","",VLOOKUP($D414,Cadastro!$C$4:$G$7,5,FALSE)),"")</f>
        <v>0.6</v>
      </c>
      <c r="J414" s="136">
        <f t="shared" si="96"/>
        <v>0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0</v>
      </c>
      <c r="I415" s="135">
        <f>IFERROR(IF($D415="","",VLOOKUP($D415,Cadastro!$C$4:$G$7,5,FALSE)),"")</f>
        <v>0.6</v>
      </c>
      <c r="J415" s="136">
        <f t="shared" si="96"/>
        <v>0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0</v>
      </c>
      <c r="I416" s="135">
        <f>IFERROR(IF($D416="","",VLOOKUP($D416,Cadastro!$C$4:$G$7,5,FALSE)),"")</f>
        <v>0.6</v>
      </c>
      <c r="J416" s="136">
        <f t="shared" si="96"/>
        <v>0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0</v>
      </c>
      <c r="I417" s="135">
        <f>IFERROR(IF($D417="","",VLOOKUP($D417,Cadastro!$C$4:$G$7,5,FALSE)),"")</f>
        <v>0.6</v>
      </c>
      <c r="J417" s="136">
        <f t="shared" si="96"/>
        <v>0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6.1251620372382187E-2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121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508.20000000000005</v>
      </c>
      <c r="L433" s="41"/>
      <c r="M433" s="41"/>
      <c r="N433" s="41"/>
      <c r="O433" s="41"/>
      <c r="P433" s="41"/>
      <c r="Q433" s="42">
        <f ca="1">IFERROR(Q419+Q432,"")</f>
        <v>6.1251620372382187E-2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76" activePane="bottomLeft" state="frozen"/>
      <selection pane="bottomLeft" activeCell="P413" sqref="P413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0</v>
      </c>
      <c r="I408" s="135">
        <f>IFERROR(IF($D408="","",VLOOKUP($D408,Cadastro!$C$4:$G$7,5,FALSE)),"")</f>
        <v>0.6</v>
      </c>
      <c r="J408" s="136">
        <f t="shared" si="98"/>
        <v>0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0</v>
      </c>
      <c r="I409" s="135">
        <f>IFERROR(IF($D409="","",VLOOKUP($D409,Cadastro!$C$4:$G$7,5,FALSE)),"")</f>
        <v>0.6</v>
      </c>
      <c r="J409" s="136">
        <f t="shared" si="98"/>
        <v>0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0</v>
      </c>
      <c r="I410" s="135">
        <f>IFERROR(IF($D410="","",VLOOKUP($D410,Cadastro!$C$4:$G$7,5,FALSE)),"")</f>
        <v>0.6</v>
      </c>
      <c r="J410" s="136">
        <f t="shared" si="98"/>
        <v>0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0</v>
      </c>
      <c r="I411" s="135">
        <f>IFERROR(IF($D411="","",VLOOKUP($D411,Cadastro!$C$4:$G$7,5,FALSE)),"")</f>
        <v>0.6</v>
      </c>
      <c r="J411" s="136">
        <f t="shared" si="98"/>
        <v>0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0</v>
      </c>
      <c r="I412" s="135">
        <f>IFERROR(IF($D412="","",VLOOKUP($D412,Cadastro!$C$4:$G$7,5,FALSE)),"")</f>
        <v>0.6</v>
      </c>
      <c r="J412" s="136">
        <f t="shared" si="98"/>
        <v>0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0</v>
      </c>
      <c r="I413" s="135">
        <f>IFERROR(IF($D413="","",VLOOKUP($D413,Cadastro!$C$4:$G$7,5,FALSE)),"")</f>
        <v>0.6</v>
      </c>
      <c r="J413" s="136">
        <f t="shared" si="98"/>
        <v>0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0</v>
      </c>
      <c r="I414" s="135">
        <f>IFERROR(IF($D414="","",VLOOKUP($D414,Cadastro!$C$4:$G$7,5,FALSE)),"")</f>
        <v>0.6</v>
      </c>
      <c r="J414" s="136">
        <f t="shared" si="98"/>
        <v>0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0</v>
      </c>
      <c r="I415" s="135">
        <f>IFERROR(IF($D415="","",VLOOKUP($D415,Cadastro!$C$4:$G$7,5,FALSE)),"")</f>
        <v>0.6</v>
      </c>
      <c r="J415" s="136">
        <f t="shared" si="98"/>
        <v>0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0</v>
      </c>
      <c r="I416" s="135">
        <f>IFERROR(IF($D416="","",VLOOKUP($D416,Cadastro!$C$4:$G$7,5,FALSE)),"")</f>
        <v>0.6</v>
      </c>
      <c r="J416" s="136">
        <f t="shared" si="98"/>
        <v>0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0</v>
      </c>
      <c r="I417" s="135">
        <f>IFERROR(IF($D417="","",VLOOKUP($D417,Cadastro!$C$4:$G$7,5,FALSE)),"")</f>
        <v>0.6</v>
      </c>
      <c r="J417" s="136">
        <f t="shared" si="98"/>
        <v>0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134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562.80000000000007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134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562.80000000000007</v>
      </c>
      <c r="L433" s="41"/>
      <c r="M433" s="41"/>
      <c r="N433" s="41"/>
      <c r="O433" s="63"/>
      <c r="P433" s="63"/>
      <c r="Q433" s="42">
        <f ca="1">IFERROR(Q419+Q432,"")</f>
        <v>0.11527777777777781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2026-08-16T22:06:47Z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