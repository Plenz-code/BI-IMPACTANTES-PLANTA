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795" documentId="8_{AF585B22-221D-4780-BB9C-493D365A6A02}" xr6:coauthVersionLast="47" xr6:coauthVersionMax="47" xr10:uidLastSave="{AF323F23-EA1B-4934-A6DC-4115F14447AC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<sst xmlns="http://schemas.openxmlformats.org/spreadsheetml/2006/main" count="4499" uniqueCount="284">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</sst>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9" activePane="bottomLeft" state="frozen"/>
      <selection pane="bottomLeft" activeCell="D258" sqref="D258:D2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350</v>
      </c>
      <c r="G271" s="40">
        <f>G257+G270</f>
        <v>1750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3" activePane="bottomLeft" state="frozen"/>
      <selection pane="bottomLeft" activeCell="E269" sqref="E2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>
        <v>0.79861111111111116</v>
      </c>
      <c r="L258" s="29"/>
      <c r="M258" s="30">
        <f t="shared" ref="M258:M269" ca="1" si="58">IFERROR(IF(K258="","",IF(L258="",MOD(NOW()-K258,1),IF(L258&gt;=K258,L258-K258,L258+1-K258))),"")</f>
        <v>1.8944444447697606E-2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1.8944444447697606E-2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165</v>
      </c>
      <c r="G271" s="40">
        <f>G257+G270</f>
        <v>692.99999999999989</v>
      </c>
      <c r="H271" s="41"/>
      <c r="I271" s="41"/>
      <c r="J271" s="41"/>
      <c r="K271" s="41"/>
      <c r="L271" s="41"/>
      <c r="M271" s="42">
        <f ca="1">IFERROR(M257+M270,"")</f>
        <v>9.1166666669919849E-2</v>
      </c>
      <c r="N271" s="40" t="s">
        <v>218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41" zoomScale="50" zoomScaleNormal="50" workbookViewId="0">
      <selection activeCell="E269" sqref="E2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/>
      <c r="G258" s="34" t="str">
        <f t="shared" ref="G258:G269" si="57">IF(F258="","",IF(E258="PC 17",F258*4.2,IF(E258="PC 19",F258*5,"")))</f>
        <v/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9.0277777777778567E-3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139</v>
      </c>
      <c r="G271" s="40">
        <f>G257+G270</f>
        <v>583.79999999999995</v>
      </c>
      <c r="H271" s="41"/>
      <c r="I271" s="41"/>
      <c r="J271" s="41"/>
      <c r="K271" s="41"/>
      <c r="L271" s="41"/>
      <c r="M271" s="42">
        <f ca="1">IFERROR(M257+M270,"")</f>
        <v>7.6388888888889062E-2</v>
      </c>
      <c r="N271" s="40" t="s">
        <v>218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41" activePane="bottomLeft" state="frozen"/>
      <selection pane="bottomLeft" activeCell="E269" sqref="E26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0.56825000000389991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0.76755555555945554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1.1349166666705666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/>
      <c r="G258" s="34" t="str">
        <f t="shared" ref="G258:G269" si="57">IF(F258="","",IF(E258="PC 17",F258*4.2,IF(E258="PC 19",F258*5,"")))</f>
        <v/>
      </c>
      <c r="H258" s="26" t="s">
        <v>20</v>
      </c>
      <c r="I258" s="26" t="s">
        <v>137</v>
      </c>
      <c r="J258" s="26" t="s">
        <v>74</v>
      </c>
      <c r="K258" s="29">
        <v>0.80208333333333337</v>
      </c>
      <c r="L258" s="29"/>
      <c r="M258" s="35">
        <f t="shared" ref="M258:M269" ca="1" si="58">IFERROR(IF(K258="","",IF(L258="",MOD(NOW()-K258,1),IF(L258&gt;=K258,L258-K258,L258+1-K258))),"")</f>
        <v>1.5472222221433185E-2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1.5472222221433185E-2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190</v>
      </c>
      <c r="G271" s="40">
        <f>G257+G270</f>
        <v>797.99999999999989</v>
      </c>
      <c r="H271" s="41"/>
      <c r="I271" s="41"/>
      <c r="J271" s="41"/>
      <c r="K271" s="63"/>
      <c r="L271" s="63"/>
      <c r="M271" s="42">
        <f ca="1">IFERROR(M257+M270,"")</f>
        <v>0.13283333333254432</v>
      </c>
      <c r="N271" s="40" t="s">
        <v>218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2026-07-10T23:37:26Z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