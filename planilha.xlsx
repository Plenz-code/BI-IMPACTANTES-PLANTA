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3" documentId="13_ncr:1_{A6DBCFB4-28D9-4249-9038-216934055CA6}" xr6:coauthVersionLast="47" xr6:coauthVersionMax="47" xr10:uidLastSave="{D161FE85-14EE-4FC9-8214-90FA2D79C59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<sst xmlns="http://schemas.openxmlformats.org/spreadsheetml/2006/main" count="10060" uniqueCount="428">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</sst>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0.12764629629964475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0.12764629629964475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0.12764629629964475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8" sqref="G59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0.29778518518287456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0.43667407407176229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0.5213962962939851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172.2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172.2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D607" sqref="D607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11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46.2</v>
      </c>
      <c r="L608" s="72"/>
      <c r="M608" s="72"/>
      <c r="N608" s="72"/>
      <c r="O608" s="72"/>
      <c r="P608" s="72"/>
      <c r="Q608" s="73">
        <f ca="1">IFERROR(SUM(Q596:Q607),"")</f>
        <v>2.9166666666666674E-2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11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46.2</v>
      </c>
      <c r="L622" s="76"/>
      <c r="M622" s="76"/>
      <c r="N622" s="76"/>
      <c r="O622" s="76"/>
      <c r="P622" s="76"/>
      <c r="Q622" s="77">
        <f ca="1">IFERROR(Q608+Q621,"")</f>
        <v>2.9166666666666674E-2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D607" sqref="D607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/>
      <c r="H598" s="88" t="str">
        <f>IFERROR(IF($G598="","",$G598*$S$608/$G$608/Cadastro!$E$33),"")</f>
        <v/>
      </c>
      <c r="I598" s="90">
        <f>IFERROR(IF($D598="","",VLOOKUP($D598,Cadastro!$C$4:$G$7,5,FALSE())),"")</f>
        <v>0.6</v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