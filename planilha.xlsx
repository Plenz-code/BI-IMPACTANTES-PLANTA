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9" documentId="13_ncr:1_{A6DBCFB4-28D9-4249-9038-216934055CA6}" xr6:coauthVersionLast="47" xr6:coauthVersionMax="47" xr10:uidLastSave="{68E2BFF2-33AD-4C92-AD00-5B2F4F272FBA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06" i="4" s="1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M486" i="3"/>
  <c r="M716" i="3"/>
  <c r="Q716" i="4"/>
  <c r="Q730" i="4" s="1"/>
  <c r="Q608" i="4"/>
  <c r="Q176" i="6"/>
  <c r="Q702" i="4"/>
  <c r="Q703" i="4" s="1"/>
  <c r="Q243" i="5"/>
  <c r="Q486" i="4"/>
  <c r="Q487" i="4" s="1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811" i="6" s="1"/>
  <c r="Q95" i="5"/>
  <c r="Q109" i="5" s="1"/>
  <c r="M284" i="3"/>
  <c r="Q41" i="5"/>
  <c r="Q392" i="5"/>
  <c r="Q648" i="6"/>
  <c r="Q649" i="6" s="1"/>
  <c r="Q729" i="5"/>
  <c r="Q730" i="5" s="1"/>
  <c r="Q486" i="5"/>
  <c r="Q459" i="5"/>
  <c r="Q460" i="5" s="1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757" i="6" s="1"/>
  <c r="Q270" i="6"/>
  <c r="Q271" i="6" s="1"/>
  <c r="M729" i="3"/>
  <c r="M513" i="3"/>
  <c r="M514" i="3" s="1"/>
  <c r="M95" i="3"/>
  <c r="Q554" i="4"/>
  <c r="M392" i="3"/>
  <c r="M406" i="3" s="1"/>
  <c r="M122" i="3"/>
  <c r="Q351" i="4"/>
  <c r="Q189" i="4"/>
  <c r="Q190" i="4" s="1"/>
  <c r="M797" i="3"/>
  <c r="M594" i="3"/>
  <c r="Q621" i="5"/>
  <c r="Q270" i="5"/>
  <c r="Q216" i="5"/>
  <c r="Q217" i="5" s="1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406" i="6" s="1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8" i="6" s="1"/>
  <c r="Q837" i="4"/>
  <c r="Q838" i="4" s="1"/>
  <c r="Q230" i="5"/>
  <c r="Q162" i="5"/>
  <c r="Q54" i="4"/>
  <c r="Q770" i="6"/>
  <c r="Q662" i="6"/>
  <c r="Q554" i="6"/>
  <c r="Q540" i="6"/>
  <c r="Q541" i="6" s="1"/>
  <c r="Q419" i="6"/>
  <c r="Q433" i="6" s="1"/>
  <c r="Q351" i="6"/>
  <c r="Q338" i="6"/>
  <c r="Q311" i="6"/>
  <c r="Q216" i="6"/>
  <c r="Q217" i="6" s="1"/>
  <c r="Q95" i="6"/>
  <c r="Q109" i="6" s="1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298" i="5" l="1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<sst xmlns="http://schemas.openxmlformats.org/spreadsheetml/2006/main" count="9892" uniqueCount="423">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</sst>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34" sqref="E3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67" activePane="bottomLeft" state="frozen"/>
      <selection pane="bottomLeft" activeCell="P584" sqref="P58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0.88700925925513729</v>
      </c>
      <c r="R53" s="80" t="s">
        <v>312</v>
      </c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1.025898148144025</v>
      </c>
      <c r="R54" s="2" t="s">
        <v>262</v>
      </c>
      <c r="S54" s="113">
        <v>352430</v>
      </c>
      <c r="T54" s="114"/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1.1106203703662478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261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264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261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264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261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264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261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264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44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184.80000000000004</v>
      </c>
      <c r="L594" s="72"/>
      <c r="M594" s="72"/>
      <c r="N594" s="72"/>
      <c r="O594" s="72"/>
      <c r="P594" s="72"/>
      <c r="Q594" s="73">
        <f ca="1">IFERROR(SUM(Q582:Q593),"")</f>
        <v>9.2361111111111227E-2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93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390.6</v>
      </c>
      <c r="L595" s="76"/>
      <c r="M595" s="76"/>
      <c r="N595" s="76"/>
      <c r="O595" s="76"/>
      <c r="P595" s="76"/>
      <c r="Q595" s="77">
        <f ca="1">IFERROR(Q581+Q594,"")</f>
        <v>0.49652777777777785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6" sqref="G586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261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20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84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183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777.40000000000009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567" activePane="bottomLeft" state="frozen"/>
      <selection pane="bottomLeft" activeCell="P585" sqref="P585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/>
      <c r="M585" s="70"/>
      <c r="N585" s="70"/>
      <c r="O585" s="65">
        <v>0.92569444444444449</v>
      </c>
      <c r="P585" s="65"/>
      <c r="Q585" s="71">
        <f t="shared" ca="1" si="152"/>
        <v>8.284259259380633E-2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67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281.39999999999998</v>
      </c>
      <c r="L594" s="72"/>
      <c r="M594" s="72"/>
      <c r="N594" s="72"/>
      <c r="O594" s="134"/>
      <c r="P594" s="134"/>
      <c r="Q594" s="73">
        <f ca="1">IFERROR(SUM(Q582:Q593),"")</f>
        <v>0.1252037037049174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269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1145.8000000000002</v>
      </c>
      <c r="L595" s="76"/>
      <c r="M595" s="76"/>
      <c r="N595" s="76"/>
      <c r="O595" s="135"/>
      <c r="P595" s="135"/>
      <c r="Q595" s="77">
        <f ca="1">IFERROR(Q581+Q594,"")</f>
        <v>0.25923148148269526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771c9ca5-affe-4166-ad8c-7e4536f98f4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2026-08-23T04:12:31Z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