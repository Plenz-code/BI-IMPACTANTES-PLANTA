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163" documentId="8_{AF585B22-221D-4780-BB9C-493D365A6A02}" xr6:coauthVersionLast="47" xr6:coauthVersionMax="47" xr10:uidLastSave="{2F639909-7536-4D1A-811B-0C7FD3988394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<sst xmlns="http://schemas.openxmlformats.org/spreadsheetml/2006/main" count="8798" uniqueCount="372">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</sst>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sqref="G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726090</v>
      </c>
      <c r="D24" s="8">
        <f>IFERROR('Linha 1'!O568,"")</f>
        <v>1003230</v>
      </c>
      <c r="E24" s="8">
        <f>IFERROR('Linha 2'!O568,"")</f>
        <v>171920</v>
      </c>
      <c r="F24" s="8">
        <f>IFERROR('Linha 3'!O568,"")</f>
        <v>583380</v>
      </c>
      <c r="G24" s="9">
        <f t="shared" si="0"/>
        <v>1758530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63111241</v>
      </c>
      <c r="D35" s="13">
        <f>IFERROR(SUM(D4:D34),"")</f>
        <v>24771590</v>
      </c>
      <c r="E35" s="13">
        <f>IFERROR(SUM(E4:E34),"")</f>
        <v>14012030</v>
      </c>
      <c r="F35" s="13">
        <f>IFERROR(SUM(F4:F34),"")</f>
        <v>28224620</v>
      </c>
      <c r="G35" s="13">
        <f>IFERROR(SUM(G4:G34),"")</f>
        <v>67008240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 t="s">
        <v>216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530" activePane="bottomLeft" state="frozen"/>
      <selection pane="bottomLeft" activeCell="F564" sqref="F56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85.855468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228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228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257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228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228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228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228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228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228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228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228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228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231</v>
      </c>
      <c r="O540" s="39">
        <v>1240140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234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228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206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258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228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228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228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228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228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228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228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228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228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228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228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231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228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228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228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228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228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228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228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228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228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228</v>
      </c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228</v>
      </c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228</v>
      </c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177</v>
      </c>
      <c r="G567" s="36">
        <f>SUM(G555:G566)</f>
        <v>885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307</v>
      </c>
      <c r="G568" s="40">
        <f>G554+G567</f>
        <v>1535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234</v>
      </c>
      <c r="O568" s="48">
        <f>IFERROR(O554+O567,"")</f>
        <v>726090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31" activePane="bottomLeft" state="frozen"/>
      <selection pane="bottomLeft" activeCell="F564" sqref="F56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0.94018113425408956</v>
      </c>
      <c r="N377" s="46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1.0978200231429784</v>
      </c>
      <c r="N378" s="36" t="s">
        <v>231</v>
      </c>
      <c r="O378" s="77">
        <v>511980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1.2075422453652007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0.91865335647889879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1.0894866898122322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1.2346255787011211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231</v>
      </c>
      <c r="O540" s="77">
        <v>548610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234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231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255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255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255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255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255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255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255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255</v>
      </c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255</v>
      </c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255</v>
      </c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132</v>
      </c>
      <c r="G567" s="36">
        <f>SUM(G555:G566)</f>
        <v>554.4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231</v>
      </c>
      <c r="O567" s="77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370</v>
      </c>
      <c r="G568" s="40">
        <f>G554+G567</f>
        <v>1554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234</v>
      </c>
      <c r="O568" s="83">
        <f>IFERROR(O554+O567,"")</f>
        <v>1003230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30" zoomScale="50" zoomScaleNormal="50" workbookViewId="0">
      <selection activeCell="F564" sqref="F56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304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305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307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308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272</v>
      </c>
      <c r="K141" s="29">
        <v>0.71597222222222223</v>
      </c>
      <c r="L141" s="29" t="s">
        <v>310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312</v>
      </c>
      <c r="N166" s="27" t="s">
        <v>313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314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315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316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320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324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325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326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327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231</v>
      </c>
      <c r="O540" s="39">
        <v>194990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234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328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231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255</v>
      </c>
      <c r="F557" s="27">
        <v>9</v>
      </c>
      <c r="G557" s="34">
        <f t="shared" si="123"/>
        <v>37.800000000000004</v>
      </c>
      <c r="H557" s="33" t="s">
        <v>19</v>
      </c>
      <c r="I557" s="33" t="s">
        <v>47</v>
      </c>
      <c r="J557" s="33" t="s">
        <v>27</v>
      </c>
      <c r="K557" s="29">
        <v>0.16666666666666666</v>
      </c>
      <c r="L557" s="29"/>
      <c r="M557" s="35">
        <f t="shared" ca="1" si="124"/>
        <v>1.3097800925606862E-2</v>
      </c>
      <c r="N557" s="27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255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255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255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255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255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255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255</v>
      </c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255</v>
      </c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255</v>
      </c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81</v>
      </c>
      <c r="G567" s="36">
        <f>SUM(G555:G566)</f>
        <v>340.2</v>
      </c>
      <c r="H567" s="37"/>
      <c r="I567" s="37"/>
      <c r="J567" s="37"/>
      <c r="K567" s="37"/>
      <c r="L567" s="37"/>
      <c r="M567" s="38">
        <f ca="1">IFERROR(SUM(M555:M566),"")</f>
        <v>2.351446759227363E-2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114</v>
      </c>
      <c r="G568" s="40">
        <f>G554+G567</f>
        <v>478.8</v>
      </c>
      <c r="H568" s="41"/>
      <c r="I568" s="41"/>
      <c r="J568" s="41"/>
      <c r="K568" s="41"/>
      <c r="L568" s="41"/>
      <c r="M568" s="42">
        <f ca="1">IFERROR(M554+M567,"")</f>
        <v>8.0458912036718094E-2</v>
      </c>
      <c r="N568" s="40" t="s">
        <v>234</v>
      </c>
      <c r="O568" s="48">
        <f>IFERROR(O554+O567,"")</f>
        <v>171920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530" activePane="bottomLeft" state="frozen"/>
      <selection pane="bottomLeft" activeCell="F564" sqref="F564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329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330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333</v>
      </c>
      <c r="L58" s="29">
        <v>0.54097222222222219</v>
      </c>
      <c r="M58" s="30" t="str">
        <f t="shared" ca="1" si="13"/>
        <v/>
      </c>
      <c r="N58" s="27" t="s">
        <v>334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304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335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336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337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338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339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340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0.93045891203655628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1.1297644675921119</v>
      </c>
      <c r="N135" s="36" t="s">
        <v>231</v>
      </c>
      <c r="O135" s="39">
        <v>729290</v>
      </c>
    </row>
    <row r="136" spans="1:18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1.4971255787032229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343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344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345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346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347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348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349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350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353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354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230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355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356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357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358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345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359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360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362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363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364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338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338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365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366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367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231</v>
      </c>
      <c r="O540" s="39">
        <v>404370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234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368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369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370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231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255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/>
      <c r="M557" s="35">
        <f t="shared" ca="1" si="125"/>
        <v>5.4764467589848209E-2</v>
      </c>
      <c r="N557" s="27" t="s">
        <v>371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255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255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255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255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255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255</v>
      </c>
      <c r="F563" s="27">
        <v>0</v>
      </c>
      <c r="G563" s="34">
        <f t="shared" si="123"/>
        <v>0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255</v>
      </c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255</v>
      </c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255</v>
      </c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100</v>
      </c>
      <c r="G567" s="36">
        <f>SUM(G555:G566)</f>
        <v>420</v>
      </c>
      <c r="H567" s="37"/>
      <c r="I567" s="37"/>
      <c r="J567" s="37"/>
      <c r="K567" s="61"/>
      <c r="L567" s="61"/>
      <c r="M567" s="38">
        <f ca="1">IFERROR(SUM(M555:M566),"")</f>
        <v>9.434780092318161E-2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250</v>
      </c>
      <c r="G568" s="40">
        <f>G554+G567</f>
        <v>1050</v>
      </c>
      <c r="H568" s="41"/>
      <c r="I568" s="41"/>
      <c r="J568" s="41"/>
      <c r="K568" s="63"/>
      <c r="L568" s="63"/>
      <c r="M568" s="42">
        <f ca="1">IFERROR(M554+M567,"")</f>
        <v>0.27351446758984821</v>
      </c>
      <c r="N568" s="40" t="s">
        <v>234</v>
      </c>
      <c r="O568" s="48">
        <f>IFERROR(O554+O567,"")</f>
        <v>583380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2026-07-22T08:19:07Z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