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496" documentId="8_{AF585B22-221D-4780-BB9C-493D365A6A02}" xr6:coauthVersionLast="47" xr6:coauthVersionMax="47" xr10:uidLastSave="{12261D21-8FCC-43A8-9D10-61E010C6E44D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<sst xmlns="http://schemas.openxmlformats.org/spreadsheetml/2006/main" count="6563" uniqueCount="329">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</sst>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C21" sqref="C21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399940</v>
      </c>
      <c r="F18" s="8">
        <f>IFERROR('Linha 3'!O406,"")</f>
        <v>565570</v>
      </c>
      <c r="G18" s="9">
        <f t="shared" si="0"/>
        <v>1799900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44921362</v>
      </c>
      <c r="D35" s="13">
        <f>IFERROR(SUM(D4:D34),"")</f>
        <v>16580590</v>
      </c>
      <c r="E35" s="13">
        <f>IFERROR(SUM(E4:E34),"")</f>
        <v>10699830</v>
      </c>
      <c r="F35" s="13">
        <f>IFERROR(SUM(F4:F34),"")</f>
        <v>19982890</v>
      </c>
      <c r="G35" s="13">
        <f>IFERROR(SUM(G4:G34),"")</f>
        <v>47263310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M55" sqref="M5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4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4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4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4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4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4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4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4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4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4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4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4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4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4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4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4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4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4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4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165</v>
      </c>
      <c r="L38" s="16"/>
      <c r="M38" s="16" t="s">
        <v>166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167</v>
      </c>
      <c r="L39" s="17"/>
      <c r="M39" s="17" t="s">
        <v>168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169</v>
      </c>
      <c r="L40" s="16"/>
      <c r="M40" s="16" t="s">
        <v>170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171</v>
      </c>
      <c r="L41" s="17"/>
      <c r="M41" s="17" t="s">
        <v>172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173</v>
      </c>
      <c r="L42" s="16"/>
      <c r="M42" s="16" t="s">
        <v>174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175</v>
      </c>
      <c r="L43" s="17"/>
      <c r="M43" s="17" t="s">
        <v>176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177</v>
      </c>
      <c r="L44" s="16"/>
      <c r="M44" s="16" t="s">
        <v>178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179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180</v>
      </c>
      <c r="L46" s="16"/>
      <c r="M46" s="16" t="s">
        <v>181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182</v>
      </c>
      <c r="L47" s="17"/>
      <c r="M47" s="17" t="s">
        <v>183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184</v>
      </c>
      <c r="L48" s="16"/>
      <c r="M48" s="16" t="s">
        <v>185</v>
      </c>
    </row>
    <row r="49" spans="1:13" ht="18" customHeight="1">
      <c r="H49" s="104"/>
      <c r="I49" s="17"/>
      <c r="J49" s="17"/>
      <c r="K49" s="17" t="s">
        <v>186</v>
      </c>
      <c r="L49" s="17"/>
      <c r="M49" s="17" t="s">
        <v>187</v>
      </c>
    </row>
    <row r="50" spans="1:13" ht="21" customHeight="1">
      <c r="A50" s="19" t="s">
        <v>188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189</v>
      </c>
      <c r="L50" s="16"/>
      <c r="M50" s="16" t="s">
        <v>190</v>
      </c>
    </row>
    <row r="51" spans="1:13" ht="24" customHeight="1">
      <c r="H51" s="104"/>
      <c r="I51" s="17"/>
      <c r="J51" s="17"/>
      <c r="K51" s="17" t="s">
        <v>191</v>
      </c>
      <c r="L51" s="17"/>
      <c r="M51" s="17" t="s">
        <v>192</v>
      </c>
    </row>
    <row r="52" spans="1:13" ht="24" customHeight="1">
      <c r="H52" s="104"/>
      <c r="I52" s="16"/>
      <c r="J52" s="16"/>
      <c r="K52" s="16" t="s">
        <v>193</v>
      </c>
      <c r="L52" s="16"/>
      <c r="M52" s="16" t="s">
        <v>194</v>
      </c>
    </row>
    <row r="53" spans="1:13" ht="36" customHeight="1">
      <c r="H53" s="104"/>
      <c r="I53" s="17"/>
      <c r="J53" s="17"/>
      <c r="K53" s="17" t="s">
        <v>195</v>
      </c>
      <c r="L53" s="17"/>
      <c r="M53" s="17" t="s">
        <v>196</v>
      </c>
    </row>
    <row r="54" spans="1:13" ht="15" customHeight="1">
      <c r="H54" s="104"/>
      <c r="I54" s="16"/>
      <c r="J54" s="16"/>
      <c r="K54" s="16" t="s">
        <v>197</v>
      </c>
      <c r="L54" s="16"/>
      <c r="M54" s="16" t="s">
        <v>198</v>
      </c>
    </row>
    <row r="55" spans="1:13" ht="15" customHeight="1">
      <c r="H55" s="104"/>
      <c r="I55" s="17"/>
      <c r="J55" s="17"/>
      <c r="K55" s="17" t="s">
        <v>199</v>
      </c>
      <c r="L55" s="17"/>
      <c r="M55" s="17"/>
    </row>
    <row r="56" spans="1:13" ht="15" customHeight="1">
      <c r="H56" s="104"/>
      <c r="I56" s="16"/>
      <c r="J56" s="16"/>
      <c r="K56" s="16" t="s">
        <v>200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201</v>
      </c>
      <c r="L58" s="16"/>
      <c r="M58" s="16"/>
    </row>
    <row r="59" spans="1:13" ht="15" customHeight="1">
      <c r="H59" s="104"/>
      <c r="I59" s="17"/>
      <c r="J59" s="17"/>
      <c r="K59" s="17" t="s">
        <v>202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203</v>
      </c>
      <c r="L61" s="17"/>
      <c r="M61" s="17"/>
    </row>
    <row r="62" spans="1:13" ht="15" customHeight="1">
      <c r="H62" s="104"/>
      <c r="I62" s="16"/>
      <c r="J62" s="16"/>
      <c r="K62" s="16" t="s">
        <v>204</v>
      </c>
      <c r="L62" s="16"/>
      <c r="M62" s="16"/>
    </row>
    <row r="63" spans="1:13" ht="15" customHeight="1">
      <c r="H63" s="104"/>
      <c r="I63" s="17"/>
      <c r="J63" s="17"/>
      <c r="K63" s="17" t="s">
        <v>205</v>
      </c>
      <c r="L63" s="17"/>
      <c r="M63" s="17"/>
    </row>
    <row r="64" spans="1:13" ht="15" customHeight="1">
      <c r="H64" s="104"/>
      <c r="I64" s="16"/>
      <c r="J64" s="16"/>
      <c r="K64" s="16" t="s">
        <v>206</v>
      </c>
      <c r="L64" s="16"/>
      <c r="M64" s="16"/>
    </row>
    <row r="65" spans="8:13" ht="15" customHeight="1">
      <c r="H65" s="104"/>
      <c r="I65" s="17"/>
      <c r="J65" s="17"/>
      <c r="K65" s="17" t="s">
        <v>207</v>
      </c>
      <c r="L65" s="17"/>
      <c r="M65" s="17"/>
    </row>
    <row r="66" spans="8:13" ht="15" customHeight="1">
      <c r="H66" s="104"/>
      <c r="I66" s="16"/>
      <c r="J66" s="16"/>
      <c r="K66" s="16" t="s">
        <v>208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391" activePane="bottomLeft" state="frozen"/>
      <selection pane="bottomLeft" activeCell="O406" sqref="O406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219</v>
      </c>
      <c r="E2" s="59" t="s">
        <v>220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221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223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223</v>
      </c>
      <c r="O27" s="39">
        <v>1183060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226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182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227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223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223</v>
      </c>
      <c r="O54" s="39">
        <v>959290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226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223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179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228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223</v>
      </c>
      <c r="O81" s="39">
        <v>878050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226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165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191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223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223</v>
      </c>
      <c r="O108" s="39">
        <v>1700000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226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223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185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187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223</v>
      </c>
      <c r="O135" s="39">
        <v>862330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226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185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223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223</v>
      </c>
      <c r="O162" s="44">
        <v>1546080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226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223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223</v>
      </c>
      <c r="O189" s="39">
        <v>2355810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226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223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223</v>
      </c>
      <c r="O216" s="45">
        <v>2013260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226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231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223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185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223</v>
      </c>
      <c r="O243" s="39">
        <v>1545480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226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232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223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223</v>
      </c>
      <c r="O270" s="39">
        <v>1182690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226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223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233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234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234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234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234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234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234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234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234</v>
      </c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223</v>
      </c>
      <c r="O297" s="39">
        <v>1843460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226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235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236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223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237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237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237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237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237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237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223</v>
      </c>
      <c r="O324" s="39">
        <v>1940000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226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238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223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175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175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223</v>
      </c>
      <c r="O351" s="39">
        <v>701874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226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179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239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185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223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185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185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223</v>
      </c>
      <c r="O378" s="39">
        <v>1088710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226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207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240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241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198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223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242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/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223</v>
      </c>
      <c r="O405" s="39">
        <v>1202270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260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226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59" t="s">
        <v>220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387" activePane="bottomLeft" state="frozen"/>
      <selection pane="bottomLeft" activeCell="O406" sqref="O40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223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223</v>
      </c>
      <c r="O27" s="78">
        <v>393200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226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244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191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223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243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243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243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243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243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243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243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243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243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243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243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85">
        <v>276360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226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223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223</v>
      </c>
      <c r="O81" s="54">
        <v>787860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226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243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183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223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250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251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223</v>
      </c>
      <c r="O108" s="54">
        <v>1087080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226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252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223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253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254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190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197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197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223</v>
      </c>
      <c r="O135" s="54">
        <v>794480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226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197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223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202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223</v>
      </c>
      <c r="O162" s="54">
        <v>882280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226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243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243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243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223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223</v>
      </c>
      <c r="O189" s="78"/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226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223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260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261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223</v>
      </c>
      <c r="O216" s="78">
        <v>648410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226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262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263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222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223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202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264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178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178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243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223</v>
      </c>
      <c r="O243" s="78">
        <v>849060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226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223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223</v>
      </c>
      <c r="O270" s="78">
        <v>625070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226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223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223</v>
      </c>
      <c r="O297" s="78">
        <v>761660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226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223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270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271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223</v>
      </c>
      <c r="O324" s="78">
        <v>524410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226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243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243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272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243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243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243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243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243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243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243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223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273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274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223</v>
      </c>
      <c r="O351" s="78">
        <v>598420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226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223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4.3150810182851274E-2</v>
      </c>
      <c r="N377" s="46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0.20078969907174016</v>
      </c>
      <c r="N378" s="36" t="s">
        <v>223</v>
      </c>
      <c r="O378" s="78">
        <v>511980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0.31051192129396232</v>
      </c>
      <c r="N379" s="40" t="s">
        <v>226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208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192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258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275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223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243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276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238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197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223</v>
      </c>
      <c r="O405" s="78">
        <v>552440</v>
      </c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226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78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78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78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78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78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78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78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78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78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78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78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78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88" zoomScale="50" zoomScaleNormal="50" workbookViewId="0">
      <selection activeCell="J394" sqref="J3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176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223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243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243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243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243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243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243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243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243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223</v>
      </c>
      <c r="O27" s="39">
        <v>308500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226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243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243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243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223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243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243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243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243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243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243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243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243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243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243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223</v>
      </c>
      <c r="O54" s="39">
        <v>124290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226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280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243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243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243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243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243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243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243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223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281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223</v>
      </c>
      <c r="O81" s="39">
        <v>396340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226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282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223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223</v>
      </c>
      <c r="O108" s="39">
        <v>41230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226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223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190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223</v>
      </c>
      <c r="O135" s="39">
        <v>381250</v>
      </c>
    </row>
    <row r="136" spans="1:15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226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283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257</v>
      </c>
      <c r="K141" s="29">
        <v>0.71597222222222223</v>
      </c>
      <c r="L141" s="29" t="s">
        <v>284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223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285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223</v>
      </c>
      <c r="O162" s="39">
        <v>337120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226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243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286</v>
      </c>
      <c r="N166" s="27" t="s">
        <v>287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243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243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243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243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243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243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243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243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243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223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223</v>
      </c>
      <c r="O189" s="39">
        <v>747210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226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168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223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223</v>
      </c>
      <c r="O216" s="39">
        <v>468430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226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243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243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243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243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243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223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178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243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223</v>
      </c>
      <c r="O243" s="39">
        <v>575930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226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204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243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243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243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243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243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243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223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194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289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290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223</v>
      </c>
      <c r="O270" s="39">
        <v>483510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226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223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291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243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292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243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223</v>
      </c>
      <c r="O297" s="39">
        <v>487980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226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293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223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243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294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295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223</v>
      </c>
      <c r="O324" s="39">
        <v>609460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226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243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296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243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243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243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196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281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243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283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243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243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243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243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243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243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222</v>
      </c>
      <c r="B338" s="95"/>
      <c r="C338" s="95"/>
      <c r="D338" s="95"/>
      <c r="E338" s="96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223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223</v>
      </c>
      <c r="O351" s="39">
        <v>437940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226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243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243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222</v>
      </c>
      <c r="B365" s="95"/>
      <c r="C365" s="95"/>
      <c r="D365" s="95"/>
      <c r="E365" s="96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223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243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243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243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223</v>
      </c>
      <c r="O378" s="39">
        <v>473310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226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243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243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243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243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243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243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243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243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243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223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226</v>
      </c>
      <c r="O406" s="48">
        <f>IFERROR(O392+O405,"")</f>
        <v>399940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223</v>
      </c>
      <c r="O432" s="39"/>
    </row>
    <row r="433" spans="1:15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223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88" activePane="bottomLeft" state="frozen"/>
      <selection pane="bottomLeft" activeCell="I399" sqref="I399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209</v>
      </c>
      <c r="C1" s="23" t="s">
        <v>12</v>
      </c>
      <c r="D1" s="22" t="s">
        <v>13</v>
      </c>
      <c r="E1" s="22" t="s">
        <v>210</v>
      </c>
      <c r="F1" s="23" t="s">
        <v>211</v>
      </c>
      <c r="G1" s="23" t="s">
        <v>212</v>
      </c>
      <c r="H1" s="23" t="s">
        <v>14</v>
      </c>
      <c r="I1" s="23" t="s">
        <v>15</v>
      </c>
      <c r="J1" s="23" t="s">
        <v>213</v>
      </c>
      <c r="K1" s="23" t="s">
        <v>214</v>
      </c>
      <c r="L1" s="23" t="s">
        <v>215</v>
      </c>
      <c r="M1" s="24" t="s">
        <v>216</v>
      </c>
      <c r="N1" s="23" t="s">
        <v>217</v>
      </c>
      <c r="O1" s="23" t="s">
        <v>218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297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243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281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243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243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243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243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243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243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243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243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243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222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223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243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243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298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243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243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243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243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243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243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243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243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224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223</v>
      </c>
      <c r="O27" s="39">
        <v>202230</v>
      </c>
    </row>
    <row r="28" spans="1:15" ht="18" customHeight="1">
      <c r="A28" s="97" t="s">
        <v>225</v>
      </c>
      <c r="B28" s="98"/>
      <c r="C28" s="98"/>
      <c r="D28" s="98"/>
      <c r="E28" s="9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226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243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193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299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243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243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243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243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243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300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243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178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243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243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243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243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222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223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243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243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243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243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243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243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243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243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243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243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243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224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223</v>
      </c>
      <c r="O54" s="39">
        <v>473910</v>
      </c>
    </row>
    <row r="55" spans="1:15" ht="18" customHeight="1">
      <c r="A55" s="97" t="s">
        <v>225</v>
      </c>
      <c r="B55" s="98"/>
      <c r="C55" s="98"/>
      <c r="D55" s="98"/>
      <c r="E55" s="9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226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243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243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243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301</v>
      </c>
      <c r="L58" s="29">
        <v>0.54097222222222219</v>
      </c>
      <c r="M58" s="30" t="str">
        <f t="shared" ca="1" si="13"/>
        <v/>
      </c>
      <c r="N58" s="27" t="s">
        <v>302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243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243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243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243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243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243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243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243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243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222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223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243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243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243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195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243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303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243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304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243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305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243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306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243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181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243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243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243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243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224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223</v>
      </c>
      <c r="O81" s="39">
        <v>565120</v>
      </c>
    </row>
    <row r="82" spans="1:15" ht="18" customHeight="1">
      <c r="A82" s="97" t="s">
        <v>225</v>
      </c>
      <c r="B82" s="98"/>
      <c r="C82" s="98"/>
      <c r="D82" s="98"/>
      <c r="E82" s="9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226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243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307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243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243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243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243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222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223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243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243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243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197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243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243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243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243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243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243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243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243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224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223</v>
      </c>
      <c r="O108" s="39">
        <v>558590</v>
      </c>
    </row>
    <row r="109" spans="1:15" ht="18" customHeight="1">
      <c r="A109" s="97" t="s">
        <v>225</v>
      </c>
      <c r="B109" s="98"/>
      <c r="C109" s="98"/>
      <c r="D109" s="98"/>
      <c r="E109" s="9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226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243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197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308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243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243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243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243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243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243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243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222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223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309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310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190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3.3428587965318002E-2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224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0.23273414352087363</v>
      </c>
      <c r="N135" s="36" t="s">
        <v>223</v>
      </c>
      <c r="O135" s="39">
        <v>729290</v>
      </c>
    </row>
    <row r="136" spans="1:18" ht="18" customHeight="1">
      <c r="A136" s="97" t="s">
        <v>225</v>
      </c>
      <c r="B136" s="98"/>
      <c r="C136" s="98"/>
      <c r="D136" s="98"/>
      <c r="E136" s="9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0.60009525463198465</v>
      </c>
      <c r="N136" s="40" t="s">
        <v>226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311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222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223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283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243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312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243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243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243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243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243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243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243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243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243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224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223</v>
      </c>
      <c r="O162" s="39">
        <v>697320</v>
      </c>
    </row>
    <row r="163" spans="1:15" ht="18" customHeight="1">
      <c r="A163" s="97" t="s">
        <v>225</v>
      </c>
      <c r="B163" s="98"/>
      <c r="C163" s="98"/>
      <c r="D163" s="98"/>
      <c r="E163" s="9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226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243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243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243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243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313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243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243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243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243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243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243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243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222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223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243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243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243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243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243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243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243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243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243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243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243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243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224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223</v>
      </c>
      <c r="O189" s="39">
        <v>973580</v>
      </c>
    </row>
    <row r="190" spans="1:15" ht="18" customHeight="1">
      <c r="A190" s="97" t="s">
        <v>225</v>
      </c>
      <c r="B190" s="98"/>
      <c r="C190" s="98"/>
      <c r="D190" s="98"/>
      <c r="E190" s="99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226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243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243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243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314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243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315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243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243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243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243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243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243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243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222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223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243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243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316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243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243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243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243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243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243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243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243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243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224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223</v>
      </c>
      <c r="O216" s="45">
        <v>1060630</v>
      </c>
    </row>
    <row r="217" spans="1:15" ht="18" customHeight="1">
      <c r="A217" s="97" t="s">
        <v>225</v>
      </c>
      <c r="B217" s="98"/>
      <c r="C217" s="98"/>
      <c r="D217" s="98"/>
      <c r="E217" s="99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226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243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317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318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243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181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319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222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223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243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320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243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243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243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243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243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243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243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243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224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223</v>
      </c>
      <c r="O243" s="39">
        <v>982340</v>
      </c>
    </row>
    <row r="244" spans="1:15" ht="18" customHeight="1">
      <c r="A244" s="97" t="s">
        <v>225</v>
      </c>
      <c r="B244" s="98"/>
      <c r="C244" s="98"/>
      <c r="D244" s="98"/>
      <c r="E244" s="99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226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243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321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243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203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243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243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243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243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243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243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243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243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243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243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222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223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243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243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243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243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243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243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243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243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243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243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243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243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224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223</v>
      </c>
      <c r="O270" s="39">
        <v>1208450</v>
      </c>
    </row>
    <row r="271" spans="1:15" ht="18" customHeight="1">
      <c r="A271" s="97" t="s">
        <v>225</v>
      </c>
      <c r="B271" s="98"/>
      <c r="C271" s="98"/>
      <c r="D271" s="98"/>
      <c r="E271" s="99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226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243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243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243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243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243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243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243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243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243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243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243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243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222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223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243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243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243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243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243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243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243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243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243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243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243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224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223</v>
      </c>
      <c r="O297" s="39">
        <v>1049090</v>
      </c>
    </row>
    <row r="298" spans="1:15" ht="18" customHeight="1">
      <c r="A298" s="97" t="s">
        <v>225</v>
      </c>
      <c r="B298" s="98"/>
      <c r="C298" s="98"/>
      <c r="D298" s="98"/>
      <c r="E298" s="99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226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243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322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243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205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243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206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243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243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243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243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243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243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243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243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243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222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223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243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168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243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243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243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243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243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252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243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243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243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243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224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223</v>
      </c>
      <c r="O324" s="39">
        <v>1063720</v>
      </c>
    </row>
    <row r="325" spans="1:15" ht="18" customHeight="1">
      <c r="A325" s="97" t="s">
        <v>225</v>
      </c>
      <c r="B325" s="98"/>
      <c r="C325" s="98"/>
      <c r="D325" s="98"/>
      <c r="E325" s="99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226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243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243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281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243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243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243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243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243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243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243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243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243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222</v>
      </c>
      <c r="B338" s="95"/>
      <c r="C338" s="95"/>
      <c r="D338" s="95"/>
      <c r="E338" s="96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223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243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243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243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243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243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243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323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243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243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243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324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243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243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243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224</v>
      </c>
      <c r="B351" s="95"/>
      <c r="C351" s="95"/>
      <c r="D351" s="95"/>
      <c r="E351" s="96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223</v>
      </c>
      <c r="O351" s="39">
        <v>696140</v>
      </c>
    </row>
    <row r="352" spans="1:15" ht="18" customHeight="1">
      <c r="A352" s="97" t="s">
        <v>225</v>
      </c>
      <c r="B352" s="98"/>
      <c r="C352" s="98"/>
      <c r="D352" s="98"/>
      <c r="E352" s="99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226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243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243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243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283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243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243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243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243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243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243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243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243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243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222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223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243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243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243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325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243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243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243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243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243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243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243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243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243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4" t="s">
        <v>224</v>
      </c>
      <c r="B378" s="95"/>
      <c r="C378" s="95"/>
      <c r="D378" s="95"/>
      <c r="E378" s="96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223</v>
      </c>
      <c r="O378" s="39">
        <v>704750</v>
      </c>
    </row>
    <row r="379" spans="1:15" ht="18" customHeight="1">
      <c r="A379" s="97" t="s">
        <v>225</v>
      </c>
      <c r="B379" s="98"/>
      <c r="C379" s="98"/>
      <c r="D379" s="98"/>
      <c r="E379" s="99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226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243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326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243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243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313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243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243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243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243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243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243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243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243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243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222</v>
      </c>
      <c r="B392" s="95"/>
      <c r="C392" s="95"/>
      <c r="D392" s="95"/>
      <c r="E392" s="96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223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243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179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327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243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243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243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243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328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243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/>
      <c r="M399" s="35">
        <f t="shared" ca="1" si="88"/>
        <v>2.5095254626648966E-2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243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243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243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243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243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224</v>
      </c>
      <c r="B405" s="95"/>
      <c r="C405" s="95"/>
      <c r="D405" s="95"/>
      <c r="E405" s="96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0.13342858795998247</v>
      </c>
      <c r="N405" s="36" t="s">
        <v>223</v>
      </c>
      <c r="O405" s="39"/>
    </row>
    <row r="406" spans="1:15" ht="18" customHeight="1">
      <c r="A406" s="97" t="s">
        <v>225</v>
      </c>
      <c r="B406" s="98"/>
      <c r="C406" s="98"/>
      <c r="D406" s="98"/>
      <c r="E406" s="99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0.31606747684887143</v>
      </c>
      <c r="N406" s="40" t="s">
        <v>226</v>
      </c>
      <c r="O406" s="48">
        <f>IFERROR(O392+O405,"")</f>
        <v>565570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222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223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224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223</v>
      </c>
      <c r="O432" s="39"/>
    </row>
    <row r="433" spans="1:17" ht="18" customHeight="1">
      <c r="A433" s="97" t="s">
        <v>225</v>
      </c>
      <c r="B433" s="98"/>
      <c r="C433" s="98"/>
      <c r="D433" s="98"/>
      <c r="E433" s="9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226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222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223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224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223</v>
      </c>
      <c r="O459" s="39"/>
    </row>
    <row r="460" spans="1:15" ht="18" customHeight="1">
      <c r="A460" s="97" t="s">
        <v>225</v>
      </c>
      <c r="B460" s="98"/>
      <c r="C460" s="98"/>
      <c r="D460" s="98"/>
      <c r="E460" s="9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226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222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223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224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223</v>
      </c>
      <c r="O486" s="39"/>
    </row>
    <row r="487" spans="1:15" ht="18" customHeight="1">
      <c r="A487" s="97" t="s">
        <v>225</v>
      </c>
      <c r="B487" s="98"/>
      <c r="C487" s="98"/>
      <c r="D487" s="98"/>
      <c r="E487" s="9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226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222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223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224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223</v>
      </c>
      <c r="O513" s="39"/>
    </row>
    <row r="514" spans="1:15" ht="18" customHeight="1">
      <c r="A514" s="97" t="s">
        <v>225</v>
      </c>
      <c r="B514" s="98"/>
      <c r="C514" s="98"/>
      <c r="D514" s="98"/>
      <c r="E514" s="9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226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222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223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224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223</v>
      </c>
      <c r="O540" s="39"/>
    </row>
    <row r="541" spans="1:15" ht="18" customHeight="1">
      <c r="A541" s="97" t="s">
        <v>225</v>
      </c>
      <c r="B541" s="98"/>
      <c r="C541" s="98"/>
      <c r="D541" s="98"/>
      <c r="E541" s="9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226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222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223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224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223</v>
      </c>
      <c r="O567" s="39"/>
    </row>
    <row r="568" spans="1:15" ht="18" customHeight="1">
      <c r="A568" s="97" t="s">
        <v>225</v>
      </c>
      <c r="B568" s="98"/>
      <c r="C568" s="98"/>
      <c r="D568" s="98"/>
      <c r="E568" s="9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226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222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223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224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223</v>
      </c>
      <c r="O594" s="39"/>
    </row>
    <row r="595" spans="1:15" ht="18" customHeight="1">
      <c r="A595" s="97" t="s">
        <v>225</v>
      </c>
      <c r="B595" s="98"/>
      <c r="C595" s="98"/>
      <c r="D595" s="98"/>
      <c r="E595" s="9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226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222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223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224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223</v>
      </c>
      <c r="O621" s="39"/>
    </row>
    <row r="622" spans="1:15" ht="18" customHeight="1">
      <c r="A622" s="97" t="s">
        <v>225</v>
      </c>
      <c r="B622" s="98"/>
      <c r="C622" s="98"/>
      <c r="D622" s="98"/>
      <c r="E622" s="9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226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222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223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224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223</v>
      </c>
      <c r="O648" s="39"/>
    </row>
    <row r="649" spans="1:15" ht="18" customHeight="1">
      <c r="A649" s="97" t="s">
        <v>225</v>
      </c>
      <c r="B649" s="98"/>
      <c r="C649" s="98"/>
      <c r="D649" s="98"/>
      <c r="E649" s="9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226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222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223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224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223</v>
      </c>
      <c r="O675" s="39"/>
    </row>
    <row r="676" spans="1:15" ht="18" customHeight="1">
      <c r="A676" s="97" t="s">
        <v>225</v>
      </c>
      <c r="B676" s="98"/>
      <c r="C676" s="98"/>
      <c r="D676" s="98"/>
      <c r="E676" s="9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226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222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223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224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223</v>
      </c>
      <c r="O702" s="39"/>
    </row>
    <row r="703" spans="1:15" ht="18" customHeight="1">
      <c r="A703" s="97" t="s">
        <v>225</v>
      </c>
      <c r="B703" s="98"/>
      <c r="C703" s="98"/>
      <c r="D703" s="98"/>
      <c r="E703" s="9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226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222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223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224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223</v>
      </c>
      <c r="O729" s="39"/>
    </row>
    <row r="730" spans="1:15" ht="18" customHeight="1">
      <c r="A730" s="97" t="s">
        <v>225</v>
      </c>
      <c r="B730" s="98"/>
      <c r="C730" s="98"/>
      <c r="D730" s="98"/>
      <c r="E730" s="9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226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222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223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224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223</v>
      </c>
      <c r="O756" s="39"/>
    </row>
    <row r="757" spans="1:15" ht="18" customHeight="1">
      <c r="A757" s="97" t="s">
        <v>225</v>
      </c>
      <c r="B757" s="98"/>
      <c r="C757" s="98"/>
      <c r="D757" s="98"/>
      <c r="E757" s="9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226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222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223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224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223</v>
      </c>
      <c r="O783" s="39"/>
    </row>
    <row r="784" spans="1:15" ht="18" customHeight="1">
      <c r="A784" s="97" t="s">
        <v>225</v>
      </c>
      <c r="B784" s="98"/>
      <c r="C784" s="98"/>
      <c r="D784" s="98"/>
      <c r="E784" s="9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226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222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223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224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223</v>
      </c>
      <c r="O810" s="39"/>
    </row>
    <row r="811" spans="1:15" ht="18" customHeight="1">
      <c r="A811" s="97" t="s">
        <v>225</v>
      </c>
      <c r="B811" s="98"/>
      <c r="C811" s="98"/>
      <c r="D811" s="98"/>
      <c r="E811" s="9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2026-07-16T10:47:10Z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