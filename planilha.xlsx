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155" documentId="8_{AF585B22-221D-4780-BB9C-493D365A6A02}" xr6:coauthVersionLast="47" xr6:coauthVersionMax="47" xr10:uidLastSave="{4155774E-B3A4-401D-833C-9CEDBE43FA0D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<sst xmlns="http://schemas.openxmlformats.org/spreadsheetml/2006/main" count="6338" uniqueCount="321">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</sst>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42143022</v>
      </c>
      <c r="D35" s="13">
        <f>IFERROR(SUM(D4:D34),"")</f>
        <v>15746200</v>
      </c>
      <c r="E35" s="13">
        <f>IFERROR(SUM(E4:E34),"")</f>
        <v>10299890</v>
      </c>
      <c r="F35" s="13">
        <f>IFERROR(SUM(F4:F34),"")</f>
        <v>19417320</v>
      </c>
      <c r="G35" s="13">
        <f>IFERROR(SUM(G4:G34),"")</f>
        <v>45463410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J381" sqref="J38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4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4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4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4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4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4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4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4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4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4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4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4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4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4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4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4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4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4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4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4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4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4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4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4"/>
      <c r="I54" s="16"/>
      <c r="J54" s="16"/>
      <c r="K54" s="16" t="s">
        <v>196</v>
      </c>
      <c r="L54" s="16"/>
      <c r="M54" s="16"/>
    </row>
    <row r="55" spans="1:13" ht="15" customHeight="1">
      <c r="H55" s="104"/>
      <c r="I55" s="17"/>
      <c r="J55" s="17"/>
      <c r="K55" s="17" t="s">
        <v>197</v>
      </c>
      <c r="L55" s="17"/>
      <c r="M55" s="17"/>
    </row>
    <row r="56" spans="1:13" ht="15" customHeight="1">
      <c r="H56" s="104"/>
      <c r="I56" s="16"/>
      <c r="J56" s="16"/>
      <c r="K56" s="16" t="s">
        <v>198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199</v>
      </c>
      <c r="L58" s="16"/>
      <c r="M58" s="16"/>
    </row>
    <row r="59" spans="1:13" ht="15" customHeight="1">
      <c r="H59" s="104"/>
      <c r="I59" s="17"/>
      <c r="J59" s="17"/>
      <c r="K59" s="17" t="s">
        <v>200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201</v>
      </c>
      <c r="L61" s="17"/>
      <c r="M61" s="17"/>
    </row>
    <row r="62" spans="1:13" ht="15" customHeight="1">
      <c r="H62" s="104"/>
      <c r="I62" s="16"/>
      <c r="J62" s="16"/>
      <c r="K62" s="16" t="s">
        <v>202</v>
      </c>
      <c r="L62" s="16"/>
      <c r="M62" s="16"/>
    </row>
    <row r="63" spans="1:13" ht="15" customHeight="1">
      <c r="H63" s="104"/>
      <c r="I63" s="17"/>
      <c r="J63" s="17"/>
      <c r="K63" s="17" t="s">
        <v>203</v>
      </c>
      <c r="L63" s="17"/>
      <c r="M63" s="17"/>
    </row>
    <row r="64" spans="1:13" ht="15" customHeight="1">
      <c r="H64" s="104"/>
      <c r="I64" s="16"/>
      <c r="J64" s="16"/>
      <c r="K64" s="16" t="s">
        <v>204</v>
      </c>
      <c r="L64" s="16"/>
      <c r="M64" s="16"/>
    </row>
    <row r="65" spans="8:13" ht="15" customHeight="1">
      <c r="H65" s="104"/>
      <c r="I65" s="17"/>
      <c r="J65" s="17"/>
      <c r="K65" s="17" t="s">
        <v>205</v>
      </c>
      <c r="L65" s="17"/>
      <c r="M65" s="17"/>
    </row>
    <row r="66" spans="8:13" ht="15" customHeight="1">
      <c r="H66" s="104"/>
      <c r="I66" s="16"/>
      <c r="J66" s="16"/>
      <c r="K66" s="16" t="s">
        <v>206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65" activePane="bottomLeft" state="frozen"/>
      <selection pane="bottomLeft" activeCell="F384" sqref="F38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217</v>
      </c>
      <c r="E2" s="59" t="s">
        <v>218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220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222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221</v>
      </c>
      <c r="O27" s="39">
        <v>1183060</v>
      </c>
    </row>
    <row r="28" spans="1:15" ht="18" customHeight="1">
      <c r="A28" s="97" t="s">
        <v>223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224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225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220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221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222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221</v>
      </c>
      <c r="O54" s="39">
        <v>959290</v>
      </c>
    </row>
    <row r="55" spans="1:15" ht="18" customHeight="1">
      <c r="A55" s="97" t="s">
        <v>223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224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220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221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226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222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221</v>
      </c>
      <c r="O81" s="39">
        <v>878050</v>
      </c>
    </row>
    <row r="82" spans="1:15" ht="18" customHeight="1">
      <c r="A82" s="97" t="s">
        <v>223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224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218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220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221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222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221</v>
      </c>
      <c r="O108" s="39">
        <v>1700000</v>
      </c>
    </row>
    <row r="109" spans="1:15" ht="18" customHeight="1">
      <c r="A109" s="97" t="s">
        <v>223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224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220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221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222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221</v>
      </c>
      <c r="O135" s="39">
        <v>862330</v>
      </c>
    </row>
    <row r="136" spans="1:15" ht="18" customHeight="1">
      <c r="A136" s="97" t="s">
        <v>223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224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220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221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222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221</v>
      </c>
      <c r="O162" s="44">
        <v>1546080</v>
      </c>
    </row>
    <row r="163" spans="1:15" ht="18" customHeight="1">
      <c r="A163" s="97" t="s">
        <v>223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224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220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221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222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221</v>
      </c>
      <c r="O189" s="39">
        <v>2355810</v>
      </c>
    </row>
    <row r="190" spans="1:15" ht="18" customHeight="1">
      <c r="A190" s="97" t="s">
        <v>223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224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220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221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222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221</v>
      </c>
      <c r="O216" s="45">
        <v>2013260</v>
      </c>
    </row>
    <row r="217" spans="1:15" ht="18" customHeight="1">
      <c r="A217" s="97" t="s">
        <v>223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224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229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220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221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222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221</v>
      </c>
      <c r="O243" s="39">
        <v>1545480</v>
      </c>
    </row>
    <row r="244" spans="1:15" ht="18" customHeight="1">
      <c r="A244" s="97" t="s">
        <v>223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224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230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220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221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222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221</v>
      </c>
      <c r="O270" s="39">
        <v>1182690</v>
      </c>
    </row>
    <row r="271" spans="1:15" ht="18" customHeight="1">
      <c r="A271" s="97" t="s">
        <v>223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224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220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221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231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232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232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232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232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232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232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232</v>
      </c>
      <c r="O296" s="47"/>
    </row>
    <row r="297" spans="1:15" ht="15.75" customHeight="1">
      <c r="A297" s="94" t="s">
        <v>222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221</v>
      </c>
      <c r="O297" s="39">
        <v>1843460</v>
      </c>
    </row>
    <row r="298" spans="1:15" ht="18" customHeight="1">
      <c r="A298" s="97" t="s">
        <v>223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224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233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234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220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221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235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235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235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235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235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235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222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221</v>
      </c>
      <c r="O324" s="39">
        <v>1940000</v>
      </c>
    </row>
    <row r="325" spans="1:15" ht="18" customHeight="1">
      <c r="A325" s="97" t="s">
        <v>223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224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236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220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221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222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221</v>
      </c>
      <c r="O351" s="39">
        <v>701874</v>
      </c>
    </row>
    <row r="352" spans="1:15" ht="18" customHeight="1">
      <c r="A352" s="97" t="s">
        <v>223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224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237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220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221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184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184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222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221</v>
      </c>
      <c r="O378" s="39">
        <v>1088710</v>
      </c>
    </row>
    <row r="379" spans="1:15" ht="18" customHeight="1">
      <c r="A379" s="97" t="s">
        <v>223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224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218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205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218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238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218</v>
      </c>
      <c r="F382" s="27">
        <v>30</v>
      </c>
      <c r="G382" s="28">
        <f t="shared" si="84"/>
        <v>150</v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218</v>
      </c>
      <c r="F383" s="27">
        <v>20</v>
      </c>
      <c r="G383" s="34">
        <f t="shared" si="84"/>
        <v>100</v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218</v>
      </c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218</v>
      </c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218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218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218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218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218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218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220</v>
      </c>
      <c r="B392" s="95"/>
      <c r="C392" s="95"/>
      <c r="D392" s="95"/>
      <c r="E392" s="96">
        <f>SUM(E380:E391)</f>
        <v>0</v>
      </c>
      <c r="F392" s="36">
        <f>SUM(F380:F391)</f>
        <v>110</v>
      </c>
      <c r="G392" s="36">
        <f>SUM(G380:G391)</f>
        <v>550</v>
      </c>
      <c r="H392" s="37"/>
      <c r="I392" s="37"/>
      <c r="J392" s="37"/>
      <c r="K392" s="37"/>
      <c r="L392" s="37"/>
      <c r="M392" s="38">
        <f ca="1">IFERROR(SUM(M380:M391),"")</f>
        <v>2.0833333333333315E-2</v>
      </c>
      <c r="N392" s="36" t="s">
        <v>221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222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221</v>
      </c>
      <c r="O405" s="39"/>
    </row>
    <row r="406" spans="1:15" ht="18" customHeight="1">
      <c r="A406" s="97" t="s">
        <v>223</v>
      </c>
      <c r="B406" s="98"/>
      <c r="C406" s="98"/>
      <c r="D406" s="98"/>
      <c r="E406" s="99">
        <f>E392+E405</f>
        <v>0</v>
      </c>
      <c r="F406" s="40">
        <f>F392+F405</f>
        <v>110</v>
      </c>
      <c r="G406" s="40">
        <f>G392+G405</f>
        <v>550</v>
      </c>
      <c r="H406" s="41"/>
      <c r="I406" s="41"/>
      <c r="J406" s="41"/>
      <c r="K406" s="41"/>
      <c r="L406" s="41"/>
      <c r="M406" s="42">
        <f ca="1">IFERROR(M392+M405,"")</f>
        <v>2.0833333333333315E-2</v>
      </c>
      <c r="N406" s="40" t="s">
        <v>224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220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222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221</v>
      </c>
      <c r="O432" s="39"/>
    </row>
    <row r="433" spans="1:15" ht="18" customHeight="1">
      <c r="A433" s="97" t="s">
        <v>223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220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222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221</v>
      </c>
      <c r="O459" s="39"/>
    </row>
    <row r="460" spans="1:15" ht="18" customHeight="1">
      <c r="A460" s="97" t="s">
        <v>223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220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222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221</v>
      </c>
      <c r="O486" s="39"/>
    </row>
    <row r="487" spans="1:15" ht="18" customHeight="1">
      <c r="A487" s="97" t="s">
        <v>223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220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222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221</v>
      </c>
      <c r="O513" s="39"/>
    </row>
    <row r="514" spans="1:15" ht="18" customHeight="1">
      <c r="A514" s="97" t="s">
        <v>223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220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222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221</v>
      </c>
      <c r="O540" s="39"/>
    </row>
    <row r="541" spans="1:15" ht="18" customHeight="1">
      <c r="A541" s="97" t="s">
        <v>223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220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222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221</v>
      </c>
      <c r="O567" s="39"/>
    </row>
    <row r="568" spans="1:15" ht="18" customHeight="1">
      <c r="A568" s="97" t="s">
        <v>223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220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222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221</v>
      </c>
      <c r="O594" s="39"/>
    </row>
    <row r="595" spans="1:15" ht="18" customHeight="1">
      <c r="A595" s="97" t="s">
        <v>223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220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222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221</v>
      </c>
      <c r="O621" s="39"/>
    </row>
    <row r="622" spans="1:15" ht="18" customHeight="1">
      <c r="A622" s="97" t="s">
        <v>223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220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222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221</v>
      </c>
      <c r="O648" s="39"/>
    </row>
    <row r="649" spans="1:15" ht="18" customHeight="1">
      <c r="A649" s="97" t="s">
        <v>223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220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222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221</v>
      </c>
      <c r="O675" s="39"/>
    </row>
    <row r="676" spans="1:15" ht="18" customHeight="1">
      <c r="A676" s="97" t="s">
        <v>223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220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222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221</v>
      </c>
      <c r="O702" s="39"/>
    </row>
    <row r="703" spans="1:15" ht="18" customHeight="1">
      <c r="A703" s="97" t="s">
        <v>223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220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222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221</v>
      </c>
      <c r="O729" s="39"/>
    </row>
    <row r="730" spans="1:15" ht="18" customHeight="1">
      <c r="A730" s="97" t="s">
        <v>223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220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222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7" t="s">
        <v>223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220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222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7" t="s">
        <v>223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220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222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59" t="s">
        <v>218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224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63" activePane="bottomLeft" state="frozen"/>
      <selection pane="bottomLeft" activeCell="F384" sqref="F38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239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239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220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221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222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221</v>
      </c>
      <c r="O27" s="78">
        <v>393200</v>
      </c>
    </row>
    <row r="28" spans="1:15" ht="18" customHeight="1">
      <c r="A28" s="97" t="s">
        <v>223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224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220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221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241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239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222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221</v>
      </c>
      <c r="O54" s="85">
        <v>276360</v>
      </c>
    </row>
    <row r="55" spans="1:15" ht="18" customHeight="1">
      <c r="A55" s="97" t="s">
        <v>223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224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242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243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220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221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239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222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221</v>
      </c>
      <c r="O81" s="54">
        <v>787860</v>
      </c>
    </row>
    <row r="82" spans="1:15" ht="18" customHeight="1">
      <c r="A82" s="97" t="s">
        <v>223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224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220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221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246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247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222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221</v>
      </c>
      <c r="O108" s="54">
        <v>1087080</v>
      </c>
    </row>
    <row r="109" spans="1:15" ht="18" customHeight="1">
      <c r="A109" s="97" t="s">
        <v>223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224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248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220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221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249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236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250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218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222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221</v>
      </c>
      <c r="O135" s="54">
        <v>794480</v>
      </c>
    </row>
    <row r="136" spans="1:15" ht="18" customHeight="1">
      <c r="A136" s="97" t="s">
        <v>223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224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252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220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221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222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221</v>
      </c>
      <c r="O162" s="54">
        <v>882280</v>
      </c>
    </row>
    <row r="163" spans="1:15" ht="18" customHeight="1">
      <c r="A163" s="97" t="s">
        <v>223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224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220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221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222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221</v>
      </c>
      <c r="O189" s="78"/>
    </row>
    <row r="190" spans="1:15" ht="18" customHeight="1">
      <c r="A190" s="97" t="s">
        <v>223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224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220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221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256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257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222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221</v>
      </c>
      <c r="O216" s="78">
        <v>648410</v>
      </c>
    </row>
    <row r="217" spans="1:15" ht="18" customHeight="1">
      <c r="A217" s="97" t="s">
        <v>223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224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259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220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221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260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239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239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254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222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221</v>
      </c>
      <c r="O243" s="78">
        <v>849060</v>
      </c>
    </row>
    <row r="244" spans="1:15" ht="18" customHeight="1">
      <c r="A244" s="97" t="s">
        <v>223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224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261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220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221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222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221</v>
      </c>
      <c r="O270" s="78">
        <v>625070</v>
      </c>
    </row>
    <row r="271" spans="1:15" ht="18" customHeight="1">
      <c r="A271" s="97" t="s">
        <v>223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224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262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263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220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221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264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222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221</v>
      </c>
      <c r="O297" s="78">
        <v>761660</v>
      </c>
    </row>
    <row r="298" spans="1:15" ht="18" customHeight="1">
      <c r="A298" s="97" t="s">
        <v>223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224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265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265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239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220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221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266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222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221</v>
      </c>
      <c r="O324" s="78">
        <v>524410</v>
      </c>
    </row>
    <row r="325" spans="1:15" ht="18" customHeight="1">
      <c r="A325" s="97" t="s">
        <v>223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224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239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239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268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220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221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269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270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222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221</v>
      </c>
      <c r="O351" s="78">
        <v>598420</v>
      </c>
    </row>
    <row r="352" spans="1:15" ht="18" customHeight="1">
      <c r="A352" s="97" t="s">
        <v>223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224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220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221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239</v>
      </c>
      <c r="F370" s="27">
        <v>20</v>
      </c>
      <c r="G370" s="28">
        <f t="shared" si="81"/>
        <v>84</v>
      </c>
      <c r="H370" s="26" t="s">
        <v>20</v>
      </c>
      <c r="I370" s="26" t="s">
        <v>153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127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130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127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127</v>
      </c>
      <c r="K377" s="29">
        <v>0.23958333333333334</v>
      </c>
      <c r="L377" s="29"/>
      <c r="M377" s="35">
        <f t="shared" ca="1" si="82"/>
        <v>0.22001319444098044</v>
      </c>
      <c r="N377" s="46"/>
      <c r="O377" s="47"/>
    </row>
    <row r="378" spans="1:15" ht="15.75" customHeight="1">
      <c r="A378" s="94" t="s">
        <v>222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0.37765208332986933</v>
      </c>
      <c r="N378" s="36" t="s">
        <v>221</v>
      </c>
      <c r="O378" s="78">
        <v>511980</v>
      </c>
    </row>
    <row r="379" spans="1:15" ht="18" customHeight="1">
      <c r="A379" s="97" t="s">
        <v>223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0.48737430555209149</v>
      </c>
      <c r="N379" s="40" t="s">
        <v>224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239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155</v>
      </c>
      <c r="J380" s="26" t="s">
        <v>117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239</v>
      </c>
      <c r="F381" s="27">
        <v>15</v>
      </c>
      <c r="G381" s="34">
        <f t="shared" si="84"/>
        <v>63</v>
      </c>
      <c r="H381" s="33" t="s">
        <v>18</v>
      </c>
      <c r="I381" s="33" t="s">
        <v>116</v>
      </c>
      <c r="J381" s="33" t="s">
        <v>206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191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239</v>
      </c>
      <c r="F383" s="27">
        <v>9</v>
      </c>
      <c r="G383" s="34">
        <f t="shared" si="84"/>
        <v>37.800000000000004</v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239</v>
      </c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239</v>
      </c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239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239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239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239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239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239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220</v>
      </c>
      <c r="B392" s="95"/>
      <c r="C392" s="95"/>
      <c r="D392" s="95"/>
      <c r="E392" s="96">
        <f>SUM(E380:E391)</f>
        <v>0</v>
      </c>
      <c r="F392" s="36">
        <f>SUM(F380:F391)</f>
        <v>49</v>
      </c>
      <c r="G392" s="36">
        <f>SUM(G380:G391)</f>
        <v>205.8</v>
      </c>
      <c r="H392" s="37"/>
      <c r="I392" s="37"/>
      <c r="J392" s="37"/>
      <c r="K392" s="37"/>
      <c r="L392" s="37"/>
      <c r="M392" s="38">
        <f ca="1">IFERROR(SUM(M380:M391),"")</f>
        <v>7.638888888888884E-2</v>
      </c>
      <c r="N392" s="36" t="s">
        <v>221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222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221</v>
      </c>
      <c r="O405" s="78"/>
    </row>
    <row r="406" spans="1:15" ht="18" customHeight="1">
      <c r="A406" s="97" t="s">
        <v>223</v>
      </c>
      <c r="B406" s="98"/>
      <c r="C406" s="98"/>
      <c r="D406" s="98"/>
      <c r="E406" s="99">
        <f>E392+E405</f>
        <v>0</v>
      </c>
      <c r="F406" s="40">
        <f>F392+F405</f>
        <v>49</v>
      </c>
      <c r="G406" s="40">
        <f>G392+G405</f>
        <v>205.8</v>
      </c>
      <c r="H406" s="41"/>
      <c r="I406" s="41"/>
      <c r="J406" s="41"/>
      <c r="K406" s="41"/>
      <c r="L406" s="41"/>
      <c r="M406" s="42">
        <f ca="1">IFERROR(M392+M405,"")</f>
        <v>7.638888888888884E-2</v>
      </c>
      <c r="N406" s="40" t="s">
        <v>224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220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221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222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221</v>
      </c>
      <c r="O432" s="78"/>
    </row>
    <row r="433" spans="1:15" ht="18" customHeight="1">
      <c r="A433" s="97" t="s">
        <v>223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224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220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221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222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221</v>
      </c>
      <c r="O459" s="78"/>
    </row>
    <row r="460" spans="1:15" ht="18" customHeight="1">
      <c r="A460" s="97" t="s">
        <v>223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224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220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221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222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221</v>
      </c>
      <c r="O486" s="78"/>
    </row>
    <row r="487" spans="1:15" ht="18" customHeight="1">
      <c r="A487" s="97" t="s">
        <v>223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224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220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221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222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221</v>
      </c>
      <c r="O513" s="78"/>
    </row>
    <row r="514" spans="1:15" ht="18" customHeight="1">
      <c r="A514" s="97" t="s">
        <v>223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224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220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221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222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221</v>
      </c>
      <c r="O540" s="78"/>
    </row>
    <row r="541" spans="1:15" ht="18" customHeight="1">
      <c r="A541" s="97" t="s">
        <v>223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224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220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221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222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221</v>
      </c>
      <c r="O567" s="78"/>
    </row>
    <row r="568" spans="1:15" ht="18" customHeight="1">
      <c r="A568" s="97" t="s">
        <v>223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224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220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221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222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221</v>
      </c>
      <c r="O594" s="78"/>
    </row>
    <row r="595" spans="1:15" ht="18" customHeight="1">
      <c r="A595" s="97" t="s">
        <v>223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224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220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221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222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221</v>
      </c>
      <c r="O621" s="78"/>
    </row>
    <row r="622" spans="1:15" ht="18" customHeight="1">
      <c r="A622" s="97" t="s">
        <v>223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224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220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221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222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221</v>
      </c>
      <c r="O648" s="78"/>
    </row>
    <row r="649" spans="1:15" ht="18" customHeight="1">
      <c r="A649" s="97" t="s">
        <v>223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224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220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221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222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221</v>
      </c>
      <c r="O675" s="78"/>
    </row>
    <row r="676" spans="1:15" ht="18" customHeight="1">
      <c r="A676" s="97" t="s">
        <v>223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224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220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221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222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221</v>
      </c>
      <c r="O702" s="78"/>
    </row>
    <row r="703" spans="1:15" ht="18" customHeight="1">
      <c r="A703" s="97" t="s">
        <v>223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224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220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221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222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221</v>
      </c>
      <c r="O729" s="78"/>
    </row>
    <row r="730" spans="1:15" ht="18" customHeight="1">
      <c r="A730" s="97" t="s">
        <v>223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224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220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221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222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7" t="s">
        <v>223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224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220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221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222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7" t="s">
        <v>223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224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220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221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222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97" t="s">
        <v>223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224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64" zoomScale="50" zoomScaleNormal="50" workbookViewId="0">
      <selection activeCell="F384" sqref="F38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220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222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221</v>
      </c>
      <c r="O27" s="39">
        <v>308500</v>
      </c>
    </row>
    <row r="28" spans="1:15" ht="18" customHeight="1">
      <c r="A28" s="97" t="s">
        <v>223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224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220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221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222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221</v>
      </c>
      <c r="O54" s="39">
        <v>124290</v>
      </c>
    </row>
    <row r="55" spans="1:15" ht="18" customHeight="1">
      <c r="A55" s="97" t="s">
        <v>223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224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220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221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222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221</v>
      </c>
      <c r="O81" s="39">
        <v>396340</v>
      </c>
    </row>
    <row r="82" spans="1:15" ht="18" customHeight="1">
      <c r="A82" s="97" t="s">
        <v>223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224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220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221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222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221</v>
      </c>
      <c r="O108" s="39">
        <v>41230</v>
      </c>
    </row>
    <row r="109" spans="1:15" ht="18" customHeight="1">
      <c r="A109" s="97" t="s">
        <v>223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224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220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221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222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221</v>
      </c>
      <c r="O135" s="39">
        <v>381250</v>
      </c>
    </row>
    <row r="136" spans="1:15" ht="18" customHeight="1">
      <c r="A136" s="97" t="s">
        <v>223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224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277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253</v>
      </c>
      <c r="K141" s="29">
        <v>0.71597222222222223</v>
      </c>
      <c r="L141" s="29" t="s">
        <v>278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220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221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222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221</v>
      </c>
      <c r="O162" s="39">
        <v>337120</v>
      </c>
    </row>
    <row r="163" spans="1:15" ht="18" customHeight="1">
      <c r="A163" s="97" t="s">
        <v>223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224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280</v>
      </c>
      <c r="N166" s="27" t="s">
        <v>281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220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221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222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221</v>
      </c>
      <c r="O189" s="39">
        <v>747210</v>
      </c>
    </row>
    <row r="190" spans="1:15" ht="18" customHeight="1">
      <c r="A190" s="97" t="s">
        <v>223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224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220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221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222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221</v>
      </c>
      <c r="O216" s="39">
        <v>468430</v>
      </c>
    </row>
    <row r="217" spans="1:15" ht="18" customHeight="1">
      <c r="A217" s="97" t="s">
        <v>223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224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220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221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222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221</v>
      </c>
      <c r="O243" s="39">
        <v>575930</v>
      </c>
    </row>
    <row r="244" spans="1:15" ht="18" customHeight="1">
      <c r="A244" s="97" t="s">
        <v>223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224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220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221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283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284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222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221</v>
      </c>
      <c r="O270" s="39">
        <v>483510</v>
      </c>
    </row>
    <row r="271" spans="1:15" ht="18" customHeight="1">
      <c r="A271" s="97" t="s">
        <v>223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224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220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221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222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221</v>
      </c>
      <c r="O297" s="39">
        <v>487980</v>
      </c>
    </row>
    <row r="298" spans="1:15" ht="18" customHeight="1">
      <c r="A298" s="97" t="s">
        <v>223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224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220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221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288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222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221</v>
      </c>
      <c r="O324" s="39">
        <v>609460</v>
      </c>
    </row>
    <row r="325" spans="1:15" ht="18" customHeight="1">
      <c r="A325" s="97" t="s">
        <v>223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224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290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275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277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220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221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239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222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221</v>
      </c>
      <c r="O351" s="39">
        <v>437940</v>
      </c>
    </row>
    <row r="352" spans="1:15" ht="18" customHeight="1">
      <c r="A352" s="97" t="s">
        <v>223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224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220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221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222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221</v>
      </c>
      <c r="O378" s="39">
        <v>473310</v>
      </c>
    </row>
    <row r="379" spans="1:15" ht="18" customHeight="1">
      <c r="A379" s="97" t="s">
        <v>223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224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239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239</v>
      </c>
      <c r="F381" s="27">
        <v>6</v>
      </c>
      <c r="G381" s="34">
        <f>IF(F381="","",IF(E382="PC 17",F381*4.2,IF(E382="PC 19",F381*5,"")))</f>
        <v>25.200000000000003</v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239</v>
      </c>
      <c r="F382" s="27">
        <v>15</v>
      </c>
      <c r="G382" s="28">
        <v>63</v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239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239</v>
      </c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239</v>
      </c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239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239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239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46</v>
      </c>
      <c r="E389" s="59" t="s">
        <v>239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46</v>
      </c>
      <c r="E390" s="59" t="s">
        <v>239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46</v>
      </c>
      <c r="E391" s="59" t="s">
        <v>239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220</v>
      </c>
      <c r="B392" s="95"/>
      <c r="C392" s="95"/>
      <c r="D392" s="95"/>
      <c r="E392" s="96">
        <f>SUM(E380:E391)</f>
        <v>0</v>
      </c>
      <c r="F392" s="36">
        <f>SUM(F380:F391)</f>
        <v>33</v>
      </c>
      <c r="G392" s="36">
        <f>SUM(G380:G391)</f>
        <v>138.6</v>
      </c>
      <c r="H392" s="37"/>
      <c r="I392" s="37"/>
      <c r="J392" s="37"/>
      <c r="K392" s="37"/>
      <c r="L392" s="37"/>
      <c r="M392" s="38">
        <f ca="1">IFERROR(SUM(M380:M391),"")</f>
        <v>7.6388888888889173E-3</v>
      </c>
      <c r="N392" s="36" t="s">
        <v>221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222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221</v>
      </c>
      <c r="O405" s="39"/>
    </row>
    <row r="406" spans="1:15" ht="18" customHeight="1">
      <c r="A406" s="97" t="s">
        <v>223</v>
      </c>
      <c r="B406" s="98"/>
      <c r="C406" s="98"/>
      <c r="D406" s="98"/>
      <c r="E406" s="99">
        <f>E392+E405</f>
        <v>0</v>
      </c>
      <c r="F406" s="40">
        <f>F392+F405</f>
        <v>33</v>
      </c>
      <c r="G406" s="40">
        <f>G392+G405</f>
        <v>138.6</v>
      </c>
      <c r="H406" s="41"/>
      <c r="I406" s="41"/>
      <c r="J406" s="41"/>
      <c r="K406" s="41"/>
      <c r="L406" s="41"/>
      <c r="M406" s="42">
        <f ca="1">IFERROR(M392+M405,"")</f>
        <v>7.6388888888889173E-3</v>
      </c>
      <c r="N406" s="40" t="s">
        <v>224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220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222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221</v>
      </c>
      <c r="O432" s="39"/>
    </row>
    <row r="433" spans="1:15" ht="18" customHeight="1">
      <c r="A433" s="97" t="s">
        <v>223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220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222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221</v>
      </c>
      <c r="O459" s="39"/>
    </row>
    <row r="460" spans="1:15" ht="18" customHeight="1">
      <c r="A460" s="97" t="s">
        <v>223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220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222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221</v>
      </c>
      <c r="O486" s="39"/>
    </row>
    <row r="487" spans="1:15" ht="18" customHeight="1">
      <c r="A487" s="97" t="s">
        <v>223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220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222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221</v>
      </c>
      <c r="O513" s="39"/>
    </row>
    <row r="514" spans="1:15" ht="18" customHeight="1">
      <c r="A514" s="97" t="s">
        <v>223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220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222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221</v>
      </c>
      <c r="O540" s="39"/>
    </row>
    <row r="541" spans="1:15" ht="18" customHeight="1">
      <c r="A541" s="97" t="s">
        <v>223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220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222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221</v>
      </c>
      <c r="O567" s="39"/>
    </row>
    <row r="568" spans="1:15" ht="18" customHeight="1">
      <c r="A568" s="97" t="s">
        <v>223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220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222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221</v>
      </c>
      <c r="O594" s="39"/>
    </row>
    <row r="595" spans="1:15" ht="18" customHeight="1">
      <c r="A595" s="97" t="s">
        <v>223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220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222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221</v>
      </c>
      <c r="O621" s="39"/>
    </row>
    <row r="622" spans="1:15" ht="18" customHeight="1">
      <c r="A622" s="97" t="s">
        <v>223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220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222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221</v>
      </c>
      <c r="O648" s="39"/>
    </row>
    <row r="649" spans="1:15" ht="18" customHeight="1">
      <c r="A649" s="97" t="s">
        <v>223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220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222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221</v>
      </c>
      <c r="O675" s="39"/>
    </row>
    <row r="676" spans="1:15" ht="18" customHeight="1">
      <c r="A676" s="97" t="s">
        <v>223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220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222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221</v>
      </c>
      <c r="O702" s="39"/>
    </row>
    <row r="703" spans="1:15" ht="18" customHeight="1">
      <c r="A703" s="97" t="s">
        <v>223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220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222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221</v>
      </c>
      <c r="O729" s="39"/>
    </row>
    <row r="730" spans="1:15" ht="18" customHeight="1">
      <c r="A730" s="97" t="s">
        <v>223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220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222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7" t="s">
        <v>223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220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222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7" t="s">
        <v>223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220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222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97" t="s">
        <v>223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64" activePane="bottomLeft" state="frozen"/>
      <selection pane="bottomLeft" activeCell="F384" sqref="F38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239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220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222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221</v>
      </c>
      <c r="O27" s="39">
        <v>202230</v>
      </c>
    </row>
    <row r="28" spans="1:15" ht="18" customHeight="1">
      <c r="A28" s="97" t="s">
        <v>223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224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239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239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220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221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222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221</v>
      </c>
      <c r="O54" s="39">
        <v>473910</v>
      </c>
    </row>
    <row r="55" spans="1:15" ht="18" customHeight="1">
      <c r="A55" s="97" t="s">
        <v>223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224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295</v>
      </c>
      <c r="L58" s="29">
        <v>0.54097222222222219</v>
      </c>
      <c r="M58" s="30" t="str">
        <f t="shared" ca="1" si="13"/>
        <v/>
      </c>
      <c r="N58" s="27" t="s">
        <v>296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220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221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239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239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222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221</v>
      </c>
      <c r="O81" s="39">
        <v>565120</v>
      </c>
    </row>
    <row r="82" spans="1:15" ht="18" customHeight="1">
      <c r="A82" s="97" t="s">
        <v>223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224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220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221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222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221</v>
      </c>
      <c r="O108" s="39">
        <v>558590</v>
      </c>
    </row>
    <row r="109" spans="1:15" ht="18" customHeight="1">
      <c r="A109" s="97" t="s">
        <v>223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224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220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221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218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218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0.21029097222344717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251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222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0.40959652777900279</v>
      </c>
      <c r="N135" s="36" t="s">
        <v>221</v>
      </c>
      <c r="O135" s="39">
        <v>729290</v>
      </c>
    </row>
    <row r="136" spans="1:18" ht="18" customHeight="1">
      <c r="A136" s="97" t="s">
        <v>223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0.77695763889011382</v>
      </c>
      <c r="N136" s="40" t="s">
        <v>224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220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221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277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222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221</v>
      </c>
      <c r="O162" s="39">
        <v>697320</v>
      </c>
    </row>
    <row r="163" spans="1:15" ht="18" customHeight="1">
      <c r="A163" s="97" t="s">
        <v>223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224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239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239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307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220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221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239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239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222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221</v>
      </c>
      <c r="O189" s="39">
        <v>973580</v>
      </c>
    </row>
    <row r="190" spans="1:15" ht="18" customHeight="1">
      <c r="A190" s="97" t="s">
        <v>223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224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239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239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308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239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309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220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221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310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222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221</v>
      </c>
      <c r="O216" s="45">
        <v>1060630</v>
      </c>
    </row>
    <row r="217" spans="1:15" ht="18" customHeight="1">
      <c r="A217" s="97" t="s">
        <v>223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224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311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312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239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239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220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221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314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239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222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221</v>
      </c>
      <c r="O243" s="39">
        <v>982340</v>
      </c>
    </row>
    <row r="244" spans="1:15" ht="18" customHeight="1">
      <c r="A244" s="97" t="s">
        <v>223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224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315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239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239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220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221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239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222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221</v>
      </c>
      <c r="O270" s="39">
        <v>1208450</v>
      </c>
    </row>
    <row r="271" spans="1:15" ht="18" customHeight="1">
      <c r="A271" s="97" t="s">
        <v>223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224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239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220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221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239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222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221</v>
      </c>
      <c r="O297" s="39">
        <v>1049090</v>
      </c>
    </row>
    <row r="298" spans="1:15" ht="18" customHeight="1">
      <c r="A298" s="97" t="s">
        <v>223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224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316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239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220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221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239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248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239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239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222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221</v>
      </c>
      <c r="O324" s="39">
        <v>1063720</v>
      </c>
    </row>
    <row r="325" spans="1:15" ht="18" customHeight="1">
      <c r="A325" s="97" t="s">
        <v>223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224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239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275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220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221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239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239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318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222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221</v>
      </c>
      <c r="O351" s="39">
        <v>696140</v>
      </c>
    </row>
    <row r="352" spans="1:15" ht="18" customHeight="1">
      <c r="A352" s="97" t="s">
        <v>223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224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277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239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220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221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239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239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239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319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117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222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221</v>
      </c>
      <c r="O378" s="39">
        <v>704750</v>
      </c>
    </row>
    <row r="379" spans="1:15" ht="18" customHeight="1">
      <c r="A379" s="97" t="s">
        <v>223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224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239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320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/>
      <c r="M382" s="30">
        <f t="shared" ca="1" si="85"/>
        <v>7.0707638886233326E-2</v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239</v>
      </c>
      <c r="F383" s="27">
        <v>0</v>
      </c>
      <c r="G383" s="34">
        <f t="shared" si="84"/>
        <v>0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239</v>
      </c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239</v>
      </c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239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239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239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239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239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239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220</v>
      </c>
      <c r="B392" s="95"/>
      <c r="C392" s="95"/>
      <c r="D392" s="95"/>
      <c r="E392" s="96">
        <f>SUM(E380:E391)</f>
        <v>0</v>
      </c>
      <c r="F392" s="36">
        <f>SUM(F380:F391)</f>
        <v>30</v>
      </c>
      <c r="G392" s="36">
        <f>SUM(G380:G391)</f>
        <v>126</v>
      </c>
      <c r="H392" s="37"/>
      <c r="I392" s="37"/>
      <c r="J392" s="37"/>
      <c r="K392" s="61"/>
      <c r="L392" s="61"/>
      <c r="M392" s="38">
        <f ca="1">IFERROR(SUM(M380:M391),"")</f>
        <v>0.10126319444178888</v>
      </c>
      <c r="N392" s="36" t="s">
        <v>221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222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221</v>
      </c>
      <c r="O405" s="39"/>
    </row>
    <row r="406" spans="1:15" ht="18" customHeight="1">
      <c r="A406" s="97" t="s">
        <v>223</v>
      </c>
      <c r="B406" s="98"/>
      <c r="C406" s="98"/>
      <c r="D406" s="98"/>
      <c r="E406" s="99">
        <f>E392+E405</f>
        <v>0</v>
      </c>
      <c r="F406" s="40">
        <f>F392+F405</f>
        <v>30</v>
      </c>
      <c r="G406" s="40">
        <f>G392+G405</f>
        <v>126</v>
      </c>
      <c r="H406" s="41"/>
      <c r="I406" s="41"/>
      <c r="J406" s="41"/>
      <c r="K406" s="63"/>
      <c r="L406" s="63"/>
      <c r="M406" s="42">
        <f ca="1">IFERROR(M392+M405,"")</f>
        <v>0.10126319444178888</v>
      </c>
      <c r="N406" s="40" t="s">
        <v>224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220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222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221</v>
      </c>
      <c r="O432" s="39"/>
    </row>
    <row r="433" spans="1:17" ht="18" customHeight="1">
      <c r="A433" s="97" t="s">
        <v>223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220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222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221</v>
      </c>
      <c r="O459" s="39"/>
    </row>
    <row r="460" spans="1:15" ht="18" customHeight="1">
      <c r="A460" s="97" t="s">
        <v>223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220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222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221</v>
      </c>
      <c r="O486" s="39"/>
    </row>
    <row r="487" spans="1:15" ht="18" customHeight="1">
      <c r="A487" s="97" t="s">
        <v>223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220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222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221</v>
      </c>
      <c r="O513" s="39"/>
    </row>
    <row r="514" spans="1:15" ht="18" customHeight="1">
      <c r="A514" s="97" t="s">
        <v>223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220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222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221</v>
      </c>
      <c r="O540" s="39"/>
    </row>
    <row r="541" spans="1:15" ht="18" customHeight="1">
      <c r="A541" s="97" t="s">
        <v>223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220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222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221</v>
      </c>
      <c r="O567" s="39"/>
    </row>
    <row r="568" spans="1:15" ht="18" customHeight="1">
      <c r="A568" s="97" t="s">
        <v>223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220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222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221</v>
      </c>
      <c r="O594" s="39"/>
    </row>
    <row r="595" spans="1:15" ht="18" customHeight="1">
      <c r="A595" s="97" t="s">
        <v>223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220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222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221</v>
      </c>
      <c r="O621" s="39"/>
    </row>
    <row r="622" spans="1:15" ht="18" customHeight="1">
      <c r="A622" s="97" t="s">
        <v>223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220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222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221</v>
      </c>
      <c r="O648" s="39"/>
    </row>
    <row r="649" spans="1:15" ht="18" customHeight="1">
      <c r="A649" s="97" t="s">
        <v>223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220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222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221</v>
      </c>
      <c r="O675" s="39"/>
    </row>
    <row r="676" spans="1:15" ht="18" customHeight="1">
      <c r="A676" s="97" t="s">
        <v>223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220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222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221</v>
      </c>
      <c r="O702" s="39"/>
    </row>
    <row r="703" spans="1:15" ht="18" customHeight="1">
      <c r="A703" s="97" t="s">
        <v>223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220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222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221</v>
      </c>
      <c r="O729" s="39"/>
    </row>
    <row r="730" spans="1:15" ht="18" customHeight="1">
      <c r="A730" s="97" t="s">
        <v>223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220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222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7" t="s">
        <v>223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220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222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7" t="s">
        <v>223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220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222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97" t="s">
        <v>223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224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2026-07-15T15:03:14Z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