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010" documentId="8_{AF585B22-221D-4780-BB9C-493D365A6A02}" xr6:coauthVersionLast="47" xr6:coauthVersionMax="47" xr10:uidLastSave="{D9E0C84E-8237-4B45-8F3B-01339B859583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<sst xmlns="http://schemas.openxmlformats.org/spreadsheetml/2006/main" count="3787" uniqueCount="269">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</sst>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4" t="s">
        <v>0</v>
      </c>
      <c r="B1" s="94"/>
      <c r="C1" s="94"/>
      <c r="D1" s="94"/>
      <c r="E1" s="94"/>
      <c r="F1" s="94"/>
      <c r="G1" s="94"/>
    </row>
    <row r="2" spans="1:7" ht="24.75" customHeight="1">
      <c r="A2" s="95"/>
      <c r="B2" s="9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6" t="s">
        <v>9</v>
      </c>
      <c r="B35" s="96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7" t="s">
        <v>10</v>
      </c>
      <c r="B1" s="97"/>
      <c r="C1" s="97"/>
      <c r="D1" s="97"/>
      <c r="E1" s="97"/>
      <c r="F1" s="97"/>
      <c r="G1" s="97"/>
      <c r="H1" s="98"/>
      <c r="I1" s="99" t="s">
        <v>11</v>
      </c>
      <c r="J1" s="99"/>
      <c r="K1" s="99"/>
      <c r="L1" s="99"/>
      <c r="M1" s="99"/>
    </row>
    <row r="2" spans="1:13" ht="4.5" customHeight="1">
      <c r="H2" s="9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8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8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8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8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8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8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8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8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8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8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8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8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8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8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8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8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8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8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8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8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8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8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8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8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8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8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8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8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8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8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8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8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8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8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8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8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8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8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8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8"/>
      <c r="I52" s="16"/>
      <c r="J52" s="16"/>
      <c r="K52" s="16" t="s">
        <v>191</v>
      </c>
      <c r="L52" s="16"/>
      <c r="M52" s="16"/>
    </row>
    <row r="53" spans="1:13" ht="36" customHeight="1">
      <c r="H53" s="98"/>
      <c r="I53" s="17"/>
      <c r="J53" s="17"/>
      <c r="K53" s="17" t="s">
        <v>192</v>
      </c>
      <c r="L53" s="17"/>
      <c r="M53" s="17"/>
    </row>
    <row r="54" spans="1:13" ht="15" customHeight="1">
      <c r="H54" s="98"/>
      <c r="I54" s="16"/>
      <c r="J54" s="16"/>
      <c r="K54" s="16" t="s">
        <v>193</v>
      </c>
      <c r="L54" s="16"/>
      <c r="M54" s="16"/>
    </row>
    <row r="55" spans="1:13" ht="15" customHeight="1">
      <c r="H55" s="98"/>
      <c r="I55" s="17"/>
      <c r="J55" s="17"/>
      <c r="K55" s="17" t="s">
        <v>194</v>
      </c>
      <c r="L55" s="17"/>
      <c r="M55" s="17"/>
    </row>
    <row r="56" spans="1:13" ht="15" customHeight="1">
      <c r="H56" s="98"/>
      <c r="I56" s="16"/>
      <c r="J56" s="16"/>
      <c r="K56" s="16" t="s">
        <v>195</v>
      </c>
      <c r="L56" s="16"/>
      <c r="M56" s="16"/>
    </row>
    <row r="57" spans="1:13" ht="15" customHeight="1">
      <c r="H57" s="98"/>
      <c r="I57" s="17"/>
      <c r="J57" s="17"/>
      <c r="K57" s="17" t="s">
        <v>50</v>
      </c>
      <c r="L57" s="17"/>
      <c r="M57" s="17"/>
    </row>
    <row r="58" spans="1:13" ht="15" customHeight="1">
      <c r="H58" s="98"/>
      <c r="I58" s="16"/>
      <c r="J58" s="16"/>
      <c r="K58" s="16" t="s">
        <v>196</v>
      </c>
      <c r="L58" s="16"/>
      <c r="M58" s="16"/>
    </row>
    <row r="59" spans="1:13" ht="15" customHeight="1">
      <c r="H59" s="98"/>
      <c r="I59" s="17"/>
      <c r="J59" s="17"/>
      <c r="K59" s="17" t="s">
        <v>197</v>
      </c>
      <c r="L59" s="17"/>
      <c r="M59" s="17"/>
    </row>
    <row r="60" spans="1:13" ht="15" customHeight="1">
      <c r="H60" s="98"/>
      <c r="I60" s="16"/>
      <c r="J60" s="16"/>
      <c r="K60" s="87" t="s">
        <v>104</v>
      </c>
      <c r="L60" s="16"/>
      <c r="M60" s="16"/>
    </row>
    <row r="61" spans="1:13" ht="15" customHeight="1">
      <c r="H61" s="98"/>
      <c r="I61" s="17"/>
      <c r="J61" s="17"/>
      <c r="K61" s="17"/>
      <c r="L61" s="17"/>
      <c r="M61" s="17"/>
    </row>
    <row r="62" spans="1:13" ht="15" customHeight="1">
      <c r="H62" s="98"/>
      <c r="I62" s="16"/>
      <c r="J62" s="16"/>
      <c r="K62" s="16"/>
      <c r="L62" s="16"/>
      <c r="M62" s="16"/>
    </row>
    <row r="63" spans="1:13" ht="15" customHeight="1">
      <c r="H63" s="98"/>
      <c r="I63" s="17"/>
      <c r="J63" s="17"/>
      <c r="K63" s="17"/>
      <c r="L63" s="17"/>
      <c r="M63" s="17"/>
    </row>
    <row r="64" spans="1:13" ht="15" customHeight="1">
      <c r="H64" s="98"/>
      <c r="I64" s="16"/>
      <c r="J64" s="16"/>
      <c r="K64" s="16"/>
      <c r="L64" s="16"/>
      <c r="M64" s="16"/>
    </row>
    <row r="65" spans="8:13" ht="15" customHeight="1">
      <c r="H65" s="98"/>
      <c r="I65" s="17"/>
      <c r="J65" s="17"/>
      <c r="K65" s="17"/>
      <c r="L65" s="17"/>
      <c r="M65" s="17"/>
    </row>
    <row r="66" spans="8:13" ht="15" customHeight="1">
      <c r="H66" s="98"/>
      <c r="I66" s="16"/>
      <c r="J66" s="16"/>
      <c r="K66" s="16"/>
      <c r="L66" s="16"/>
      <c r="M66" s="16"/>
    </row>
    <row r="67" spans="8:13" ht="15" customHeight="1">
      <c r="H67" s="98"/>
      <c r="I67" s="17"/>
      <c r="J67" s="17"/>
      <c r="K67" s="17"/>
      <c r="L67" s="17"/>
      <c r="M67" s="17"/>
    </row>
    <row r="68" spans="8:13" ht="15" customHeight="1">
      <c r="H68" s="98"/>
      <c r="I68" s="16"/>
      <c r="J68" s="16"/>
      <c r="K68" s="16"/>
      <c r="L68" s="16"/>
      <c r="M68" s="16"/>
    </row>
    <row r="69" spans="8:13" ht="15" customHeight="1">
      <c r="H69" s="98"/>
      <c r="I69" s="17"/>
      <c r="J69" s="17"/>
      <c r="K69" s="17"/>
      <c r="L69" s="17"/>
      <c r="M69" s="17"/>
    </row>
    <row r="70" spans="8:13" ht="15" customHeight="1">
      <c r="H70" s="98"/>
      <c r="I70" s="16"/>
      <c r="J70" s="16"/>
      <c r="K70" s="16"/>
      <c r="L70" s="16"/>
      <c r="M70" s="16"/>
    </row>
    <row r="71" spans="8:13" ht="15" customHeight="1">
      <c r="H71" s="98"/>
      <c r="I71" s="17"/>
      <c r="J71" s="17"/>
      <c r="K71" s="17"/>
      <c r="L71" s="17"/>
      <c r="M71" s="17"/>
    </row>
    <row r="72" spans="8:13" ht="15" customHeight="1">
      <c r="H72" s="98"/>
      <c r="I72" s="16"/>
      <c r="J72" s="16"/>
      <c r="K72" s="16"/>
      <c r="L72" s="16"/>
      <c r="M72" s="16"/>
    </row>
    <row r="73" spans="8:13" ht="15" customHeight="1">
      <c r="H73" s="98"/>
      <c r="I73" s="17"/>
      <c r="J73" s="17"/>
      <c r="K73" s="17"/>
      <c r="L73" s="17"/>
      <c r="M73" s="17"/>
    </row>
    <row r="74" spans="8:13" ht="15" customHeight="1">
      <c r="H74" s="98"/>
      <c r="I74" s="16"/>
      <c r="J74" s="16"/>
      <c r="K74" s="16"/>
      <c r="L74" s="16"/>
      <c r="M74" s="16"/>
    </row>
    <row r="75" spans="8:13" ht="15" customHeight="1">
      <c r="H75" s="9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01" activePane="bottomLeft" state="frozen"/>
      <selection pane="bottomLeft" activeCell="J208" sqref="J2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/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/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328</v>
      </c>
      <c r="G216" s="36">
        <f>SUM(G204:G215)</f>
        <v>1640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658</v>
      </c>
      <c r="G217" s="40">
        <f>G203+G216</f>
        <v>3290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7" activePane="bottomLeft" state="frozen"/>
      <selection pane="bottomLeft" activeCell="F215" sqref="F2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>
        <v>0.10069444444444445</v>
      </c>
      <c r="L207" s="29"/>
      <c r="M207" s="35">
        <f t="shared" ca="1" si="46"/>
        <v>0.15726412036747206</v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137</v>
      </c>
      <c r="G216" s="36">
        <f>SUM(G204:G215)</f>
        <v>575.40000000000009</v>
      </c>
      <c r="H216" s="37"/>
      <c r="I216" s="37"/>
      <c r="J216" s="37"/>
      <c r="K216" s="37"/>
      <c r="L216" s="37"/>
      <c r="M216" s="38">
        <f ca="1">IFERROR(SUM(M204:M215),"")</f>
        <v>0.22323634258969427</v>
      </c>
      <c r="N216" s="36" t="s">
        <v>212</v>
      </c>
      <c r="O216" s="78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137</v>
      </c>
      <c r="G217" s="40">
        <f>G203+G216</f>
        <v>575.40000000000009</v>
      </c>
      <c r="H217" s="41"/>
      <c r="I217" s="41"/>
      <c r="J217" s="41"/>
      <c r="K217" s="41"/>
      <c r="L217" s="41"/>
      <c r="M217" s="42">
        <f ca="1">IFERROR(M203+M216,"")</f>
        <v>0.22323634258969427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95" activePane="bottomLeft" state="frozen"/>
      <selection pane="bottomLeft" activeCell="L207" sqref="L2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246</v>
      </c>
      <c r="N166" s="27" t="s">
        <v>247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99</v>
      </c>
      <c r="G216" s="36">
        <f>SUM(G204:G215)</f>
        <v>415.8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793.8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F215" sqref="F2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253</v>
      </c>
      <c r="L58" s="29">
        <v>0.54097222222222219</v>
      </c>
      <c r="M58" s="30" t="str">
        <f t="shared" ca="1" si="13"/>
        <v/>
      </c>
      <c r="N58" s="27" t="s">
        <v>254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8.6532407440245152E-3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0.20795879629958014</v>
      </c>
      <c r="N135" s="36" t="s">
        <v>212</v>
      </c>
      <c r="O135" s="39">
        <v>729290</v>
      </c>
    </row>
    <row r="136" spans="1:18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0.57531990741069117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197</v>
      </c>
      <c r="G216" s="36">
        <f>SUM(G204:G215)</f>
        <v>827.4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347</v>
      </c>
      <c r="G217" s="40">
        <f>G203+G216</f>
        <v>1457.4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2026-07-09T10:11:31Z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