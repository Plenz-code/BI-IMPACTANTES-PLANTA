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39" documentId="8_{AF585B22-221D-4780-BB9C-493D365A6A02}" xr6:coauthVersionLast="47" xr6:coauthVersionMax="47" xr10:uidLastSave="{5D796C2C-19A1-4959-98BE-AFD15E098E1C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<sst xmlns="http://schemas.openxmlformats.org/spreadsheetml/2006/main" count="6334" uniqueCount="319">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</sst>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:G3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6" sqref="K6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3" sqref="F38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90</v>
      </c>
      <c r="G392" s="36">
        <f>SUM(G380:G391)</f>
        <v>450</v>
      </c>
      <c r="H392" s="37"/>
      <c r="I392" s="37"/>
      <c r="J392" s="37"/>
      <c r="K392" s="37"/>
      <c r="L392" s="37"/>
      <c r="M392" s="38">
        <f ca="1">IFERROR(SUM(M380:M391),"")</f>
        <v>4.1666666666666519E-3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90</v>
      </c>
      <c r="G406" s="40">
        <f>G392+G405</f>
        <v>450</v>
      </c>
      <c r="H406" s="41"/>
      <c r="I406" s="41"/>
      <c r="J406" s="41"/>
      <c r="K406" s="41"/>
      <c r="L406" s="41"/>
      <c r="M406" s="42">
        <f ca="1">IFERROR(M392+M405,"")</f>
        <v>4.1666666666666519E-3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63" activePane="bottomLeft" state="frozen"/>
      <selection pane="bottomLeft" activeCell="J382" sqref="J3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238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238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0.19729502314294223</v>
      </c>
      <c r="N377" s="46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0.35493391203183111</v>
      </c>
      <c r="N378" s="36" t="s">
        <v>221</v>
      </c>
      <c r="O378" s="78">
        <v>511980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0.46465613425405328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238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40</v>
      </c>
      <c r="G392" s="36">
        <f>SUM(G380:G391)</f>
        <v>168</v>
      </c>
      <c r="H392" s="37"/>
      <c r="I392" s="37"/>
      <c r="J392" s="37"/>
      <c r="K392" s="37"/>
      <c r="L392" s="37"/>
      <c r="M392" s="38">
        <f ca="1">IFERROR(SUM(M380:M391),"")</f>
        <v>7.638888888888884E-2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40</v>
      </c>
      <c r="G406" s="40">
        <f>G392+G405</f>
        <v>168</v>
      </c>
      <c r="H406" s="41"/>
      <c r="I406" s="41"/>
      <c r="J406" s="41"/>
      <c r="K406" s="41"/>
      <c r="L406" s="41"/>
      <c r="M406" s="42">
        <f ca="1">IFERROR(M392+M405,"")</f>
        <v>7.638888888888884E-2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3" sqref="F3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252</v>
      </c>
      <c r="K141" s="29">
        <v>0.71597222222222223</v>
      </c>
      <c r="L141" s="29" t="s">
        <v>276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278</v>
      </c>
      <c r="N166" s="27" t="s">
        <v>279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238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238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31</v>
      </c>
      <c r="G392" s="36">
        <f>SUM(G380:G391)</f>
        <v>130.19999999999999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31</v>
      </c>
      <c r="G406" s="40">
        <f>G392+G405</f>
        <v>130.19999999999999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83" sqref="F3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293</v>
      </c>
      <c r="L58" s="29">
        <v>0.54097222222222219</v>
      </c>
      <c r="M58" s="30" t="str">
        <f t="shared" ca="1" si="13"/>
        <v/>
      </c>
      <c r="N58" s="27" t="s">
        <v>294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0.18757280092540896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0.38687835648096458</v>
      </c>
      <c r="N135" s="36" t="s">
        <v>221</v>
      </c>
      <c r="O135" s="39">
        <v>729290</v>
      </c>
    </row>
    <row r="136" spans="1:18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0.75423946759207561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238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220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318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/>
      <c r="M382" s="30">
        <f t="shared" ca="1" si="85"/>
        <v>4.7989467588195112E-2</v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30</v>
      </c>
      <c r="G392" s="36">
        <f>SUM(G380:G391)</f>
        <v>126</v>
      </c>
      <c r="H392" s="37"/>
      <c r="I392" s="37"/>
      <c r="J392" s="37"/>
      <c r="K392" s="61"/>
      <c r="L392" s="61"/>
      <c r="M392" s="38">
        <f ca="1">IFERROR(SUM(M380:M391),"")</f>
        <v>7.854502314375067E-2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30</v>
      </c>
      <c r="G406" s="40">
        <f>G392+G405</f>
        <v>126</v>
      </c>
      <c r="H406" s="41"/>
      <c r="I406" s="41"/>
      <c r="J406" s="41"/>
      <c r="K406" s="63"/>
      <c r="L406" s="63"/>
      <c r="M406" s="42">
        <f ca="1">IFERROR(M392+M405,"")</f>
        <v>7.854502314375067E-2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2026-07-15T14:29:20Z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