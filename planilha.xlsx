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09" documentId="13_ncr:1_{A6DBCFB4-28D9-4249-9038-216934055CA6}" xr6:coauthVersionLast="47" xr6:coauthVersionMax="47" xr10:uidLastSave="{6DA6486B-E96D-4690-B4BC-0507EEF1CA3F}"/>
  <bookViews>
    <workbookView xWindow="-110" yWindow="-110" windowWidth="25820" windowHeight="1550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5" l="1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<sst xmlns="http://schemas.openxmlformats.org/spreadsheetml/2006/main" count="8832" uniqueCount="399">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</sst>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71829610</v>
      </c>
      <c r="D35" s="30">
        <f t="shared" si="2"/>
        <v>23300530</v>
      </c>
      <c r="E35" s="30">
        <f t="shared" si="2"/>
        <v>12268060</v>
      </c>
      <c r="F35" s="30">
        <f t="shared" si="2"/>
        <v>29707410</v>
      </c>
      <c r="G35" s="30">
        <f t="shared" si="2"/>
        <v>65276000</v>
      </c>
      <c r="H35" s="31">
        <f t="shared" si="2"/>
        <v>5486.9907825806804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4511.7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93" activePane="bottomLeft" state="frozen"/>
      <selection pane="bottomLeft" activeCell="F522" sqref="F522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147</v>
      </c>
      <c r="G527" s="2">
        <f>SUM(G515:G526)</f>
        <v>709.4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147</v>
      </c>
      <c r="G541" s="1">
        <f>G527+G540</f>
        <v>709.4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94" activePane="bottomLeft" state="frozen"/>
      <selection pane="bottomLeft" activeCell="G523" sqref="G523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297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298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299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301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302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303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304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0.51199432869907469</v>
      </c>
      <c r="R53" s="80" t="s">
        <v>305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0.65088321758796241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0.73560543981018522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297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306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307</v>
      </c>
      <c r="Q96" s="66" t="str">
        <f t="shared" ref="Q96:Q107" ca="1" si="22">IFERROR(IF(O96="","",IF(P96="",MOD(NOW()-O96,1),IF(P96&gt;=O96,P96-O96,P96+1-O96))),"")</f>
        <v/>
      </c>
      <c r="R96" s="80" t="s">
        <v>308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309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310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311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312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313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314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316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317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318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311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306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320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321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322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323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324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325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326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318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313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306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327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328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329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330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331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332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333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334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335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336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337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313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0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30"/>
        <v>0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30"/>
        <v>0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0</v>
      </c>
      <c r="I518" s="90">
        <f>IFERROR(IF($D518="","",VLOOKUP($D518,Cadastro!$C$4:$G$7,5,FALSE())),"")</f>
        <v>0.6</v>
      </c>
      <c r="J518" s="91">
        <f t="shared" si="130"/>
        <v>0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0</v>
      </c>
      <c r="I519" s="90">
        <f>IFERROR(IF($D519="","",VLOOKUP($D519,Cadastro!$C$4:$G$7,5,FALSE())),"")</f>
        <v>0.6</v>
      </c>
      <c r="J519" s="91">
        <f t="shared" si="130"/>
        <v>0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0</v>
      </c>
      <c r="I520" s="90">
        <f>IFERROR(IF($D520="","",VLOOKUP($D520,Cadastro!$C$4:$G$7,5,FALSE())),"")</f>
        <v>0.6</v>
      </c>
      <c r="J520" s="91">
        <f t="shared" si="130"/>
        <v>0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0</v>
      </c>
      <c r="I521" s="90">
        <f>IFERROR(IF($D521="","",VLOOKUP($D521,Cadastro!$C$4:$G$7,5,FALSE())),"")</f>
        <v>0.6</v>
      </c>
      <c r="J521" s="91">
        <f t="shared" si="130"/>
        <v>0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0</v>
      </c>
      <c r="I522" s="90">
        <f>IFERROR(IF($D522="","",VLOOKUP($D522,Cadastro!$C$4:$G$7,5,FALSE())),"")</f>
        <v>0.6</v>
      </c>
      <c r="J522" s="91">
        <f t="shared" si="130"/>
        <v>0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/>
      <c r="H523" s="88" t="str">
        <f>IFERROR(IF($G523="","",$G523*$S$527/$G$527/Cadastro!$E$33),"")</f>
        <v/>
      </c>
      <c r="I523" s="90">
        <f>IFERROR(IF($D523="","",VLOOKUP($D523,Cadastro!$C$4:$G$7,5,FALSE())),"")</f>
        <v>0.6</v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125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555.40000000000009</v>
      </c>
      <c r="L527" s="72"/>
      <c r="M527" s="72"/>
      <c r="N527" s="72"/>
      <c r="O527" s="72"/>
      <c r="P527" s="72"/>
      <c r="Q527" s="73">
        <f ca="1">IFERROR(SUM(Q515:Q526),"")</f>
        <v>5.4861111111111083E-2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125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555.40000000000009</v>
      </c>
      <c r="L541" s="76"/>
      <c r="M541" s="76"/>
      <c r="N541" s="76"/>
      <c r="O541" s="76"/>
      <c r="P541" s="76"/>
      <c r="Q541" s="77">
        <f ca="1">IFERROR(Q527+Q540,"")</f>
        <v>5.4861111111111083E-2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96" activePane="bottomLeft" state="frozen"/>
      <selection pane="bottomLeft" activeCell="G523" sqref="G523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338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300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306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338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338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340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341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342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343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345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346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314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306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347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348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317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349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351</v>
      </c>
      <c r="Q222" s="66" t="str">
        <f t="shared" ca="1" si="49"/>
        <v/>
      </c>
      <c r="R222" s="63" t="s">
        <v>352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353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324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354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325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306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355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328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356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357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358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358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359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306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360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345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361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362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0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27"/>
        <v>0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27"/>
        <v>0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/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0</v>
      </c>
      <c r="I518" s="90">
        <f>IFERROR(IF($D518="","",VLOOKUP($D518,Cadastro!$C$4:$G$7,5,FALSE())),"")</f>
        <v>0.6</v>
      </c>
      <c r="J518" s="91">
        <f t="shared" si="127"/>
        <v>0</v>
      </c>
      <c r="K518" s="64">
        <f t="shared" si="130"/>
        <v>16.8</v>
      </c>
      <c r="L518" s="70"/>
      <c r="M518" s="61"/>
      <c r="N518" s="61"/>
      <c r="O518" s="65"/>
      <c r="P518" s="65"/>
      <c r="Q518" s="66" t="str">
        <f t="shared" ca="1" si="128"/>
        <v/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0</v>
      </c>
      <c r="I519" s="90">
        <f>IFERROR(IF($D519="","",VLOOKUP($D519,Cadastro!$C$4:$G$7,5,FALSE())),"")</f>
        <v>0.6</v>
      </c>
      <c r="J519" s="91">
        <f t="shared" si="127"/>
        <v>0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0</v>
      </c>
      <c r="I520" s="90">
        <f>IFERROR(IF($D520="","",VLOOKUP($D520,Cadastro!$C$4:$G$7,5,FALSE())),"")</f>
        <v>0.6</v>
      </c>
      <c r="J520" s="91">
        <f t="shared" si="127"/>
        <v>0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0</v>
      </c>
      <c r="I521" s="90">
        <f>IFERROR(IF($D521="","",VLOOKUP($D521,Cadastro!$C$4:$G$7,5,FALSE())),"")</f>
        <v>0.6</v>
      </c>
      <c r="J521" s="91">
        <f t="shared" si="127"/>
        <v>0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0</v>
      </c>
      <c r="I522" s="90">
        <f>IFERROR(IF($D522="","",VLOOKUP($D522,Cadastro!$C$4:$G$7,5,FALSE())),"")</f>
        <v>0.6</v>
      </c>
      <c r="J522" s="91">
        <f t="shared" si="127"/>
        <v>0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/>
      <c r="H523" s="88" t="str">
        <f>IFERROR(IF($G523="","",$G523*$S$527/$G$527/Cadastro!$E$33),"")</f>
        <v/>
      </c>
      <c r="I523" s="90">
        <f>IFERROR(IF($D523="","",VLOOKUP($D523,Cadastro!$C$4:$G$7,5,FALSE())),"")</f>
        <v>0.6</v>
      </c>
      <c r="J523" s="91" t="str">
        <f t="shared" si="127"/>
        <v/>
      </c>
      <c r="K523" s="69" t="str">
        <f t="shared" si="130"/>
        <v/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27"/>
        <v/>
      </c>
      <c r="K524" s="64" t="str">
        <f t="shared" si="130"/>
        <v/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27"/>
        <v/>
      </c>
      <c r="K525" s="69" t="str">
        <f t="shared" si="130"/>
        <v/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27"/>
        <v/>
      </c>
      <c r="K526" s="64" t="str">
        <f t="shared" si="130"/>
        <v/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54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234</v>
      </c>
      <c r="L527" s="72"/>
      <c r="M527" s="72"/>
      <c r="N527" s="72"/>
      <c r="O527" s="72"/>
      <c r="P527" s="72"/>
      <c r="Q527" s="73">
        <f ca="1">IFERROR(SUM(Q515:Q526),"")</f>
        <v>5.9027777777777735E-2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54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234</v>
      </c>
      <c r="L541" s="76"/>
      <c r="M541" s="76"/>
      <c r="N541" s="76"/>
      <c r="O541" s="76"/>
      <c r="P541" s="76"/>
      <c r="Q541" s="77">
        <f ca="1">IFERROR(Q527+Q540,"")</f>
        <v>5.9027777777777735E-2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491" activePane="bottomLeft" state="frozen"/>
      <selection pane="bottomLeft" activeCell="G523" sqref="G523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363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303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338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364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365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366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367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368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369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338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338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370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371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338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372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373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314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374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376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377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378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379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380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381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382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383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384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385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386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387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388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389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390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391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328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392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393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394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395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396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390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397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360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398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0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30"/>
        <v>0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30"/>
        <v>0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0</v>
      </c>
      <c r="I518" s="90">
        <f>IFERROR(IF($D518="","",VLOOKUP($D518,Cadastro!$C$4:$G$7,5,FALSE())),"")</f>
        <v>0.6</v>
      </c>
      <c r="J518" s="91">
        <f t="shared" si="130"/>
        <v>0</v>
      </c>
      <c r="K518" s="64">
        <f t="shared" si="131"/>
        <v>84</v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0</v>
      </c>
      <c r="I519" s="90">
        <f>IFERROR(IF($D519="","",VLOOKUP($D519,Cadastro!$C$4:$G$7,5,FALSE())),"")</f>
        <v>0.6</v>
      </c>
      <c r="J519" s="91">
        <f t="shared" si="130"/>
        <v>0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0</v>
      </c>
      <c r="I520" s="90">
        <f>IFERROR(IF($D520="","",VLOOKUP($D520,Cadastro!$C$4:$G$7,5,FALSE())),"")</f>
        <v>0.6</v>
      </c>
      <c r="J520" s="91">
        <f t="shared" si="130"/>
        <v>0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0</v>
      </c>
      <c r="I521" s="90">
        <f>IFERROR(IF($D521="","",VLOOKUP($D521,Cadastro!$C$4:$G$7,5,FALSE())),"")</f>
        <v>0.6</v>
      </c>
      <c r="J521" s="91">
        <f t="shared" si="130"/>
        <v>0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0</v>
      </c>
      <c r="I522" s="90">
        <f>IFERROR(IF($D522="","",VLOOKUP($D522,Cadastro!$C$4:$G$7,5,FALSE())),"")</f>
        <v>0.6</v>
      </c>
      <c r="J522" s="91">
        <f t="shared" si="130"/>
        <v>0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/>
      <c r="H523" s="88" t="str">
        <f>IFERROR(IF($G523="","",$G523*$S$527/$G$527/Cadastro!$E$33),"")</f>
        <v/>
      </c>
      <c r="I523" s="90">
        <f>IFERROR(IF($D523="","",VLOOKUP($D523,Cadastro!$C$4:$G$7,5,FALSE())),"")</f>
        <v>0.6</v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141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621</v>
      </c>
      <c r="L527" s="72"/>
      <c r="M527" s="72"/>
      <c r="N527" s="72"/>
      <c r="O527" s="134"/>
      <c r="P527" s="134"/>
      <c r="Q527" s="73">
        <f ca="1">IFERROR(SUM(Q515:Q526),"")</f>
        <v>4.5833333333333337E-2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141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621</v>
      </c>
      <c r="L541" s="76"/>
      <c r="M541" s="76"/>
      <c r="N541" s="76"/>
      <c r="O541" s="135"/>
      <c r="P541" s="135"/>
      <c r="Q541" s="77">
        <f ca="1">IFERROR(Q527+Q540,"")</f>
        <v>4.5833333333333337E-2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2026-08-20T19:12:23Z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