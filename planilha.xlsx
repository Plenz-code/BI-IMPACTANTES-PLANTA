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14" documentId="8_{AF585B22-221D-4780-BB9C-493D365A6A02}" xr6:coauthVersionLast="47" xr6:coauthVersionMax="47" xr10:uidLastSave="{D0722C0B-1BC9-4D7F-9CC7-5AB8F9CAEF9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<sst xmlns="http://schemas.openxmlformats.org/spreadsheetml/2006/main" count="2038" uniqueCount="221">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</sst>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0" activePane="bottomLeft" state="frozen"/>
      <selection pane="bottomLeft" activeCell="L71" sqref="L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158</v>
      </c>
      <c r="G81" s="36">
        <f>SUM(G69:G80)</f>
        <v>663.6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357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189</v>
      </c>
      <c r="G82" s="40">
        <f>G68+G81</f>
        <v>793.8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5" activePane="bottomLeft" state="frozen"/>
      <selection pane="bottomLeft" activeCell="F79" sqref="F7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216</v>
      </c>
      <c r="L58" s="29">
        <v>0.54097222222222219</v>
      </c>
      <c r="M58" s="30" t="str">
        <f t="shared" ca="1" si="13"/>
        <v/>
      </c>
      <c r="N58" s="27" t="s">
        <v>217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171</v>
      </c>
      <c r="K76" s="29">
        <v>0.14722222222222223</v>
      </c>
      <c r="L76" s="29">
        <v>0.12638888888888888</v>
      </c>
      <c r="M76" s="30">
        <f t="shared" ca="1" si="16"/>
        <v>0.97916666666666663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4</v>
      </c>
      <c r="G77" s="34">
        <f t="shared" si="15"/>
        <v>16.8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120</v>
      </c>
      <c r="G81" s="36">
        <f>SUM(G69:G80)</f>
        <v>504</v>
      </c>
      <c r="H81" s="37"/>
      <c r="I81" s="37"/>
      <c r="J81" s="37"/>
      <c r="K81" s="61"/>
      <c r="L81" s="61"/>
      <c r="M81" s="38">
        <f ca="1">IFERROR(SUM(M69:M80),"")</f>
        <v>1.1506944444444442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315</v>
      </c>
      <c r="G82" s="40">
        <f>G68+G81</f>
        <v>1323</v>
      </c>
      <c r="H82" s="41"/>
      <c r="I82" s="41"/>
      <c r="J82" s="41"/>
      <c r="K82" s="63"/>
      <c r="L82" s="63"/>
      <c r="M82" s="42">
        <f ca="1">IFERROR(M68+M81,"")</f>
        <v>1.2104166666666665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2026-07-04T09:20:02Z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