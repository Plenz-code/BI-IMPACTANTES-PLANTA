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26" documentId="13_ncr:1_{A6DBCFB4-28D9-4249-9038-216934055CA6}" xr6:coauthVersionLast="47" xr6:coauthVersionMax="47" xr10:uidLastSave="{E211368B-A1AE-4D17-8A30-79AB75B39ECB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Q621" i="6" l="1"/>
  <c r="Q622" i="6" s="1"/>
  <c r="Q824" i="6"/>
  <c r="Q567" i="5"/>
  <c r="Q162" i="6"/>
  <c r="Q163" i="6" s="1"/>
  <c r="Q446" i="5"/>
  <c r="Q500" i="6"/>
  <c r="Q514" i="6" s="1"/>
  <c r="Q419" i="5"/>
  <c r="Q433" i="5" s="1"/>
  <c r="Q567" i="6"/>
  <c r="Q702" i="5"/>
  <c r="Q770" i="5"/>
  <c r="Q365" i="5"/>
  <c r="Q297" i="5"/>
  <c r="Q298" i="5" s="1"/>
  <c r="Q351" i="5"/>
  <c r="Q122" i="6"/>
  <c r="Q136" i="6" s="1"/>
  <c r="Q81" i="6"/>
  <c r="Q82" i="6" s="1"/>
  <c r="G527" i="3"/>
  <c r="G541" i="3" s="1"/>
  <c r="M108" i="3"/>
  <c r="M581" i="3"/>
  <c r="Q108" i="6"/>
  <c r="Q689" i="5"/>
  <c r="Q27" i="6"/>
  <c r="Q14" i="6"/>
  <c r="Q28" i="6" s="1"/>
  <c r="Q527" i="5"/>
  <c r="Q216" i="4"/>
  <c r="Q217" i="4" s="1"/>
  <c r="M203" i="3"/>
  <c r="Q324" i="6"/>
  <c r="Q311" i="4"/>
  <c r="M176" i="3"/>
  <c r="Q473" i="4"/>
  <c r="Q230" i="4"/>
  <c r="Q244" i="4" s="1"/>
  <c r="K527" i="5"/>
  <c r="K541" i="5" s="1"/>
  <c r="M824" i="3"/>
  <c r="M41" i="3"/>
  <c r="Q203" i="6"/>
  <c r="M446" i="3"/>
  <c r="M460" i="3" s="1"/>
  <c r="M500" i="3"/>
  <c r="Q459" i="4"/>
  <c r="Q783" i="5"/>
  <c r="Q203" i="5"/>
  <c r="Q176" i="4"/>
  <c r="Q230" i="6"/>
  <c r="Q824" i="4"/>
  <c r="Q405" i="4"/>
  <c r="Q406" i="4" s="1"/>
  <c r="Q41" i="6"/>
  <c r="M554" i="3"/>
  <c r="Q837" i="5"/>
  <c r="Q716" i="5"/>
  <c r="Q419" i="4"/>
  <c r="Q108" i="5"/>
  <c r="Q486" i="6"/>
  <c r="Q487" i="6" s="1"/>
  <c r="Q378" i="5"/>
  <c r="Q324" i="5"/>
  <c r="Q729" i="4"/>
  <c r="Q284" i="4"/>
  <c r="Q298" i="4" s="1"/>
  <c r="Q82" i="4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09" i="4" s="1"/>
  <c r="Q14" i="4"/>
  <c r="Q28" i="4" s="1"/>
  <c r="Q635" i="5"/>
  <c r="Q257" i="5"/>
  <c r="Q176" i="5"/>
  <c r="Q190" i="5" s="1"/>
  <c r="M621" i="3"/>
  <c r="M81" i="3"/>
  <c r="M486" i="3"/>
  <c r="M716" i="3"/>
  <c r="Q716" i="4"/>
  <c r="Q608" i="4"/>
  <c r="Q176" i="6"/>
  <c r="Q190" i="6" s="1"/>
  <c r="Q702" i="4"/>
  <c r="Q703" i="4" s="1"/>
  <c r="Q243" i="5"/>
  <c r="Q486" i="4"/>
  <c r="Q122" i="4"/>
  <c r="Q122" i="5"/>
  <c r="M608" i="3"/>
  <c r="M473" i="3"/>
  <c r="Q675" i="4"/>
  <c r="M54" i="3"/>
  <c r="M527" i="3"/>
  <c r="Q675" i="6"/>
  <c r="Q540" i="5"/>
  <c r="M270" i="3"/>
  <c r="M271" i="3" s="1"/>
  <c r="K500" i="6"/>
  <c r="K514" i="6" s="1"/>
  <c r="Q149" i="4"/>
  <c r="Q163" i="4" s="1"/>
  <c r="Q797" i="4"/>
  <c r="Q581" i="4"/>
  <c r="Q324" i="4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M135" i="3"/>
  <c r="Q756" i="6"/>
  <c r="Q243" i="6"/>
  <c r="M810" i="3"/>
  <c r="M14" i="3"/>
  <c r="Q594" i="4"/>
  <c r="M662" i="3"/>
  <c r="M162" i="3"/>
  <c r="M163" i="3" s="1"/>
  <c r="Q635" i="6"/>
  <c r="M311" i="3"/>
  <c r="Q689" i="6"/>
  <c r="Q703" i="6" s="1"/>
  <c r="Q594" i="5"/>
  <c r="Q595" i="5" s="1"/>
  <c r="Q365" i="4"/>
  <c r="M540" i="3"/>
  <c r="Q783" i="6"/>
  <c r="Q797" i="6"/>
  <c r="Q811" i="6" s="1"/>
  <c r="Q95" i="5"/>
  <c r="M284" i="3"/>
  <c r="Q41" i="5"/>
  <c r="Q392" i="5"/>
  <c r="Q648" i="6"/>
  <c r="Q729" i="5"/>
  <c r="Q486" i="5"/>
  <c r="Q487" i="5" s="1"/>
  <c r="Q459" i="5"/>
  <c r="Q27" i="5"/>
  <c r="M837" i="3"/>
  <c r="M324" i="3"/>
  <c r="Q662" i="4"/>
  <c r="Q676" i="4" s="1"/>
  <c r="Q513" i="5"/>
  <c r="Q149" i="5"/>
  <c r="Q135" i="5"/>
  <c r="Q136" i="5" s="1"/>
  <c r="M770" i="3"/>
  <c r="Q270" i="4"/>
  <c r="Q446" i="4"/>
  <c r="Q743" i="6"/>
  <c r="Q757" i="6" s="1"/>
  <c r="Q270" i="6"/>
  <c r="Q271" i="6" s="1"/>
  <c r="M729" i="3"/>
  <c r="M730" i="3" s="1"/>
  <c r="M513" i="3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M797" i="3"/>
  <c r="M811" i="3" s="1"/>
  <c r="M594" i="3"/>
  <c r="M595" i="3" s="1"/>
  <c r="Q621" i="5"/>
  <c r="Q270" i="5"/>
  <c r="Q271" i="5" s="1"/>
  <c r="Q216" i="5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432" i="4"/>
  <c r="Q81" i="5"/>
  <c r="M743" i="3"/>
  <c r="M757" i="3" s="1"/>
  <c r="M689" i="3"/>
  <c r="Q41" i="4"/>
  <c r="Q392" i="6"/>
  <c r="Q406" i="6" s="1"/>
  <c r="Q378" i="6"/>
  <c r="Q365" i="6"/>
  <c r="Q379" i="6" s="1"/>
  <c r="Q554" i="5"/>
  <c r="M675" i="3"/>
  <c r="M189" i="3"/>
  <c r="M190" i="3" s="1"/>
  <c r="Q783" i="4"/>
  <c r="Q784" i="4" s="1"/>
  <c r="Q54" i="6"/>
  <c r="Q824" i="5"/>
  <c r="Q513" i="4"/>
  <c r="Q514" i="4" s="1"/>
  <c r="Q621" i="4"/>
  <c r="Q297" i="6"/>
  <c r="Q298" i="6" s="1"/>
  <c r="Q608" i="5"/>
  <c r="Q837" i="6"/>
  <c r="Q838" i="6" s="1"/>
  <c r="Q837" i="4"/>
  <c r="Q230" i="5"/>
  <c r="Q162" i="5"/>
  <c r="Q54" i="4"/>
  <c r="Q770" i="6"/>
  <c r="Q662" i="6"/>
  <c r="Q554" i="6"/>
  <c r="Q540" i="6"/>
  <c r="Q541" i="6" s="1"/>
  <c r="Q419" i="6"/>
  <c r="Q433" i="6" s="1"/>
  <c r="Q351" i="6"/>
  <c r="Q338" i="6"/>
  <c r="Q311" i="6"/>
  <c r="Q325" i="6" s="1"/>
  <c r="Q216" i="6"/>
  <c r="Q95" i="6"/>
  <c r="Q109" i="6" s="1"/>
  <c r="Q810" i="5"/>
  <c r="Q811" i="5" s="1"/>
  <c r="Q756" i="5"/>
  <c r="Q743" i="5"/>
  <c r="Q675" i="5"/>
  <c r="Q662" i="5"/>
  <c r="Q500" i="5"/>
  <c r="Q14" i="5"/>
  <c r="M702" i="3"/>
  <c r="M635" i="3"/>
  <c r="M567" i="3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568" i="5" l="1"/>
  <c r="Q703" i="5"/>
  <c r="Q379" i="5"/>
  <c r="Q352" i="5"/>
  <c r="Q784" i="5"/>
  <c r="Q460" i="5"/>
  <c r="Q568" i="6"/>
  <c r="Q487" i="4"/>
  <c r="Q541" i="5"/>
  <c r="Q325" i="4"/>
  <c r="Q595" i="4"/>
  <c r="Q622" i="4"/>
  <c r="M838" i="3"/>
  <c r="M514" i="3"/>
  <c r="Q217" i="5"/>
  <c r="Q190" i="4"/>
  <c r="M55" i="3"/>
  <c r="Q244" i="6"/>
  <c r="M541" i="3"/>
  <c r="Q460" i="4"/>
  <c r="Q217" i="6"/>
  <c r="Q838" i="4"/>
  <c r="Q379" i="4"/>
  <c r="Q325" i="5"/>
  <c r="Q730" i="4"/>
  <c r="Q55" i="6"/>
  <c r="Q730" i="5"/>
  <c r="Q838" i="5"/>
  <c r="M568" i="3"/>
  <c r="Q109" i="5"/>
  <c r="Q433" i="4"/>
  <c r="Q757" i="5"/>
  <c r="M298" i="3"/>
  <c r="Q406" i="5"/>
  <c r="Q649" i="6"/>
  <c r="M325" i="3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<sst xmlns="http://schemas.openxmlformats.org/spreadsheetml/2006/main" count="8814" uniqueCount="399">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</sst>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 x14ac:dyDescent="0.25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 x14ac:dyDescent="0.25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25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 x14ac:dyDescent="0.25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 x14ac:dyDescent="0.25">
      <c r="M2" s="162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25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25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25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25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25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25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25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25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25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25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25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25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25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25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25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25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25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25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25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25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25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25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25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25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25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25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25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25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25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25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25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25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25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25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25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25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25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25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25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25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25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25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25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25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25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25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25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25">
      <c r="M59" s="162"/>
      <c r="N59" s="40"/>
      <c r="O59" s="40"/>
      <c r="P59" s="40" t="s">
        <v>222</v>
      </c>
      <c r="Q59" s="40"/>
      <c r="R59" s="40"/>
    </row>
    <row r="60" spans="1:18" ht="15" customHeight="1" x14ac:dyDescent="0.25">
      <c r="M60" s="162"/>
      <c r="N60" s="37"/>
      <c r="O60" s="37"/>
      <c r="P60" s="53" t="s">
        <v>114</v>
      </c>
      <c r="Q60" s="37"/>
      <c r="R60" s="37"/>
    </row>
    <row r="61" spans="1:18" ht="15" customHeight="1" x14ac:dyDescent="0.25">
      <c r="M61" s="162"/>
      <c r="N61" s="40"/>
      <c r="O61" s="40"/>
      <c r="P61" s="40" t="s">
        <v>223</v>
      </c>
      <c r="Q61" s="40"/>
      <c r="R61" s="40"/>
    </row>
    <row r="62" spans="1:18" ht="15" customHeight="1" x14ac:dyDescent="0.25">
      <c r="M62" s="162"/>
      <c r="N62" s="37"/>
      <c r="O62" s="37"/>
      <c r="P62" s="37" t="s">
        <v>224</v>
      </c>
      <c r="Q62" s="37"/>
      <c r="R62" s="37"/>
    </row>
    <row r="63" spans="1:18" ht="15" customHeight="1" x14ac:dyDescent="0.25">
      <c r="M63" s="162"/>
      <c r="N63" s="40"/>
      <c r="O63" s="40"/>
      <c r="P63" s="40" t="s">
        <v>225</v>
      </c>
      <c r="Q63" s="40"/>
      <c r="R63" s="40"/>
    </row>
    <row r="64" spans="1:18" ht="15" customHeight="1" x14ac:dyDescent="0.25">
      <c r="M64" s="162"/>
      <c r="N64" s="37"/>
      <c r="O64" s="37"/>
      <c r="P64" s="37" t="s">
        <v>226</v>
      </c>
      <c r="Q64" s="37"/>
      <c r="R64" s="37"/>
    </row>
    <row r="65" spans="13:18" ht="15" customHeight="1" x14ac:dyDescent="0.25">
      <c r="M65" s="162"/>
      <c r="N65" s="40"/>
      <c r="O65" s="40"/>
      <c r="P65" s="40" t="s">
        <v>227</v>
      </c>
      <c r="Q65" s="40"/>
      <c r="R65" s="40"/>
    </row>
    <row r="66" spans="13:18" ht="15" customHeight="1" x14ac:dyDescent="0.25">
      <c r="M66" s="162"/>
      <c r="N66" s="37"/>
      <c r="O66" s="37"/>
      <c r="P66" s="37" t="s">
        <v>228</v>
      </c>
      <c r="Q66" s="37"/>
      <c r="R66" s="37"/>
    </row>
    <row r="67" spans="13:18" ht="15" customHeight="1" x14ac:dyDescent="0.25">
      <c r="M67" s="162"/>
      <c r="N67" s="40"/>
      <c r="O67" s="40"/>
      <c r="P67" s="40" t="s">
        <v>229</v>
      </c>
      <c r="Q67" s="40"/>
      <c r="R67" s="40"/>
    </row>
    <row r="68" spans="13:18" ht="15" customHeight="1" x14ac:dyDescent="0.25">
      <c r="M68" s="162"/>
      <c r="N68" s="37"/>
      <c r="O68" s="37"/>
      <c r="P68" s="37" t="s">
        <v>230</v>
      </c>
      <c r="Q68" s="37"/>
      <c r="R68" s="37"/>
    </row>
    <row r="69" spans="13:18" ht="15" customHeight="1" x14ac:dyDescent="0.25">
      <c r="M69" s="162"/>
      <c r="N69" s="40"/>
      <c r="O69" s="40"/>
      <c r="P69" s="40" t="s">
        <v>231</v>
      </c>
      <c r="Q69" s="40"/>
      <c r="R69" s="40"/>
    </row>
    <row r="70" spans="13:18" ht="15" customHeight="1" x14ac:dyDescent="0.25">
      <c r="M70" s="162"/>
      <c r="N70" s="37"/>
      <c r="O70" s="37"/>
      <c r="P70" s="37" t="s">
        <v>232</v>
      </c>
      <c r="Q70" s="37"/>
      <c r="R70" s="37"/>
    </row>
    <row r="71" spans="13:18" ht="15" customHeight="1" x14ac:dyDescent="0.25">
      <c r="M71" s="162"/>
      <c r="N71" s="40"/>
      <c r="O71" s="40"/>
      <c r="P71" s="40" t="s">
        <v>233</v>
      </c>
      <c r="Q71" s="40"/>
      <c r="R71" s="40"/>
    </row>
    <row r="72" spans="13:18" ht="15" customHeight="1" x14ac:dyDescent="0.25">
      <c r="M72" s="162"/>
      <c r="N72" s="37"/>
      <c r="O72" s="37"/>
      <c r="P72" s="37" t="s">
        <v>234</v>
      </c>
      <c r="Q72" s="37"/>
      <c r="R72" s="37"/>
    </row>
    <row r="73" spans="13:18" ht="15" customHeight="1" x14ac:dyDescent="0.25">
      <c r="M73" s="162"/>
      <c r="N73" s="40"/>
      <c r="O73" s="40"/>
      <c r="P73" s="40" t="s">
        <v>235</v>
      </c>
      <c r="Q73" s="40"/>
      <c r="R73" s="40"/>
    </row>
    <row r="74" spans="13:18" ht="15" customHeight="1" x14ac:dyDescent="0.25">
      <c r="M74" s="162"/>
      <c r="N74" s="37"/>
      <c r="O74" s="37"/>
      <c r="P74" s="37" t="s">
        <v>236</v>
      </c>
      <c r="Q74" s="37"/>
      <c r="R74" s="37"/>
    </row>
    <row r="75" spans="13:18" ht="15" customHeight="1" x14ac:dyDescent="0.25">
      <c r="M75" s="162"/>
      <c r="N75" s="40"/>
      <c r="O75" s="40"/>
      <c r="P75" s="40" t="s">
        <v>237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3" activePane="bottomLeft" state="frozen"/>
      <selection pane="bottomLeft" activeCell="H58" sqref="H58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25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25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25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25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25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25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25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25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25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25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25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25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25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25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25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25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25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25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25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25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25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25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25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25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25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25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25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25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25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25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25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25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25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25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25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25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25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25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25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25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25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25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25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25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25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25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25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25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25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25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25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25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25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25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25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25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25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25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25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25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25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25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25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25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25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25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25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25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25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25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25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25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25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25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25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25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25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25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25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25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25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25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25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25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25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25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25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25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25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25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25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25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25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15" sqref="F515"/>
    </sheetView>
  </sheetViews>
  <sheetFormatPr defaultColWidth="8.5703125" defaultRowHeight="15" x14ac:dyDescent="0.2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25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25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25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25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25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25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25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25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25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25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25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25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25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25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25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25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25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25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25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25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25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25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25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25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25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25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25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25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25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25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25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25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25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25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25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25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25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25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25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25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25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25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25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25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25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25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25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25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25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25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25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25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25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25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25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25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25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25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25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25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25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25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25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25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25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25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25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25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25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25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25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25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25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25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25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25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25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25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25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25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25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25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25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25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25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25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25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25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25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25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25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25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25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25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25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25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25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25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25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25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25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25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25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25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25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25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25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25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25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25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25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25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25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25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25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25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25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25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25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25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25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25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25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25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25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25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25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25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25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25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25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25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25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25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25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25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25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25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25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25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25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25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25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25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25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25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25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25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25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25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25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25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25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25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25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25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25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25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25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25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25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25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25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25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25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25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25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25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25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25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25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25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25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25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25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25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25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25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25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25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25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25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25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25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25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25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25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25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25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25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25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25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25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25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25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25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25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25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25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25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25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25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25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25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25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25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25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25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25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25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25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25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25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25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25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25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25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25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25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25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25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25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25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25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25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25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25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25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25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25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25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25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25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25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25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25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25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25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25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25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25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25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25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25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25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25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25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25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25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25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25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25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25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25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25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25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25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25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25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25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25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25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25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25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25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25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25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25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25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25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25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25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25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25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25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25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25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25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25">
      <c r="A527" s="165" t="s">
        <v>260</v>
      </c>
      <c r="B527" s="165"/>
      <c r="C527" s="165"/>
      <c r="D527" s="165"/>
      <c r="E527" s="165"/>
      <c r="F527" s="2">
        <f>SUM(F515:F526)</f>
        <v>53</v>
      </c>
      <c r="G527" s="2">
        <f>SUM(G515:G526)</f>
        <v>265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 x14ac:dyDescent="0.25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25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25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25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25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25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25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25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25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25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25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25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25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 x14ac:dyDescent="0.25">
      <c r="A541" s="166" t="s">
        <v>249</v>
      </c>
      <c r="B541" s="166"/>
      <c r="C541" s="166"/>
      <c r="D541" s="166"/>
      <c r="E541" s="166"/>
      <c r="F541" s="1">
        <f>F527+F540</f>
        <v>53</v>
      </c>
      <c r="G541" s="1">
        <f>G527+G540</f>
        <v>265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 x14ac:dyDescent="0.25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25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25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25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25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25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25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25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25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25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25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25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25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25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25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25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25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25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25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25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25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25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25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25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25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25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25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25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25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25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25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25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25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25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25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25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25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25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25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25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25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25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25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25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25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25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25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25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25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25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25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25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25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25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25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25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25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25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25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25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25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25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25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25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25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25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25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25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25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25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25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25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25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25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25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25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25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25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25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25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25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25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25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25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25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25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25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25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25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25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25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25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25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25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25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25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25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25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25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25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25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25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25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25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25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25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25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25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25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25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25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25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25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25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25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25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25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25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25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25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25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25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25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25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25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25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25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25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25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25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25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25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25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25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25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25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25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25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25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25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25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25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25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25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25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25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25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25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25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25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25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25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25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25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25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25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25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25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25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25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25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25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25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25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25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25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25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25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25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25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25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25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25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25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25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25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25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25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25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25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25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25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25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25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25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25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25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25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25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25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25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25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25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25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25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25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25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25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25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25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25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25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25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25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25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25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25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25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25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25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25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25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25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25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25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25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25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25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25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25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25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25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25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25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25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25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25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25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25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25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25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25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25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25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25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25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25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25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25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25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25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25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25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25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25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25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25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25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25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25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25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25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25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25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25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25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25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25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25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25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25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25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25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25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25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25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25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25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25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25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25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25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25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25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25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25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25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25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25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25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25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25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25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25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25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25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25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25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25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25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25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25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25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25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25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25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94" activePane="bottomLeft" state="frozen"/>
      <selection pane="bottomLeft" activeCell="E534" sqref="E534"/>
    </sheetView>
  </sheetViews>
  <sheetFormatPr defaultColWidth="8.5703125" defaultRowHeight="15" x14ac:dyDescent="0.2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25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25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25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25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25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25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25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25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25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25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25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25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25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25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25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0.29126134258694947</v>
      </c>
      <c r="R53" s="80" t="s">
        <v>305</v>
      </c>
      <c r="S53" s="67"/>
    </row>
    <row r="54" spans="1:20" ht="15.75" customHeight="1" x14ac:dyDescent="0.25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0.4301502314758372</v>
      </c>
      <c r="R54" s="2" t="s">
        <v>261</v>
      </c>
      <c r="S54" s="113">
        <v>352430</v>
      </c>
      <c r="T54" s="114"/>
    </row>
    <row r="55" spans="1:20" ht="18" customHeight="1" x14ac:dyDescent="0.25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0.51487245369806001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25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25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25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25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25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25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25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 x14ac:dyDescent="0.25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25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25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25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35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25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25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25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25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25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25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25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 x14ac:dyDescent="0.25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25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25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25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35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25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35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35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25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35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35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25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35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35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25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25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25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25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25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25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25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25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25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25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25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25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25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25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25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25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25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25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25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25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 x14ac:dyDescent="0.25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25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 x14ac:dyDescent="0.25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 x14ac:dyDescent="0.25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25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 x14ac:dyDescent="0.25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 x14ac:dyDescent="0.25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25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25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25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25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25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25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25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25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25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25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25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25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25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25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25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25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25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25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25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25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25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25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25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25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25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25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25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25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25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25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25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25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25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 x14ac:dyDescent="0.25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25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25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25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25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25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25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25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25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25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25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25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25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25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25">
      <c r="A527" s="156" t="s">
        <v>260</v>
      </c>
      <c r="B527" s="156"/>
      <c r="C527" s="156"/>
      <c r="D527" s="156"/>
      <c r="E527" s="156"/>
      <c r="F527" s="95"/>
      <c r="G527" s="96">
        <f>SUM(G515:G526)</f>
        <v>26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109.20000000000002</v>
      </c>
      <c r="L527" s="72"/>
      <c r="M527" s="72"/>
      <c r="N527" s="72"/>
      <c r="O527" s="72"/>
      <c r="P527" s="72"/>
      <c r="Q527" s="73">
        <f ca="1">IFERROR(SUM(Q515:Q526),"")</f>
        <v>1.3194444444444453E-2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2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2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25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57" t="s">
        <v>249</v>
      </c>
      <c r="B541" s="157"/>
      <c r="C541" s="157"/>
      <c r="D541" s="157"/>
      <c r="E541" s="157"/>
      <c r="F541" s="108"/>
      <c r="G541" s="109">
        <f>G527+G540</f>
        <v>26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109.20000000000002</v>
      </c>
      <c r="L541" s="76"/>
      <c r="M541" s="76"/>
      <c r="N541" s="76"/>
      <c r="O541" s="76"/>
      <c r="P541" s="76"/>
      <c r="Q541" s="77">
        <f ca="1">IFERROR(Q527+Q540,"")</f>
        <v>1.3194444444444453E-2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25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25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25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25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25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25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25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25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25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25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25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25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25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25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25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25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25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25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25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25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25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25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25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25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25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25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25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25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25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25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25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25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25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25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06" activePane="bottomLeft" state="frozen"/>
      <selection pane="bottomLeft" activeCell="K515" sqref="K515"/>
    </sheetView>
  </sheetViews>
  <sheetFormatPr defaultColWidth="8.5703125" defaultRowHeight="15" x14ac:dyDescent="0.2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25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25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25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25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25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25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25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25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25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25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25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25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25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25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25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25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 x14ac:dyDescent="0.25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25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25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25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25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25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25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25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25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25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25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25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25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25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25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25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25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25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25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25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25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25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25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25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25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25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25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25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25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25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25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25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25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25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25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25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25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25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25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25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25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25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25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25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25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25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25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25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25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25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25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25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25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25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25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25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25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25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25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25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25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25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25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25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25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25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25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25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25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25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25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25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25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25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25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25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25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25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25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25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25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25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 x14ac:dyDescent="0.25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 x14ac:dyDescent="0.25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25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 x14ac:dyDescent="0.25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25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25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25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25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25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25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25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25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25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25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25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25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25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25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25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25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25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25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25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25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25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25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 x14ac:dyDescent="0.25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25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25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25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25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25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25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25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25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25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25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25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25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25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25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25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25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25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25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25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25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25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25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25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25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25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25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 x14ac:dyDescent="0.25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 x14ac:dyDescent="0.25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25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25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25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25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25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25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25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25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25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25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25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25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25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25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25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25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25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25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25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25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25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 x14ac:dyDescent="0.25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25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25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25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25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25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25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25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25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25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25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 x14ac:dyDescent="0.25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25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25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25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25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25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25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25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25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25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25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25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25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 x14ac:dyDescent="0.25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25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 x14ac:dyDescent="0.25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25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25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25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25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25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25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25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25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25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25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25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 x14ac:dyDescent="0.25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25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25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25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25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25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25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25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25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25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25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25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25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25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25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25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25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25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25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25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25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25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25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 x14ac:dyDescent="0.25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25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25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 x14ac:dyDescent="0.25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25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25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25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25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25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25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25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25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25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25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25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25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25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25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25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25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25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25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 x14ac:dyDescent="0.25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25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25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 x14ac:dyDescent="0.25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25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25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25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 x14ac:dyDescent="0.25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25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25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25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25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25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25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25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25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64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25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6:K526" si="130">IF(G516="","",IF(E516="PC 17",G516*4.2,IF(E516="PC 19",G516*5,IF(E516="CB",G516*24,""))))</f>
        <v>29.400000000000002</v>
      </c>
      <c r="L516" s="70"/>
      <c r="M516" s="61"/>
      <c r="N516" s="70"/>
      <c r="O516" s="65"/>
      <c r="P516" s="65"/>
      <c r="Q516" s="66" t="str">
        <f t="shared" ca="1" si="128"/>
        <v/>
      </c>
      <c r="R516" s="63"/>
      <c r="S516" s="81"/>
    </row>
    <row r="517" spans="1:20" ht="15" customHeight="1" x14ac:dyDescent="0.25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30"/>
        <v/>
      </c>
      <c r="L517" s="70"/>
      <c r="M517" s="70"/>
      <c r="N517" s="70"/>
      <c r="O517" s="65"/>
      <c r="P517" s="65"/>
      <c r="Q517" s="71" t="str">
        <f t="shared" ca="1" si="128"/>
        <v/>
      </c>
      <c r="R517" s="63"/>
      <c r="S517" s="81"/>
    </row>
    <row r="518" spans="1:20" ht="15" customHeight="1" x14ac:dyDescent="0.25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30"/>
        <v/>
      </c>
      <c r="L518" s="70"/>
      <c r="M518" s="61"/>
      <c r="N518" s="61"/>
      <c r="O518" s="65"/>
      <c r="P518" s="65"/>
      <c r="Q518" s="66" t="str">
        <f t="shared" ca="1" si="128"/>
        <v/>
      </c>
      <c r="R518" s="63"/>
      <c r="S518" s="81"/>
    </row>
    <row r="519" spans="1:20" ht="15" customHeight="1" x14ac:dyDescent="0.25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30"/>
        <v/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25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30"/>
        <v/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25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30"/>
        <v/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25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30"/>
        <v/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25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25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25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25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25">
      <c r="A527" s="156" t="s">
        <v>260</v>
      </c>
      <c r="B527" s="156"/>
      <c r="C527" s="156"/>
      <c r="D527" s="156"/>
      <c r="E527" s="156"/>
      <c r="F527" s="95"/>
      <c r="G527" s="96">
        <f>SUM(G515:G526)</f>
        <v>13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54.600000000000009</v>
      </c>
      <c r="L527" s="72"/>
      <c r="M527" s="72"/>
      <c r="N527" s="72"/>
      <c r="O527" s="72"/>
      <c r="P527" s="72"/>
      <c r="Q527" s="73">
        <f ca="1">IFERROR(SUM(Q515:Q526),"")</f>
        <v>1.2500000000000011E-2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25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25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25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25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25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25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25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25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25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25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25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25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57" t="s">
        <v>249</v>
      </c>
      <c r="B541" s="157"/>
      <c r="C541" s="157"/>
      <c r="D541" s="157"/>
      <c r="E541" s="157"/>
      <c r="F541" s="108"/>
      <c r="G541" s="109">
        <f>G527+G540</f>
        <v>13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54.600000000000009</v>
      </c>
      <c r="L541" s="76"/>
      <c r="M541" s="76"/>
      <c r="N541" s="76"/>
      <c r="O541" s="76"/>
      <c r="P541" s="76"/>
      <c r="Q541" s="77">
        <f ca="1">IFERROR(Q527+Q540,"")</f>
        <v>1.2500000000000011E-2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25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25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25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25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25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25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25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25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25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25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25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25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25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25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25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25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25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25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25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25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25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25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25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25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25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25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25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25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25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25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25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25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25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25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25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25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25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25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25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25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25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25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25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25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25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25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25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25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25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25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25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25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25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25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25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25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25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25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25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25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25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25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25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25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25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25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25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25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25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25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25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25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25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25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25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25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25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25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25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25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25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25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25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25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25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25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25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25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25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25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25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25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25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25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25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25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25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25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25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25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25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25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25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25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25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25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25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25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25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25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25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25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25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25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25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25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25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25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25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25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25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25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25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25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25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25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25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25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25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25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25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25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25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25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25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25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25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25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25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25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25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25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25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25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25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25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25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25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25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25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25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25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25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25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25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25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25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25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25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25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25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25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25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25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25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25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25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25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25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25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25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25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25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25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25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25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25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25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25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25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25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25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25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25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25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25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25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25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25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25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25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25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25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25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25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25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25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25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25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25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25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25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25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25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25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25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25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25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25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25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25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25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25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25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25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25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25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25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25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25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25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25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25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25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25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25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25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25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25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25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25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25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25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25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25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25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25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25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25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25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25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25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25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25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25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25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25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25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25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25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25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25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25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25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25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25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25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25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25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25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25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25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25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25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4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N497" sqref="N497"/>
    </sheetView>
  </sheetViews>
  <sheetFormatPr defaultColWidth="8.5703125" defaultRowHeight="15" x14ac:dyDescent="0.2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25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25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25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25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25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25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25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25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25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25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25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25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25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25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25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 x14ac:dyDescent="0.25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 x14ac:dyDescent="0.25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 x14ac:dyDescent="0.25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 x14ac:dyDescent="0.25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25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25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 x14ac:dyDescent="0.25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25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25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25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25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25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25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25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25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25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25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25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25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25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25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25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25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25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25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25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25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25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25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 x14ac:dyDescent="0.25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25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25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25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25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25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25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25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25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25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25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25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25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25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 x14ac:dyDescent="0.25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 x14ac:dyDescent="0.25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25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25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25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25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25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25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25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25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 x14ac:dyDescent="0.25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25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25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 x14ac:dyDescent="0.25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25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25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25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25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25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25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25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25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25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25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25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25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25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25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25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25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25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25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25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25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25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25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25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25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 x14ac:dyDescent="0.25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25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25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25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25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25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25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25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25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25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25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25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25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25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25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25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25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 x14ac:dyDescent="0.25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25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25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25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25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25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25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25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25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25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 x14ac:dyDescent="0.25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25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25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25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25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 x14ac:dyDescent="0.25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25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25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25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25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25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25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25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25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 x14ac:dyDescent="0.25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 x14ac:dyDescent="0.25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25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25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25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25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25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25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 x14ac:dyDescent="0.25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25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25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25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 x14ac:dyDescent="0.25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 x14ac:dyDescent="0.25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25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25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25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25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25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25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25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25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25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25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25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25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25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25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25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25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25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 x14ac:dyDescent="0.25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25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25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25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25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25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25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 x14ac:dyDescent="0.25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25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25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25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25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25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25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25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25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25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25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25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25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25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 x14ac:dyDescent="0.25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25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25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25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25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25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25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25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25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25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25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25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 x14ac:dyDescent="0.25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25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 x14ac:dyDescent="0.25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25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25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25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25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25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25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25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25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25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25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25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25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25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 x14ac:dyDescent="0.25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 x14ac:dyDescent="0.25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25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25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25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25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25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25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25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25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25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 x14ac:dyDescent="0.25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 x14ac:dyDescent="0.25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25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25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25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25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25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25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25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25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25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25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25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25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25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25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25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25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 x14ac:dyDescent="0.25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25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25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25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25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25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25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25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25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25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25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25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25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25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25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25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25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25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25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25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25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25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25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25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25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25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25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25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25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25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25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25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25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25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25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25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25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25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25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25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25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25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25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25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25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25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25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25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25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25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25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25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25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25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25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25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25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25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25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25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25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25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25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25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25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25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25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25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25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25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25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25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25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25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25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25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25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25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25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25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25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25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25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25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25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25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25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25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25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25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25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25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25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25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25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25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25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 x14ac:dyDescent="0.25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 x14ac:dyDescent="0.25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25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25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25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25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25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25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25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25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 x14ac:dyDescent="0.25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25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 x14ac:dyDescent="0.25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25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25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25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25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25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25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25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25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25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25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25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25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25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 x14ac:dyDescent="0.25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25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25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25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25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25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25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25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25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25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25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25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 x14ac:dyDescent="0.25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 x14ac:dyDescent="0.25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25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25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25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25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25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25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25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25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 x14ac:dyDescent="0.25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25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25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25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25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25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25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25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25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25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25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25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25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 x14ac:dyDescent="0.25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25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25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25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25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25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25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25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25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25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25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25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25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25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25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25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 x14ac:dyDescent="0.25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25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25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25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25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25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25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25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25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25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25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25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25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25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25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25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25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25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25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25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25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25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25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25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 x14ac:dyDescent="0.25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25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25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25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 x14ac:dyDescent="0.25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25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25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25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25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25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25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25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25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25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25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25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25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25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25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25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25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25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25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25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25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25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25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25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25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 x14ac:dyDescent="0.25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25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25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 x14ac:dyDescent="0.25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25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25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25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25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25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25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25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25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25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25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25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25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25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25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25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25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25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25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25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25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25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25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25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25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 x14ac:dyDescent="0.25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25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25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25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25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25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25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25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25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25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25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25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25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25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25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25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25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25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25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25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25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25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25">
      <c r="A527" s="156" t="s">
        <v>260</v>
      </c>
      <c r="B527" s="156"/>
      <c r="C527" s="156"/>
      <c r="D527" s="156"/>
      <c r="E527" s="156"/>
      <c r="F527" s="95"/>
      <c r="G527" s="96">
        <f>SUM(G515:G526)</f>
        <v>35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147</v>
      </c>
      <c r="L527" s="72"/>
      <c r="M527" s="72"/>
      <c r="N527" s="72"/>
      <c r="O527" s="134"/>
      <c r="P527" s="134"/>
      <c r="Q527" s="73">
        <f ca="1">IFERROR(SUM(Q515:Q526),"")</f>
        <v>1.6666666666666663E-2</v>
      </c>
      <c r="R527" s="2" t="s">
        <v>261</v>
      </c>
      <c r="S527" s="74"/>
      <c r="T527" s="99">
        <f>IFERROR(J527,"")</f>
        <v>0</v>
      </c>
    </row>
    <row r="528" spans="1:20" ht="15" customHeight="1" x14ac:dyDescent="0.25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25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25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25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25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25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25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25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25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25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25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25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25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25">
      <c r="A541" s="157" t="s">
        <v>249</v>
      </c>
      <c r="B541" s="157"/>
      <c r="C541" s="157"/>
      <c r="D541" s="157"/>
      <c r="E541" s="157"/>
      <c r="F541" s="108"/>
      <c r="G541" s="109">
        <f>G527+G540</f>
        <v>35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147</v>
      </c>
      <c r="L541" s="76"/>
      <c r="M541" s="76"/>
      <c r="N541" s="76"/>
      <c r="O541" s="135"/>
      <c r="P541" s="135"/>
      <c r="Q541" s="77">
        <f ca="1">IFERROR(Q527+Q540,"")</f>
        <v>1.6666666666666663E-2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25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25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25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25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25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25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25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25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25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25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25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25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25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25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25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25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25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25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25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25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25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25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25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25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25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25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25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25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25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25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25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25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25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25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25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25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25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25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25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25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25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25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25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25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25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25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25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25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25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25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25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25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25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25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25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25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25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25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25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25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25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25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25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25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25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25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25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25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25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25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25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25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25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25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25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25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25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25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25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25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25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25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25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25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25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25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25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25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25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25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25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25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25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25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25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25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25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25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25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25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25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25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25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25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25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25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25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25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25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25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25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25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25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25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25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25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25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25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25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25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25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25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25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25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25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25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25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25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25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25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25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25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25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25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25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25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25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25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25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25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25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25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25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25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25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25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25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25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25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25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25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25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25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25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25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25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25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25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25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25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25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25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25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25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25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25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25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25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25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25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25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25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25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25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25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25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25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25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25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25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25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25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25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25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25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25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25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25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25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25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25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25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25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25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25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25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25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25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25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25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25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25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25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25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25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25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25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25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25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25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25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25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25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25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25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25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25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25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25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25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25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25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25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25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25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25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25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25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25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25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25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25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25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25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25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25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25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25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25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25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25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25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25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25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25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25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25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25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25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25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25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25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25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25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25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25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25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25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25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25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25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25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25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25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25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25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25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25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25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25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25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25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25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25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25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25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25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25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25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25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25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25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25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25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25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25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25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25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25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25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25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25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25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25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25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25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2026-08-20T13:54:45Z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