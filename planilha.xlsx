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751" documentId="8_{AF585B22-221D-4780-BB9C-493D365A6A02}" xr6:coauthVersionLast="47" xr6:coauthVersionMax="47" xr10:uidLastSave="{12E1BFBB-EEB2-4AD1-944C-06BEFE6D8EBC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95" i="6" l="1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<sst xmlns="http://schemas.openxmlformats.org/spreadsheetml/2006/main" count="9313" uniqueCount="380">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</sst>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N29" sqref="N29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67260151</v>
      </c>
      <c r="D35" s="13">
        <f>IFERROR(SUM(D4:D34),"")</f>
        <v>27105150</v>
      </c>
      <c r="E35" s="13">
        <f>IFERROR(SUM(E4:E34),"")</f>
        <v>14975420</v>
      </c>
      <c r="F35" s="13">
        <f>IFERROR(SUM(F4:F34),"")</f>
        <v>29297020</v>
      </c>
      <c r="G35" s="13">
        <f>IFERROR(SUM(G4:G34),"")</f>
        <v>71377590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81" activePane="bottomLeft" state="frozen"/>
      <selection pane="bottomLeft" activeCell="F603" sqref="F60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9.28515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239</v>
      </c>
      <c r="G608" s="36">
        <f>SUM(G596:G607)</f>
        <v>1195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239</v>
      </c>
      <c r="G622" s="40">
        <f>G608+G621</f>
        <v>1195</v>
      </c>
      <c r="H622" s="41"/>
      <c r="I622" s="41"/>
      <c r="J622" s="41"/>
      <c r="K622" s="41"/>
      <c r="L622" s="41"/>
      <c r="M622" s="42">
        <f ca="1">IFERROR(M608+M621,"")</f>
        <v>2.6388888888888906E-2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81" activePane="bottomLeft" state="frozen"/>
      <selection pane="bottomLeft" activeCell="K600" sqref="K60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9.42578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262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263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264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265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266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267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268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269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270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271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272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273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277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278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280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281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275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283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284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285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286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290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291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0.35879733796173241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0.51643622685062129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0.62615844907284346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275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292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293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294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0.33726956018654164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0.50810289351987503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0.65324178240876396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296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297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298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299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300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301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302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303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304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305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306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/>
      <c r="I599" s="33"/>
      <c r="J599" s="33"/>
      <c r="K599" s="29">
        <v>0.59722222222222221</v>
      </c>
      <c r="L599" s="29"/>
      <c r="M599" s="35">
        <f t="shared" ca="1" si="133"/>
        <v>1.1584490785025991E-3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85</v>
      </c>
      <c r="G608" s="36">
        <f>SUM(G596:G607)</f>
        <v>357.00000000000006</v>
      </c>
      <c r="H608" s="37"/>
      <c r="I608" s="37"/>
      <c r="J608" s="37"/>
      <c r="K608" s="37"/>
      <c r="L608" s="37"/>
      <c r="M608" s="38">
        <f ca="1">IFERROR(SUM(M596:M607),"")</f>
        <v>6.0186226856280389E-2</v>
      </c>
      <c r="N608" s="36" t="s">
        <v>233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77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85</v>
      </c>
      <c r="G622" s="40">
        <f>G608+G621</f>
        <v>357.00000000000006</v>
      </c>
      <c r="H622" s="41"/>
      <c r="I622" s="41"/>
      <c r="J622" s="41"/>
      <c r="K622" s="41"/>
      <c r="L622" s="41"/>
      <c r="M622" s="42">
        <f ca="1">IFERROR(M608+M621,"")</f>
        <v>6.0186226856280389E-2</v>
      </c>
      <c r="N622" s="40" t="s">
        <v>236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74" zoomScale="50" zoomScaleNormal="50" workbookViewId="0">
      <selection activeCell="F603" sqref="F60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8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308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309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310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311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297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312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272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313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274</v>
      </c>
      <c r="K141" s="29">
        <v>0.71597222222222223</v>
      </c>
      <c r="L141" s="29" t="s">
        <v>314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316</v>
      </c>
      <c r="N166" s="27" t="s">
        <v>317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318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319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320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324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325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313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294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328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329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330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331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333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334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73</v>
      </c>
      <c r="G608" s="36">
        <f>SUM(G596:G607)</f>
        <v>306.60000000000002</v>
      </c>
      <c r="H608" s="37"/>
      <c r="I608" s="37"/>
      <c r="J608" s="37"/>
      <c r="K608" s="37"/>
      <c r="L608" s="37"/>
      <c r="M608" s="38">
        <f ca="1">IFERROR(SUM(M596:M607),"")</f>
        <v>3.3333333333333326E-2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73</v>
      </c>
      <c r="G622" s="40">
        <f>G608+G621</f>
        <v>306.60000000000002</v>
      </c>
      <c r="H622" s="41"/>
      <c r="I622" s="41"/>
      <c r="J622" s="41"/>
      <c r="K622" s="41"/>
      <c r="L622" s="41"/>
      <c r="M622" s="42">
        <f ca="1">IFERROR(M608+M621,"")</f>
        <v>3.3333333333333326E-2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581" activePane="bottomLeft" state="frozen"/>
      <selection pane="bottomLeft" activeCell="K602" sqref="K60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48.71093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336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297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337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338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339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340</v>
      </c>
      <c r="L58" s="29">
        <v>0.54097222222222219</v>
      </c>
      <c r="M58" s="30" t="str">
        <f t="shared" ca="1" si="13"/>
        <v/>
      </c>
      <c r="N58" s="27" t="s">
        <v>341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308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342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343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344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345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346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347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348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349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0.34907511574419914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272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0.54838067129975476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0.91574178241086579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350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313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352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353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354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355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356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357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359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360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361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269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297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363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313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365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352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366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367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368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370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371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345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345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372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373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374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375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376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377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378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379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/>
      <c r="I601" s="33"/>
      <c r="J601" s="33"/>
      <c r="K601" s="29">
        <v>0.59791666666666665</v>
      </c>
      <c r="L601" s="29"/>
      <c r="M601" s="35">
        <f t="shared" ca="1" si="133"/>
        <v>4.6400463179452345E-4</v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117</v>
      </c>
      <c r="G608" s="36">
        <f>SUM(G596:G607)</f>
        <v>491.40000000000003</v>
      </c>
      <c r="H608" s="37"/>
      <c r="I608" s="37"/>
      <c r="J608" s="37"/>
      <c r="K608" s="61"/>
      <c r="L608" s="61"/>
      <c r="M608" s="38">
        <f ca="1">IFERROR(SUM(M596:M607),"")</f>
        <v>3.1019560187350137E-2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117</v>
      </c>
      <c r="G622" s="40">
        <f>G608+G621</f>
        <v>491.40000000000003</v>
      </c>
      <c r="H622" s="41"/>
      <c r="I622" s="41"/>
      <c r="J622" s="41"/>
      <c r="K622" s="63"/>
      <c r="L622" s="63"/>
      <c r="M622" s="42">
        <f ca="1">IFERROR(M608+M621,"")</f>
        <v>3.1019560187350137E-2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2026-07-23T18:22:11Z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