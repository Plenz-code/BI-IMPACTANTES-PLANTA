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33" documentId="8_{1D11E9C4-FEA4-4128-910F-91CB6BBF9255}" xr6:coauthVersionLast="47" xr6:coauthVersionMax="47" xr10:uidLastSave="{FD85E401-74D3-4BDF-A790-FC15DFE22879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<sst xmlns="http://schemas.openxmlformats.org/spreadsheetml/2006/main" count="8047" uniqueCount="364">
  <si>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</si>
  <si>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</si>
  <si>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</si>
  <si>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</si>
  <si>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</si>
  <si>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</si>
  <si>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</si>
  <si>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</si>
  <si>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</si>
  <si>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</si>
  <si>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</si>
  <si>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</si>
  <si>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</si>
  <si>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</si>
  <si>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</si>
  <si>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</si>
  <si>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</si>
  <si>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</si>
  <si>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</si>
  <si>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</si>
  <si>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</si>
  <si>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</si>
  <si>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</si>
  <si>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</si>
  <si>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</si>
  <si>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</si>
  <si>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</si>
  <si>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</si>
  <si>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</si>
  <si>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</si>
  <si>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</si>
  <si>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</si>
  <si>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</si>
  <si>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</si>
  <si>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</si>
  <si>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</si>
  <si>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</si>
  <si>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</si>
  <si>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</si>
  <si>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</si>
  <si>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</si>
  <si>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</si>
  <si>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</si>
  <si>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</si>
  <si>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</si>
  <si>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</si>
  <si>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</si>
  <si>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</si>
  <si>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</si>
  <si>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</si>
  <si>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</si>
  <si>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</si>
  <si>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</si>
  <si>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</si>
  <si>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</si>
  <si>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</si>
  <si>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</si>
  <si>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</si>
  <si>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</si>
  <si>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</si>
  <si>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</si>
  <si>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</si>
  <si>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</si>
  <si>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</si>
  <si>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</si>
  <si>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</si>
  <si>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</si>
  <si>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</si>
  <si>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</si>
  <si>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</si>
  <si>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</si>
  <si>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</si>
  <si>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</si>
  <si>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</si>
  <si>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</si>
  <si>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</si>
  <si>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</si>
  <si>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</si>
  <si>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</si>
  <si>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</si>
  <si>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</si>
  <si>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</si>
  <si>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</si>
  <si>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</si>
  <si>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</si>
  <si>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</si>
  <si>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</si>
  <si>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</si>
  <si>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</si>
  <si>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</si>
  <si>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</si>
  <si>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</si>
  <si>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</si>
  <si>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</si>
  <si>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</si>
  <si>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</si>
  <si>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</si>
  <si>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</si>
  <si>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</si>
  <si>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</si>
  <si>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</si>
  <si>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</si>
  <si>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</si>
  <si>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</si>
  <si>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</si>
  <si>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</si>
  <si>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</si>
  <si>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</si>
  <si>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</si>
  <si>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</si>
  <si>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</si>
  <si>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</si>
  <si>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</si>
  <si>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</si>
  <si>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</si>
  <si>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</si>
  <si>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</si>
  <si>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</si>
  <si>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</si>
  <si>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</si>
  <si>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</si>
  <si>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</si>
  <si>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</si>
  <si>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</si>
  <si>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</si>
  <si>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</si>
  <si>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</si>
  <si>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</si>
  <si>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</si>
  <si>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</si>
  <si>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</si>
  <si>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</si>
  <si>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</si>
  <si>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</si>
  <si>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</si>
  <si>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</si>
  <si>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</si>
  <si>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</si>
  <si>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</si>
  <si>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</si>
  <si>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</si>
  <si>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</si>
  <si>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</si>
  <si>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</si>
  <si>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</si>
  <si>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</si>
  <si>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</si>
  <si>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</si>
  <si>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</si>
  <si>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</si>
  <si>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</si>
  <si>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</si>
  <si>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</si>
  <si>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</si>
  <si>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</si>
  <si>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</si>
  <si>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</si>
  <si>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</si>
  <si>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</si>
  <si>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</si>
  <si>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</si>
  <si>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</si>
  <si>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</si>
  <si>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</si>
  <si>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</si>
  <si>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</si>
  <si>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</si>
  <si>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</si>
  <si>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</si>
  <si>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</si>
  <si>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</si>
  <si>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</si>
  <si>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</si>
  <si>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</si>
  <si>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</si>
  <si>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</si>
  <si>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</si>
  <si>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</si>
  <si>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</si>
  <si>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</si>
  <si>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</si>
  <si>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</si>
  <si>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</si>
  <si>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</si>
  <si>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</si>
  <si>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</si>
  <si>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</si>
  <si>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</si>
  <si>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</si>
  <si>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</si>
  <si>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</si>
  <si>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</si>
  <si>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</si>
  <si>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</si>
  <si>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</si>
  <si>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</si>
  <si>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</si>
  <si>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</si>
  <si>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</si>
  <si>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</si>
  <si>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</si>
  <si>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</si>
  <si>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</si>
  <si>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</si>
  <si>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</si>
  <si>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</si>
  <si>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</si>
  <si>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</si>
  <si>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</si>
  <si>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</si>
  <si>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</si>
  <si>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</si>
  <si>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</si>
  <si>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</si>
  <si>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</si>
  <si>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</si>
  <si>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</si>
  <si>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</si>
  <si>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</si>
  <si>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</si>
  <si>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</si>
  <si>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</si>
  <si>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</si>
  <si>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</si>
  <si>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</si>
  <si>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</si>
  <si>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 xml:space="preserve"> 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</si>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</sst>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5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/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172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173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174</v>
      </c>
      <c r="L48" s="3"/>
      <c r="M48" s="3"/>
    </row>
    <row r="49" spans="1:13" ht="18" customHeight="1">
      <c r="H49" s="103"/>
      <c r="I49" s="4"/>
      <c r="J49" s="4"/>
      <c r="K49" s="4" t="s">
        <v>175</v>
      </c>
      <c r="L49" s="4"/>
      <c r="M49" s="4"/>
    </row>
    <row r="50" spans="1:13" ht="21" customHeight="1">
      <c r="A50" s="6" t="s">
        <v>176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4" sqref="E73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179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188</v>
      </c>
      <c r="N27" s="20">
        <v>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188</v>
      </c>
      <c r="N54" s="20">
        <v>125660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188</v>
      </c>
      <c r="N81" s="20">
        <v>580300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188</v>
      </c>
      <c r="N108" s="20">
        <v>652520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>
        <v>909050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188</v>
      </c>
      <c r="N162" s="27">
        <v>1048880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188</v>
      </c>
      <c r="N189" s="20">
        <v>797540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188</v>
      </c>
      <c r="N216" s="28">
        <v>203080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188</v>
      </c>
      <c r="N270" s="20">
        <f>346400+269080</f>
        <v>615480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188</v>
      </c>
      <c r="N297" s="20">
        <f>35160+383610</f>
        <v>418770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188</v>
      </c>
      <c r="N324" s="20">
        <f>411220+466620</f>
        <v>877840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188</v>
      </c>
      <c r="N351" s="20"/>
    </row>
    <row r="352" spans="1:14" ht="18" customHeight="1">
      <c r="A352" s="98" t="s">
        <v>190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188</v>
      </c>
      <c r="N378" s="20">
        <v>1299920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188</v>
      </c>
      <c r="N405" s="20">
        <v>1342790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188</v>
      </c>
      <c r="N432" s="20">
        <v>963120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188</v>
      </c>
      <c r="N459" s="20">
        <v>534910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188</v>
      </c>
      <c r="N486" s="20">
        <v>557170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188</v>
      </c>
      <c r="N513" s="20">
        <v>701090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188</v>
      </c>
      <c r="N540" s="20">
        <v>915770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188</v>
      </c>
      <c r="N567" s="20">
        <v>636740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188</v>
      </c>
      <c r="N594" s="20">
        <v>394820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172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188</v>
      </c>
      <c r="N621" s="20">
        <v>587370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173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188</v>
      </c>
      <c r="N648" s="20">
        <v>635110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188</v>
      </c>
      <c r="N675" s="20">
        <v>1608610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173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175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188</v>
      </c>
      <c r="N702" s="20">
        <f>316300+609860</f>
        <v>926160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188</v>
      </c>
      <c r="N729" s="20">
        <v>706600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0.3888888888888889</v>
      </c>
      <c r="L732" s="70">
        <f t="shared" si="166"/>
        <v>2.9166666666666674E-2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/>
      <c r="H733" s="16"/>
      <c r="I733" s="16"/>
      <c r="J733" s="13" t="s">
        <v>226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52</v>
      </c>
      <c r="F743" s="19">
        <f>SUM(F731:F742)</f>
        <v>260</v>
      </c>
      <c r="G743" s="18"/>
      <c r="H743" s="18"/>
      <c r="I743" s="18"/>
      <c r="J743" s="18"/>
      <c r="K743" s="18"/>
      <c r="L743" s="72">
        <f>IFERROR(SUM(L731:L742),"")</f>
        <v>4.9999999999999989E-2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189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22" t="s">
        <v>190</v>
      </c>
      <c r="B757" s="22"/>
      <c r="C757" s="10"/>
      <c r="D757" s="22"/>
      <c r="E757" s="22">
        <f>E743+E756</f>
        <v>52</v>
      </c>
      <c r="F757" s="22">
        <f>F743+F756</f>
        <v>260</v>
      </c>
      <c r="G757" s="21"/>
      <c r="H757" s="21"/>
      <c r="I757" s="21"/>
      <c r="J757" s="21"/>
      <c r="K757" s="21"/>
      <c r="L757" s="73">
        <f>IFERROR(L743+L756,"")</f>
        <v>4.9999999999999989E-2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187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M732" sqref="M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227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188</v>
      </c>
      <c r="N27" s="20">
        <v>1035240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188</v>
      </c>
      <c r="N54" s="20">
        <v>871960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188</v>
      </c>
      <c r="N81" s="20">
        <v>482250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188</v>
      </c>
      <c r="N108" s="20">
        <v>529500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188</v>
      </c>
      <c r="N135" s="20">
        <v>666150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188</v>
      </c>
      <c r="N162" s="35">
        <v>183240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188</v>
      </c>
      <c r="N216" s="28">
        <v>525070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244000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188</v>
      </c>
      <c r="N270" s="20">
        <v>8130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188</v>
      </c>
      <c r="N297" s="20">
        <f>229280+228660</f>
        <v>457940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188</v>
      </c>
      <c r="N324" s="20">
        <f>217310+197670</f>
        <v>414980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188</v>
      </c>
      <c r="N351" s="20">
        <f>135270+304860</f>
        <v>440130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188</v>
      </c>
      <c r="N378" s="20">
        <f>291750+291000</f>
        <v>582750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188</v>
      </c>
      <c r="N405" s="20">
        <v>305810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188</v>
      </c>
      <c r="N432" s="20">
        <v>522180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188</v>
      </c>
      <c r="N459" s="20">
        <v>560220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188</v>
      </c>
      <c r="N486" s="20">
        <v>400000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188</v>
      </c>
      <c r="N513" s="20">
        <f>1031250+71560</f>
        <v>1102810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188</v>
      </c>
      <c r="N540" s="20">
        <v>504470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188</v>
      </c>
      <c r="N567" s="20">
        <v>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188</v>
      </c>
      <c r="N594" s="20">
        <v>258960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188</v>
      </c>
      <c r="N621" s="20">
        <v>687740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188</v>
      </c>
      <c r="N648" s="20">
        <f>47050+58630</f>
        <v>105680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188</v>
      </c>
      <c r="N675" s="20">
        <v>546550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188</v>
      </c>
      <c r="N702" s="20">
        <f>430070+116100</f>
        <v>546170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188</v>
      </c>
      <c r="N729" s="20">
        <v>477920</v>
      </c>
    </row>
    <row r="730" spans="1:14" ht="18" customHeight="1">
      <c r="A730" s="98" t="s">
        <v>190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4">IFERROR(IF(K731="","",IF(K731&gt;=J731,K731-J731,K731+1-J731)),"")</f>
        <v/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34</v>
      </c>
      <c r="F743" s="19">
        <f>SUM(F731:F742)</f>
        <v>136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34</v>
      </c>
      <c r="F757" s="22">
        <f>F743+F756</f>
        <v>136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M732" sqref="M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298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188</v>
      </c>
      <c r="N27" s="20"/>
    </row>
    <row r="28" spans="1:14" ht="18" customHeight="1">
      <c r="A28" s="98" t="s">
        <v>190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188</v>
      </c>
      <c r="N54" s="20"/>
    </row>
    <row r="55" spans="1:14" ht="18" customHeight="1">
      <c r="A55" s="98" t="s">
        <v>190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188</v>
      </c>
      <c r="N81" s="20">
        <v>206440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188</v>
      </c>
      <c r="N108" s="20"/>
    </row>
    <row r="109" spans="1:14" ht="18" customHeight="1">
      <c r="A109" s="98" t="s">
        <v>190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/>
    </row>
    <row r="136" spans="1:14" ht="18" customHeight="1">
      <c r="A136" s="98" t="s">
        <v>190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188</v>
      </c>
      <c r="N162" s="20">
        <v>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188</v>
      </c>
      <c r="N216" s="20"/>
    </row>
    <row r="217" spans="1:14" ht="18" customHeight="1">
      <c r="A217" s="98" t="s">
        <v>190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180000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188</v>
      </c>
      <c r="N270" s="20">
        <f>103170+137770</f>
        <v>240940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188</v>
      </c>
      <c r="N297" s="20">
        <f>110740+118380</f>
        <v>229120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188</v>
      </c>
      <c r="N324" s="20">
        <f>119730+227060</f>
        <v>346790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188</v>
      </c>
      <c r="N351" s="20">
        <f>50730+24450</f>
        <v>75180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188</v>
      </c>
      <c r="N378" s="20">
        <f>151130+160740</f>
        <v>311870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188</v>
      </c>
      <c r="N405" s="20">
        <v>340530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188</v>
      </c>
      <c r="N432" s="20">
        <v>169230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188</v>
      </c>
      <c r="N459" s="20">
        <v>221750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188</v>
      </c>
      <c r="N486" s="20">
        <v>240000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188</v>
      </c>
      <c r="N513" s="20">
        <v>3930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188</v>
      </c>
      <c r="N540" s="20">
        <v>304230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188</v>
      </c>
      <c r="N567" s="20">
        <v>437260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188</v>
      </c>
      <c r="N594" s="20">
        <v>269570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188</v>
      </c>
      <c r="N621" s="20">
        <v>176650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188</v>
      </c>
      <c r="N648" s="20">
        <f>154590+56700</f>
        <v>211290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188</v>
      </c>
      <c r="N675" s="20">
        <v>234010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188</v>
      </c>
      <c r="N702" s="20">
        <f>151740+85690</f>
        <v>237430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188</v>
      </c>
      <c r="N729" s="20">
        <v>377030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3">IFERROR(IF(K731="","",IF(K731&gt;=J731,K731-J731,K731+1-J731)),"")</f>
        <v/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13</v>
      </c>
      <c r="F743" s="19">
        <f>SUM(F731:F742)</f>
        <v>52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13</v>
      </c>
      <c r="F757" s="22">
        <f>F743+F756</f>
        <v>52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K733" sqref="K73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57" t="s">
        <v>13</v>
      </c>
      <c r="E1" s="8" t="s">
        <v>178</v>
      </c>
      <c r="F1" s="8" t="s">
        <v>314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315</v>
      </c>
      <c r="I2" s="10" t="s">
        <v>316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315</v>
      </c>
      <c r="I3" s="16" t="s">
        <v>316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315</v>
      </c>
      <c r="I4" s="10" t="s">
        <v>316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315</v>
      </c>
      <c r="I5" s="16" t="s">
        <v>316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315</v>
      </c>
      <c r="I6" s="10" t="s">
        <v>316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315</v>
      </c>
      <c r="I7" s="16" t="s">
        <v>316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315</v>
      </c>
      <c r="I8" s="10" t="s">
        <v>316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315</v>
      </c>
      <c r="I9" s="16" t="s">
        <v>316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315</v>
      </c>
      <c r="I10" s="10" t="s">
        <v>316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315</v>
      </c>
      <c r="I11" s="16" t="s">
        <v>316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315</v>
      </c>
      <c r="I12" s="10" t="s">
        <v>316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315</v>
      </c>
      <c r="I13" s="16" t="s">
        <v>316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188</v>
      </c>
      <c r="N27" s="20">
        <v>537710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319</v>
      </c>
      <c r="I33" s="16" t="s">
        <v>320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186</v>
      </c>
      <c r="H36" s="10" t="s">
        <v>321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188</v>
      </c>
      <c r="N54" s="20">
        <v>800250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321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188</v>
      </c>
      <c r="N81" s="20">
        <v>423590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188</v>
      </c>
      <c r="N108" s="20">
        <v>784300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186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188</v>
      </c>
      <c r="N135" s="20">
        <v>527600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188</v>
      </c>
      <c r="N162" s="20">
        <v>215370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188</v>
      </c>
      <c r="N189" s="20">
        <v>400530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188</v>
      </c>
      <c r="N216" s="28">
        <v>704110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188</v>
      </c>
      <c r="N270" s="20">
        <f>214250+252630</f>
        <v>466880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188</v>
      </c>
      <c r="N297" s="20">
        <f>124260+105220</f>
        <v>229480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188</v>
      </c>
      <c r="N324" s="20">
        <f>311920+165290</f>
        <v>477210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188</v>
      </c>
      <c r="N351" s="20">
        <f>117790+390790</f>
        <v>508580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188</v>
      </c>
      <c r="N378" s="20">
        <f>490380+390690</f>
        <v>881070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188</v>
      </c>
      <c r="N405" s="20">
        <v>745910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188</v>
      </c>
      <c r="N432" s="20">
        <v>669300</v>
      </c>
    </row>
    <row r="433" spans="1:16" ht="18" customHeight="1">
      <c r="A433" s="98" t="s">
        <v>190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188</v>
      </c>
      <c r="N459" s="20">
        <v>561580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188</v>
      </c>
      <c r="N486" s="20">
        <v>508000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188</v>
      </c>
      <c r="N513" s="20">
        <v>745760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188</v>
      </c>
      <c r="N540" s="20">
        <v>426450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188</v>
      </c>
      <c r="N567" s="20">
        <v>652080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188</v>
      </c>
      <c r="N594" s="20">
        <v>800310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188</v>
      </c>
      <c r="N621" s="20">
        <v>141320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174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188</v>
      </c>
      <c r="N648" s="20">
        <f>89640+153770</f>
        <v>243410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188</v>
      </c>
      <c r="N675" s="20">
        <v>425320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188</v>
      </c>
      <c r="N702" s="20">
        <f>626540+94190</f>
        <v>720730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188</v>
      </c>
      <c r="N729" s="20">
        <v>874110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22</v>
      </c>
      <c r="F743" s="19">
        <f>SUM(F731:F742)</f>
        <v>88</v>
      </c>
      <c r="G743" s="38"/>
      <c r="H743" s="38"/>
      <c r="I743" s="38"/>
      <c r="J743" s="38"/>
      <c r="K743" s="38"/>
      <c r="L743" s="72">
        <f>IFERROR(SUM(L731:L742),"")</f>
        <v>0.10416666666666663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22</v>
      </c>
      <c r="F757" s="22">
        <f>F743+F756</f>
        <v>88</v>
      </c>
      <c r="G757" s="39"/>
      <c r="H757" s="39"/>
      <c r="I757" s="39"/>
      <c r="J757" s="39"/>
      <c r="K757" s="39"/>
      <c r="L757" s="73">
        <f>IFERROR(L743+L756,"")</f>
        <v>0.10416666666666663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187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188</v>
      </c>
      <c r="N810" s="20"/>
    </row>
    <row r="811" spans="1:14" ht="18" customHeight="1">
      <c r="A811" s="110" t="s">
        <v>190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2026-06-28T14:37:32Z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