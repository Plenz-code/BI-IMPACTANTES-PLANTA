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141" documentId="8_{AF585B22-221D-4780-BB9C-493D365A6A02}" xr6:coauthVersionLast="47" xr6:coauthVersionMax="47" xr10:uidLastSave="{8BFDD9BF-E612-4406-987D-D935368AB889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Desktop CCO01</author>
  </authors>
  <commentList>
    <comment ref="K785" authorId="0" shapeId="0" xr:uid="{A2E2A57F-C880-45F1-A5D8-8F7EEB221C90}">
      <text>
        <r>
          <rPr>
            <b/>
            <sz val="9"/>
            <color indexed="81"/>
            <rFont val="Segoe UI"/>
          </rPr>
          <t>Desktop CCO01:</t>
        </r>
        <r>
          <rPr>
            <sz val="9"/>
            <color indexed="81"/>
            <rFont val="Segoe UI"/>
          </rPr>
          <t xml:space="preserve">
Qual foi o motivo da parada entre as 7:00 - 10:55?
</t>
        </r>
      </text>
    </comment>
  </commentList>
</comments>
</file>

<file path=xl/sharedStrings.xml><?xml version="1.0" encoding="utf-8"?>
<sst xmlns="http://schemas.openxmlformats.org/spreadsheetml/2006/main" count="11953" uniqueCount="434">
  <si>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</si>
  <si>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</si>
  <si>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</si>
  <si>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</si>
  <si>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</si>
  <si>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</si>
  <si>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</si>
  <si>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</si>
  <si>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</si>
  <si>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</si>
  <si>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</si>
  <si>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</si>
  <si>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</si>
  <si>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</si>
  <si>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</si>
  <si>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</si>
  <si>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</si>
  <si>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</si>
  <si>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</si>
  <si>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</si>
  <si>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</si>
  <si>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</si>
  <si>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</si>
  <si>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</si>
  <si>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</si>
  <si>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</si>
  <si>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</si>
  <si>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</si>
  <si>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</si>
  <si>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</si>
  <si>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</si>
  <si>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</si>
  <si>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</si>
  <si>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</si>
  <si>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</si>
  <si>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</si>
  <si>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</si>
  <si>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</si>
  <si>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</si>
  <si>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</si>
  <si>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</si>
  <si>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</si>
  <si>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</si>
  <si>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</si>
  <si>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</si>
  <si>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</si>
  <si>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</si>
  <si>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</si>
  <si>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</si>
  <si>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</si>
  <si>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</si>
  <si>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</si>
  <si>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</si>
  <si>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</si>
  <si>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</si>
  <si>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</si>
  <si>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</si>
  <si>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</si>
  <si>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</si>
  <si>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</si>
  <si>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</si>
  <si>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</si>
  <si>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</si>
  <si>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</si>
  <si>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</si>
  <si>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</si>
  <si>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</si>
  <si>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</si>
  <si>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</si>
  <si>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</si>
  <si>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</si>
  <si>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</si>
  <si>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</si>
  <si>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</si>
  <si>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</si>
  <si>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</si>
  <si>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</si>
  <si>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</si>
  <si>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</si>
  <si>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</si>
  <si>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</si>
  <si>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</si>
  <si>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</si>
  <si>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</si>
  <si>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</si>
  <si>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</si>
  <si>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</si>
  <si>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</si>
  <si>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</si>
  <si>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</si>
  <si>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</si>
  <si>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</si>
  <si>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</si>
  <si>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</si>
  <si>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</si>
  <si>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</si>
  <si>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</si>
  <si>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</si>
  <si>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</si>
  <si>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</si>
  <si>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</si>
  <si>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</si>
  <si>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</si>
  <si>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</si>
  <si>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</si>
  <si>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</si>
  <si>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</si>
  <si>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</si>
  <si>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</si>
  <si>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</si>
  <si>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</si>
  <si>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</si>
  <si>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</si>
  <si>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</si>
  <si>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</si>
  <si>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</si>
  <si>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</si>
  <si>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</si>
  <si>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</si>
  <si>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</si>
  <si>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</si>
  <si>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</si>
  <si>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</si>
  <si>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</si>
  <si>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</si>
  <si>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</si>
  <si>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</si>
  <si>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</si>
  <si>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</si>
  <si>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</si>
  <si>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</si>
  <si>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</si>
  <si>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</si>
  <si>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</si>
  <si>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</si>
  <si>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</si>
  <si>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</si>
  <si>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</si>
  <si>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</si>
  <si>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</si>
  <si>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</si>
  <si>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</si>
  <si>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</si>
  <si>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</si>
  <si>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</si>
  <si>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</si>
  <si>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</si>
  <si>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</si>
  <si>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</si>
  <si>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</si>
  <si>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</si>
  <si>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</si>
  <si>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</si>
  <si>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</si>
  <si>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</si>
  <si>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</si>
  <si>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</si>
  <si>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</si>
  <si>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</si>
  <si>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</si>
  <si>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</si>
  <si>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</si>
  <si>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</si>
  <si>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</si>
  <si>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</si>
  <si>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</si>
  <si>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</si>
  <si>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</si>
  <si>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</si>
  <si>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</si>
  <si>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</si>
  <si>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</si>
  <si>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</si>
  <si>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</si>
  <si>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</si>
  <si>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</si>
  <si>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</si>
  <si>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</si>
  <si>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</si>
  <si>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</si>
  <si>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</si>
  <si>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</si>
  <si>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</si>
  <si>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</si>
  <si>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</si>
  <si>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</si>
  <si>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</si>
  <si>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</si>
  <si>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</si>
  <si>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</si>
  <si>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</si>
  <si>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</si>
  <si>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</si>
  <si>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</si>
  <si>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</si>
  <si>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</si>
  <si>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</si>
  <si>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</si>
  <si>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</si>
  <si>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</si>
  <si>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</si>
  <si>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</si>
  <si>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</si>
  <si>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</si>
  <si>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</si>
  <si>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</si>
  <si>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</si>
  <si>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</si>
  <si>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</si>
  <si>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</si>
  <si>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</si>
  <si>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</si>
  <si>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</si>
  <si>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</si>
  <si>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</si>
  <si>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</si>
  <si>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</si>
  <si>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</si>
  <si>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</si>
  <si>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</si>
  <si>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</si>
  <si>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</si>
  <si>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</si>
  <si>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</si>
  <si>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</si>
  <si>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</si>
  <si>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</si>
  <si>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</si>
  <si>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</si>
  <si>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</si>
  <si>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</si>
  <si>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</si>
  <si>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</si>
  <si>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</si>
  <si>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</si>
  <si>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</si>
  <si>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</si>
  <si>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</si>
  <si>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</si>
  <si>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</si>
  <si>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</si>
  <si>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</si>
  <si>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</si>
  <si>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</si>
  <si>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</si>
  <si>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</si>
  <si>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</si>
  <si>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</si>
  <si>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</si>
  <si>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</si>
  <si>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</si>
  <si>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</si>
  <si>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</si>
  <si>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</si>
  <si>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</si>
  <si>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</si>
  <si>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</si>
  <si>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</si>
  <si>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</si>
  <si>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</si>
  <si>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</si>
  <si>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</si>
  <si>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</si>
  <si>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</si>
  <si>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</si>
  <si>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</si>
  <si>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</si>
  <si>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</si>
  <si>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</si>
  <si>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</si>
  <si>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</si>
  <si>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</si>
  <si>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</si>
  <si>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</si>
  <si>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</si>
  <si>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</si>
  <si>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</si>
  <si>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</si>
  <si>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</si>
  <si>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</si>
  <si>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</si>
  <si>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</si>
  <si>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</si>
  <si>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</si>
  <si>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</si>
  <si>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</si>
  <si>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</si>
  <si>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</si>
  <si>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</si>
  <si>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</si>
  <si>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</si>
  <si>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</si>
  <si>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</si>
  <si>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</si>
  <si>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</si>
  <si>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</si>
  <si>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</si>
  <si>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</si>
  <si>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</si>
  <si>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</si>
  <si>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</si>
  <si>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</si>
  <si>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</si>
  <si>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</si>
  <si>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</si>
  <si>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</si>
  <si>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</si>
  <si>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</si>
  <si>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</si>
  <si>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</si>
  <si>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</si>
  <si>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</si>
  <si>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</si>
  <si>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</si>
  <si>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</si>
  <si>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</si>
  <si>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</si>
  <si>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</si>
  <si>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</si>
  <si>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</si>
  <si>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</si>
  <si>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</si>
  <si>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</si>
  <si>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</si>
  <si>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</si>
  <si>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</si>
  <si>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</si>
  <si>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</si>
  <si>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</si>
  <si>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</si>
  <si>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</si>
  <si>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</si>
  <si>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</si>
  <si>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</si>
  <si>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</si>
  <si>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</si>
  <si>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</si>
  <si>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</si>
  <si>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</si>
  <si>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</si>
  <si>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</si>
  <si>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</si>
  <si>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</si>
  <si>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</si>
  <si>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</si>
  <si>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</si>
  <si>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</si>
  <si>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</si>
  <si>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</si>
  <si>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</si>
  <si>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</si>
  <si>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</si>
  <si>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</si>
  <si>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</si>
  <si>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</si>
  <si>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</si>
  <si>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</si>
  <si>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</si>
  <si>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</si>
  <si>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</si>
  <si>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</si>
  <si>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</si>
  <si>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</si>
  <si>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</si>
  <si>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</si>
  <si>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</si>
  <si>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</si>
  <si>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</si>
  <si>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</si>
  <si>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</si>
  <si>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</si>
  <si>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</si>
  <si>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</si>
  <si>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</si>
  <si>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</si>
  <si>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</si>
  <si>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</si>
  <si>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</si>
  <si>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</si>
  <si>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</si>
  <si>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</si>
  <si>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</si>
  <si>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</si>
  <si>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</si>
  <si>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</si>
  <si>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</si>
  <si>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</si>
  <si>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</si>
  <si>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</si>
  <si>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</si>
  <si>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</si>
  <si>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</si>
  <si>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</si>
  <si>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</si>
  <si>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</si>
  <si>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</si>
  <si>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</si>
  <si>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</si>
  <si>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</si>
  <si>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</si>
  <si>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</si>
  <si>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</si>
  <si>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</si>
  <si>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</si>
  <si>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</si>
  <si>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</si>
  <si>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</si>
  <si>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</si>
  <si>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</si>
  <si>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</si>
  <si>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</si>
  <si>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</si>
  <si>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</si>
  <si>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</si>
  <si>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</si>
  <si>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</si>
  <si>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</si>
  <si>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</si>
  <si>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</si>
  <si>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</si>
  <si>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</si>
  <si>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</si>
  <si>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</si>
  <si>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</si>
  <si>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</si>
  <si>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</si>
  <si>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</si>
  <si>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</si>
  <si>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</si>
  <si>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</si>
  <si>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</si>
  <si>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</si>
  <si>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solda no queixo</t>
  </si>
  <si>
    <t>carregamento com caminhão basculante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</si>
</sst>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7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sz val="9"/>
      <color indexed="81"/>
      <name val="Segoe UI"/>
    </font>
    <font>
      <b/>
      <sz val="9"/>
      <color indexed="81"/>
      <name val="Segoe UI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5" x14ac:dyDescent="0.2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 x14ac:dyDescent="0.25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25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25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25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25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25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25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25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25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25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25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25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25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25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25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25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25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25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 x14ac:dyDescent="0.25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25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25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25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25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25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 x14ac:dyDescent="0.25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 x14ac:dyDescent="0.25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 x14ac:dyDescent="0.25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 x14ac:dyDescent="0.25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 x14ac:dyDescent="0.25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 x14ac:dyDescent="0.25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 x14ac:dyDescent="0.25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 x14ac:dyDescent="0.25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 x14ac:dyDescent="0.25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25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25">
      <c r="A35" s="111" t="s">
        <v>9</v>
      </c>
      <c r="B35" s="111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5" x14ac:dyDescent="0.2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 x14ac:dyDescent="0.25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25">
      <c r="H2" s="113"/>
    </row>
    <row r="3" spans="1:13" ht="21.75" customHeight="1" x14ac:dyDescent="0.25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25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25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25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25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25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25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25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25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25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25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25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25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25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25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25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25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 x14ac:dyDescent="0.25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 x14ac:dyDescent="0.25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 x14ac:dyDescent="0.25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 x14ac:dyDescent="0.25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 x14ac:dyDescent="0.25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 x14ac:dyDescent="0.25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 x14ac:dyDescent="0.25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 x14ac:dyDescent="0.25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 x14ac:dyDescent="0.25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 x14ac:dyDescent="0.25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 x14ac:dyDescent="0.25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 x14ac:dyDescent="0.25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 x14ac:dyDescent="0.25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 x14ac:dyDescent="0.25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 x14ac:dyDescent="0.25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 x14ac:dyDescent="0.25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 x14ac:dyDescent="0.25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 x14ac:dyDescent="0.25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 x14ac:dyDescent="0.25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 x14ac:dyDescent="0.25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 x14ac:dyDescent="0.25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 x14ac:dyDescent="0.25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 x14ac:dyDescent="0.25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 x14ac:dyDescent="0.25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 x14ac:dyDescent="0.25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 x14ac:dyDescent="0.25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 x14ac:dyDescent="0.25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 x14ac:dyDescent="0.25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 x14ac:dyDescent="0.25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 x14ac:dyDescent="0.25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 x14ac:dyDescent="0.25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 x14ac:dyDescent="0.25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 x14ac:dyDescent="0.25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 x14ac:dyDescent="0.25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 x14ac:dyDescent="0.25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 x14ac:dyDescent="0.25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 x14ac:dyDescent="0.25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 x14ac:dyDescent="0.25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 x14ac:dyDescent="0.25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 x14ac:dyDescent="0.25">
      <c r="H59" s="113"/>
      <c r="I59" s="17"/>
      <c r="J59" s="17"/>
      <c r="K59" s="17" t="s">
        <v>208</v>
      </c>
      <c r="L59" s="17"/>
      <c r="M59" s="17"/>
    </row>
    <row r="60" spans="1:13" ht="15" customHeight="1" x14ac:dyDescent="0.25">
      <c r="H60" s="113"/>
      <c r="I60" s="16"/>
      <c r="J60" s="16"/>
      <c r="K60" s="86" t="s">
        <v>105</v>
      </c>
      <c r="L60" s="16"/>
      <c r="M60" s="16"/>
    </row>
    <row r="61" spans="1:13" ht="15" customHeight="1" x14ac:dyDescent="0.25">
      <c r="H61" s="113"/>
      <c r="I61" s="17"/>
      <c r="J61" s="17"/>
      <c r="K61" s="17" t="s">
        <v>209</v>
      </c>
      <c r="L61" s="17"/>
      <c r="M61" s="17"/>
    </row>
    <row r="62" spans="1:13" ht="15" customHeight="1" x14ac:dyDescent="0.25">
      <c r="H62" s="113"/>
      <c r="I62" s="16"/>
      <c r="J62" s="16"/>
      <c r="K62" s="16" t="s">
        <v>210</v>
      </c>
      <c r="L62" s="16"/>
      <c r="M62" s="16"/>
    </row>
    <row r="63" spans="1:13" ht="15" customHeight="1" x14ac:dyDescent="0.25">
      <c r="H63" s="113"/>
      <c r="I63" s="17"/>
      <c r="J63" s="17"/>
      <c r="K63" s="17" t="s">
        <v>211</v>
      </c>
      <c r="L63" s="17"/>
      <c r="M63" s="17"/>
    </row>
    <row r="64" spans="1:13" ht="15" customHeight="1" x14ac:dyDescent="0.25">
      <c r="H64" s="113"/>
      <c r="I64" s="16"/>
      <c r="J64" s="16"/>
      <c r="K64" s="16" t="s">
        <v>212</v>
      </c>
      <c r="L64" s="16"/>
      <c r="M64" s="16"/>
    </row>
    <row r="65" spans="8:13" ht="15" customHeight="1" x14ac:dyDescent="0.25">
      <c r="H65" s="113"/>
      <c r="I65" s="17"/>
      <c r="J65" s="17"/>
      <c r="K65" s="17" t="s">
        <v>213</v>
      </c>
      <c r="L65" s="17"/>
      <c r="M65" s="17"/>
    </row>
    <row r="66" spans="8:13" ht="15" customHeight="1" x14ac:dyDescent="0.25">
      <c r="H66" s="113"/>
      <c r="I66" s="16"/>
      <c r="J66" s="16"/>
      <c r="K66" s="16" t="s">
        <v>214</v>
      </c>
      <c r="L66" s="16"/>
      <c r="M66" s="16"/>
    </row>
    <row r="67" spans="8:13" ht="15" customHeight="1" x14ac:dyDescent="0.25">
      <c r="H67" s="113"/>
      <c r="I67" s="17"/>
      <c r="J67" s="17"/>
      <c r="K67" s="17" t="s">
        <v>215</v>
      </c>
      <c r="L67" s="17"/>
      <c r="M67" s="17"/>
    </row>
    <row r="68" spans="8:13" ht="15" customHeight="1" x14ac:dyDescent="0.25">
      <c r="H68" s="113"/>
      <c r="I68" s="16"/>
      <c r="J68" s="16"/>
      <c r="K68" s="16" t="s">
        <v>216</v>
      </c>
      <c r="L68" s="16"/>
      <c r="M68" s="16"/>
    </row>
    <row r="69" spans="8:13" ht="15" customHeight="1" x14ac:dyDescent="0.25">
      <c r="H69" s="113"/>
      <c r="I69" s="17"/>
      <c r="J69" s="17"/>
      <c r="K69" s="17" t="s">
        <v>217</v>
      </c>
      <c r="L69" s="17"/>
      <c r="M69" s="17"/>
    </row>
    <row r="70" spans="8:13" ht="15" customHeight="1" x14ac:dyDescent="0.25">
      <c r="H70" s="113"/>
      <c r="I70" s="16"/>
      <c r="J70" s="16"/>
      <c r="K70" s="16" t="s">
        <v>218</v>
      </c>
      <c r="L70" s="16"/>
      <c r="M70" s="16"/>
    </row>
    <row r="71" spans="8:13" ht="15" customHeight="1" x14ac:dyDescent="0.25">
      <c r="H71" s="113"/>
      <c r="I71" s="17"/>
      <c r="J71" s="17"/>
      <c r="K71" s="17" t="s">
        <v>219</v>
      </c>
      <c r="L71" s="17"/>
      <c r="M71" s="17"/>
    </row>
    <row r="72" spans="8:13" ht="15" customHeight="1" x14ac:dyDescent="0.25">
      <c r="H72" s="113"/>
      <c r="I72" s="16"/>
      <c r="J72" s="16"/>
      <c r="K72" s="16" t="s">
        <v>220</v>
      </c>
      <c r="L72" s="16"/>
      <c r="M72" s="16"/>
    </row>
    <row r="73" spans="8:13" ht="15" customHeight="1" x14ac:dyDescent="0.25">
      <c r="H73" s="113"/>
      <c r="I73" s="17"/>
      <c r="J73" s="17"/>
      <c r="K73" s="17" t="s">
        <v>221</v>
      </c>
      <c r="L73" s="17"/>
      <c r="M73" s="17"/>
    </row>
    <row r="74" spans="8:13" ht="15" customHeight="1" x14ac:dyDescent="0.25">
      <c r="H74" s="113"/>
      <c r="I74" s="16"/>
      <c r="J74" s="16"/>
      <c r="K74" s="16"/>
      <c r="L74" s="16"/>
      <c r="M74" s="16"/>
    </row>
    <row r="75" spans="8:13" ht="15" customHeight="1" x14ac:dyDescent="0.25">
      <c r="H75" s="113"/>
      <c r="I75" s="17"/>
      <c r="J75" s="17"/>
      <c r="K75" s="17"/>
      <c r="L75" s="17"/>
      <c r="M75" s="17"/>
    </row>
    <row r="76" spans="8:13" ht="15" customHeight="1" x14ac:dyDescent="0.25"/>
    <row r="77" spans="8:13" ht="15" customHeight="1" x14ac:dyDescent="0.25"/>
    <row r="78" spans="8:13" ht="15" customHeight="1" x14ac:dyDescent="0.25"/>
    <row r="79" spans="8:13" ht="15" customHeight="1" x14ac:dyDescent="0.25"/>
    <row r="80" spans="8:13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80" zoomScaleNormal="80" workbookViewId="0">
      <pane ySplit="1" topLeftCell="A756" activePane="bottomLeft" state="frozen"/>
      <selection pane="bottomLeft" activeCell="F788" sqref="F788"/>
    </sheetView>
  </sheetViews>
  <sheetFormatPr defaultColWidth="8.5703125" defaultRowHeight="15" x14ac:dyDescent="0.2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 x14ac:dyDescent="0.25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25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25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25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25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25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25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25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25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25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25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25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 x14ac:dyDescent="0.25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 x14ac:dyDescent="0.25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 x14ac:dyDescent="0.25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 x14ac:dyDescent="0.25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 x14ac:dyDescent="0.25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 x14ac:dyDescent="0.25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 x14ac:dyDescent="0.25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 x14ac:dyDescent="0.25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 x14ac:dyDescent="0.25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 x14ac:dyDescent="0.25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 x14ac:dyDescent="0.25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 x14ac:dyDescent="0.25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 x14ac:dyDescent="0.25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 x14ac:dyDescent="0.25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25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 x14ac:dyDescent="0.25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 x14ac:dyDescent="0.25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 x14ac:dyDescent="0.25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 x14ac:dyDescent="0.25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 x14ac:dyDescent="0.25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 x14ac:dyDescent="0.25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 x14ac:dyDescent="0.25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25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25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25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25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25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 x14ac:dyDescent="0.25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 x14ac:dyDescent="0.25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 x14ac:dyDescent="0.25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 x14ac:dyDescent="0.25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 x14ac:dyDescent="0.25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 x14ac:dyDescent="0.25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 x14ac:dyDescent="0.25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 x14ac:dyDescent="0.25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 x14ac:dyDescent="0.25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 x14ac:dyDescent="0.25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 x14ac:dyDescent="0.25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 x14ac:dyDescent="0.25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 x14ac:dyDescent="0.25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 x14ac:dyDescent="0.25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 x14ac:dyDescent="0.25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 x14ac:dyDescent="0.25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 t="s">
        <v>433</v>
      </c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143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143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80" zoomScaleNormal="80" workbookViewId="0">
      <pane ySplit="1" topLeftCell="A751" activePane="bottomLeft" state="frozen"/>
      <selection pane="bottomLeft" activeCell="H771" sqref="H771:H776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 x14ac:dyDescent="0.25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25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 x14ac:dyDescent="0.25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276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25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25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277</v>
      </c>
      <c r="O44" s="31"/>
    </row>
    <row r="45" spans="1:15" ht="15" customHeight="1" x14ac:dyDescent="0.25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25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25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25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25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25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25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25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25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25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 x14ac:dyDescent="0.25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278</v>
      </c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279</v>
      </c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3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35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 x14ac:dyDescent="0.25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280</v>
      </c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3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281</v>
      </c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282</v>
      </c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283</v>
      </c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35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 x14ac:dyDescent="0.25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284</v>
      </c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3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285</v>
      </c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286</v>
      </c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287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35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 x14ac:dyDescent="0.25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288</v>
      </c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3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290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35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 x14ac:dyDescent="0.25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25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 x14ac:dyDescent="0.25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292</v>
      </c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293</v>
      </c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25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 x14ac:dyDescent="0.25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294</v>
      </c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295</v>
      </c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25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290</v>
      </c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25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 x14ac:dyDescent="0.25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297</v>
      </c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25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 x14ac:dyDescent="0.25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298</v>
      </c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299</v>
      </c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300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25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 x14ac:dyDescent="0.25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301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301</v>
      </c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302</v>
      </c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303</v>
      </c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25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 x14ac:dyDescent="0.25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304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305</v>
      </c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306</v>
      </c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25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 x14ac:dyDescent="0.25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0.30983692129666451</v>
      </c>
      <c r="N377" s="46"/>
      <c r="O377" s="47"/>
    </row>
    <row r="378" spans="1:15" ht="15.75" customHeight="1" x14ac:dyDescent="0.25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0.4674758101855534</v>
      </c>
      <c r="N378" s="36" t="s">
        <v>236</v>
      </c>
      <c r="O378" s="77">
        <v>511980</v>
      </c>
    </row>
    <row r="379" spans="1:15" ht="18" customHeight="1" x14ac:dyDescent="0.25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0.57719803240777556</v>
      </c>
      <c r="N379" s="40" t="s">
        <v>239</v>
      </c>
      <c r="O379" s="83">
        <f>IFERROR(O365+O378,"")</f>
        <v>1320530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290</v>
      </c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307</v>
      </c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308</v>
      </c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25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 x14ac:dyDescent="0.25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309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0.28830914352147374</v>
      </c>
      <c r="N423" s="46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25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0.45914247685480714</v>
      </c>
      <c r="N432" s="36" t="s">
        <v>236</v>
      </c>
      <c r="O432" s="77">
        <v>484540</v>
      </c>
    </row>
    <row r="433" spans="1:15" ht="18" customHeight="1" x14ac:dyDescent="0.25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0.60428136574369606</v>
      </c>
      <c r="N433" s="40" t="s">
        <v>239</v>
      </c>
      <c r="O433" s="83">
        <f>IFERROR(O419+O432,"")</f>
        <v>1184540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310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311</v>
      </c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312</v>
      </c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25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 x14ac:dyDescent="0.25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313</v>
      </c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314</v>
      </c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315</v>
      </c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316</v>
      </c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25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 x14ac:dyDescent="0.25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317</v>
      </c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25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 x14ac:dyDescent="0.25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318</v>
      </c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25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 x14ac:dyDescent="0.25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319</v>
      </c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320</v>
      </c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25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 x14ac:dyDescent="0.25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321</v>
      </c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25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 x14ac:dyDescent="0.25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322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25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 x14ac:dyDescent="0.25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 x14ac:dyDescent="0.25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 x14ac:dyDescent="0.25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 x14ac:dyDescent="0.25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 x14ac:dyDescent="0.25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 x14ac:dyDescent="0.25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 x14ac:dyDescent="0.25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 x14ac:dyDescent="0.25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 x14ac:dyDescent="0.25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 x14ac:dyDescent="0.25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 x14ac:dyDescent="0.25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 x14ac:dyDescent="0.25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25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 x14ac:dyDescent="0.25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324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325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326</v>
      </c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327</v>
      </c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25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 x14ac:dyDescent="0.25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328</v>
      </c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329</v>
      </c>
      <c r="L682" s="29">
        <v>0.64513888888888893</v>
      </c>
      <c r="M682" s="35">
        <v>10</v>
      </c>
      <c r="N682" s="46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25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330</v>
      </c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331</v>
      </c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25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 x14ac:dyDescent="0.25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332</v>
      </c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333</v>
      </c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334</v>
      </c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 x14ac:dyDescent="0.25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335</v>
      </c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336</v>
      </c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25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 x14ac:dyDescent="0.25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 x14ac:dyDescent="0.25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337</v>
      </c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338</v>
      </c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 x14ac:dyDescent="0.25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25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 x14ac:dyDescent="0.25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 x14ac:dyDescent="0.25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339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340</v>
      </c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341</v>
      </c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 x14ac:dyDescent="0.25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342</v>
      </c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25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 x14ac:dyDescent="0.25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 x14ac:dyDescent="0.25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343</v>
      </c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28"/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/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28"/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344</v>
      </c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>
        <v>7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80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8.1944444444444375E-2</v>
      </c>
      <c r="N797" s="36" t="s">
        <v>236</v>
      </c>
      <c r="O797" s="77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25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80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8.1944444444444375E-2</v>
      </c>
      <c r="N811" s="40" t="s">
        <v>239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51" zoomScale="80" zoomScaleNormal="80" workbookViewId="0">
      <selection activeCell="H771" sqref="H771:H776"/>
    </sheetView>
  </sheetViews>
  <sheetFormatPr defaultColWidth="8.5703125" defaultRowHeight="15" x14ac:dyDescent="0.2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 x14ac:dyDescent="0.25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326</v>
      </c>
      <c r="O4" s="31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345</v>
      </c>
      <c r="O6" s="31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25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25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25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25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25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25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25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25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25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25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25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25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 x14ac:dyDescent="0.25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346</v>
      </c>
      <c r="O29" s="31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25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 x14ac:dyDescent="0.25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347</v>
      </c>
      <c r="O59" s="31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312</v>
      </c>
      <c r="O69" s="31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25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 x14ac:dyDescent="0.25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348</v>
      </c>
      <c r="O88" s="31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25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 x14ac:dyDescent="0.25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31"/>
    </row>
    <row r="130" spans="1:15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25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 x14ac:dyDescent="0.25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289</v>
      </c>
      <c r="K141" s="29">
        <v>0.71597222222222223</v>
      </c>
      <c r="L141" s="29" t="s">
        <v>350</v>
      </c>
      <c r="M141" s="35" t="str">
        <f t="shared" ca="1" si="31"/>
        <v/>
      </c>
      <c r="N141" s="27"/>
      <c r="O141" s="31"/>
    </row>
    <row r="142" spans="1:15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351</v>
      </c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291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 x14ac:dyDescent="0.25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352</v>
      </c>
      <c r="N166" s="27" t="s">
        <v>353</v>
      </c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 x14ac:dyDescent="0.25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354</v>
      </c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25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 x14ac:dyDescent="0.25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25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25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 x14ac:dyDescent="0.25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355</v>
      </c>
      <c r="O259" s="47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356</v>
      </c>
      <c r="O263" s="47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25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 x14ac:dyDescent="0.25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357</v>
      </c>
      <c r="O286" s="47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358</v>
      </c>
      <c r="O289" s="47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25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 x14ac:dyDescent="0.25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359</v>
      </c>
      <c r="O302" s="47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360</v>
      </c>
      <c r="O312" s="47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25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 x14ac:dyDescent="0.25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362</v>
      </c>
      <c r="O326" s="47"/>
    </row>
    <row r="327" spans="1:15" ht="15" customHeight="1" x14ac:dyDescent="0.25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25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25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312</v>
      </c>
      <c r="O329" s="47"/>
    </row>
    <row r="330" spans="1:15" ht="15" customHeight="1" x14ac:dyDescent="0.25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25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25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25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25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25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25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25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25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 x14ac:dyDescent="0.25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25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25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 x14ac:dyDescent="0.25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25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 x14ac:dyDescent="0.25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309</v>
      </c>
      <c r="O421" s="47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25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 x14ac:dyDescent="0.25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363</v>
      </c>
      <c r="O434" s="47"/>
    </row>
    <row r="435" spans="1:15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25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 x14ac:dyDescent="0.25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25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 x14ac:dyDescent="0.25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364</v>
      </c>
      <c r="O488" s="47"/>
    </row>
    <row r="489" spans="1:15" ht="15" customHeight="1" x14ac:dyDescent="0.25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25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25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25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25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25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25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25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25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25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25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25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 x14ac:dyDescent="0.25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365</v>
      </c>
      <c r="O529" s="47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366</v>
      </c>
      <c r="O532" s="47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367</v>
      </c>
      <c r="O533" s="47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25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 x14ac:dyDescent="0.25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368</v>
      </c>
      <c r="O542" s="47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 x14ac:dyDescent="0.25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 x14ac:dyDescent="0.25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369</v>
      </c>
      <c r="O557" s="47"/>
    </row>
    <row r="558" spans="1:15" ht="15" customHeight="1" x14ac:dyDescent="0.25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25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25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25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25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25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25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25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25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25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 x14ac:dyDescent="0.25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370</v>
      </c>
      <c r="O570" s="47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 x14ac:dyDescent="0.25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25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25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25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25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25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25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25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25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25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25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25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 x14ac:dyDescent="0.25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371</v>
      </c>
      <c r="O598" s="47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328</v>
      </c>
      <c r="O601" s="47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25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 x14ac:dyDescent="0.25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25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 x14ac:dyDescent="0.25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372</v>
      </c>
      <c r="O650" s="47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328</v>
      </c>
      <c r="O652" s="47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373</v>
      </c>
      <c r="O664" s="47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25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 x14ac:dyDescent="0.25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25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 x14ac:dyDescent="0.25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312</v>
      </c>
      <c r="O705" s="47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 x14ac:dyDescent="0.25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25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25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25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25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25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25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25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25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 x14ac:dyDescent="0.25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 x14ac:dyDescent="0.25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326</v>
      </c>
      <c r="O732" s="47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 x14ac:dyDescent="0.25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326</v>
      </c>
      <c r="O735" s="47"/>
    </row>
    <row r="736" spans="1:15" ht="15" customHeight="1" x14ac:dyDescent="0.25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25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25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25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 x14ac:dyDescent="0.25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374</v>
      </c>
      <c r="O745" s="47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 x14ac:dyDescent="0.25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375</v>
      </c>
      <c r="O747" s="47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 x14ac:dyDescent="0.25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 x14ac:dyDescent="0.25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 x14ac:dyDescent="0.25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25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25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25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25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 x14ac:dyDescent="0.25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 x14ac:dyDescent="0.25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376</v>
      </c>
      <c r="O758" s="47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 x14ac:dyDescent="0.25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326</v>
      </c>
      <c r="O761" s="47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 x14ac:dyDescent="0.25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 x14ac:dyDescent="0.25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 x14ac:dyDescent="0.25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377</v>
      </c>
      <c r="O767" s="47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 x14ac:dyDescent="0.25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 x14ac:dyDescent="0.25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 x14ac:dyDescent="0.25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342</v>
      </c>
      <c r="O775" s="47"/>
    </row>
    <row r="776" spans="1:15" ht="15" customHeight="1" x14ac:dyDescent="0.25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 x14ac:dyDescent="0.25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25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25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25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25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25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 x14ac:dyDescent="0.25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 x14ac:dyDescent="0.25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/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343</v>
      </c>
      <c r="O785" s="47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28"/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344</v>
      </c>
      <c r="O786" s="47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/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 x14ac:dyDescent="0.25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28"/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260</v>
      </c>
      <c r="F789" s="27">
        <v>7</v>
      </c>
      <c r="G789" s="34"/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432</v>
      </c>
      <c r="O789" s="47"/>
    </row>
    <row r="790" spans="1:15" ht="15" customHeight="1" x14ac:dyDescent="0.25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25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25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25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46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6.1111111111111061E-2</v>
      </c>
      <c r="N797" s="36" t="s">
        <v>236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25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46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6.1111111111111061E-2</v>
      </c>
      <c r="N811" s="40" t="s">
        <v>239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80" zoomScaleNormal="80" workbookViewId="0">
      <pane ySplit="1" topLeftCell="A768" activePane="bottomLeft" state="frozen"/>
      <selection pane="bottomLeft" activeCell="K786" sqref="K786"/>
    </sheetView>
  </sheetViews>
  <sheetFormatPr defaultColWidth="8.5703125" defaultRowHeight="15" x14ac:dyDescent="0.2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 x14ac:dyDescent="0.25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 x14ac:dyDescent="0.25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378</v>
      </c>
      <c r="O2" s="60"/>
    </row>
    <row r="3" spans="1:15" ht="15" customHeight="1" x14ac:dyDescent="0.25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312</v>
      </c>
      <c r="O3" s="60"/>
    </row>
    <row r="4" spans="1:15" ht="15" customHeight="1" x14ac:dyDescent="0.25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25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25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25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25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25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25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25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25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25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25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 x14ac:dyDescent="0.25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25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379</v>
      </c>
      <c r="O16" s="60"/>
    </row>
    <row r="17" spans="1:15" ht="15" customHeight="1" x14ac:dyDescent="0.25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25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25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25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25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25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25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25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25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25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25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 x14ac:dyDescent="0.25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 x14ac:dyDescent="0.25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380</v>
      </c>
      <c r="O29" s="60"/>
    </row>
    <row r="30" spans="1:15" ht="15" customHeight="1" x14ac:dyDescent="0.25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25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25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25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25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381</v>
      </c>
      <c r="O34" s="60"/>
    </row>
    <row r="35" spans="1:15" ht="15" customHeight="1" x14ac:dyDescent="0.25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25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25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25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25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25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25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 x14ac:dyDescent="0.25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25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25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25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25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25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25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25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25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25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25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25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25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 x14ac:dyDescent="0.25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 x14ac:dyDescent="0.25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25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25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382</v>
      </c>
      <c r="L58" s="29">
        <v>0.54097222222222219</v>
      </c>
      <c r="M58" s="30" t="str">
        <f t="shared" ca="1" si="13"/>
        <v/>
      </c>
      <c r="N58" s="27" t="s">
        <v>383</v>
      </c>
      <c r="O58" s="60"/>
    </row>
    <row r="59" spans="1:15" ht="15" customHeight="1" x14ac:dyDescent="0.25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25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25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25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25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25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25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25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25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25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 x14ac:dyDescent="0.25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25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326</v>
      </c>
      <c r="O70" s="60"/>
    </row>
    <row r="71" spans="1:15" ht="15" customHeight="1" x14ac:dyDescent="0.25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25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384</v>
      </c>
      <c r="O72" s="60"/>
    </row>
    <row r="73" spans="1:15" ht="15" customHeight="1" x14ac:dyDescent="0.25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385</v>
      </c>
      <c r="O73" s="60"/>
    </row>
    <row r="74" spans="1:15" ht="15" customHeight="1" x14ac:dyDescent="0.25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386</v>
      </c>
      <c r="O74" s="60"/>
    </row>
    <row r="75" spans="1:15" ht="15" customHeight="1" x14ac:dyDescent="0.25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387</v>
      </c>
      <c r="O75" s="60"/>
    </row>
    <row r="76" spans="1:15" ht="15" customHeight="1" x14ac:dyDescent="0.25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25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25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25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25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25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 x14ac:dyDescent="0.25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 x14ac:dyDescent="0.25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388</v>
      </c>
      <c r="O83" s="60"/>
    </row>
    <row r="84" spans="1:15" ht="15" customHeight="1" x14ac:dyDescent="0.25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25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25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25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25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25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25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25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25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25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25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25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 x14ac:dyDescent="0.25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25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25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25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25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25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25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25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25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25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25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25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25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 x14ac:dyDescent="0.25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 x14ac:dyDescent="0.25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389</v>
      </c>
      <c r="O110" s="60"/>
    </row>
    <row r="111" spans="1:15" ht="15" customHeight="1" x14ac:dyDescent="0.25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25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25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25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25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25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25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25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25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25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25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25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 x14ac:dyDescent="0.25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25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390</v>
      </c>
      <c r="O124" s="60"/>
    </row>
    <row r="125" spans="1:15" ht="15" customHeight="1" x14ac:dyDescent="0.25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391</v>
      </c>
      <c r="O125" s="60"/>
    </row>
    <row r="126" spans="1:15" ht="15" customHeight="1" x14ac:dyDescent="0.25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25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25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0.30011469907913124</v>
      </c>
      <c r="N128" s="27"/>
      <c r="O128" s="60"/>
    </row>
    <row r="129" spans="1:18" ht="15" customHeight="1" x14ac:dyDescent="0.25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287</v>
      </c>
      <c r="O129" s="60"/>
    </row>
    <row r="130" spans="1:18" ht="15" customHeight="1" x14ac:dyDescent="0.25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25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25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25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25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25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0.49942025463468687</v>
      </c>
      <c r="N135" s="36" t="s">
        <v>236</v>
      </c>
      <c r="O135" s="39">
        <v>729290</v>
      </c>
    </row>
    <row r="136" spans="1:18" ht="18" customHeight="1" x14ac:dyDescent="0.25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0.86678136574579789</v>
      </c>
      <c r="N136" s="40" t="s">
        <v>239</v>
      </c>
      <c r="O136" s="48">
        <f>IFERROR(O122+O135,"")</f>
        <v>1003740</v>
      </c>
    </row>
    <row r="137" spans="1:18" ht="15" customHeight="1" x14ac:dyDescent="0.25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25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25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392</v>
      </c>
      <c r="O139" s="31"/>
    </row>
    <row r="140" spans="1:18" ht="15" customHeight="1" x14ac:dyDescent="0.25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25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25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25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25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25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25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25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25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2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 x14ac:dyDescent="0.25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25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25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393</v>
      </c>
      <c r="O152" s="31"/>
    </row>
    <row r="153" spans="1:15" ht="15" customHeight="1" x14ac:dyDescent="0.25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25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25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25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25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25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25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25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25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25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 x14ac:dyDescent="0.25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 x14ac:dyDescent="0.25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25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25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25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25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394</v>
      </c>
      <c r="O168" s="31"/>
    </row>
    <row r="169" spans="1:15" ht="15" customHeight="1" x14ac:dyDescent="0.25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25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25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25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25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25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25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25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 x14ac:dyDescent="0.25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25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25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25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25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25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25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25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25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25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25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25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25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 x14ac:dyDescent="0.25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 x14ac:dyDescent="0.25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25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25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395</v>
      </c>
      <c r="O193" s="31"/>
    </row>
    <row r="194" spans="1:15" ht="15" customHeight="1" x14ac:dyDescent="0.25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396</v>
      </c>
      <c r="O194" s="31"/>
    </row>
    <row r="195" spans="1:15" ht="15" customHeight="1" x14ac:dyDescent="0.25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25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25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25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25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25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25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25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25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 x14ac:dyDescent="0.25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25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25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397</v>
      </c>
      <c r="O206" s="60"/>
    </row>
    <row r="207" spans="1:15" ht="15" customHeight="1" x14ac:dyDescent="0.25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25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25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25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25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25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25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25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25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25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 x14ac:dyDescent="0.25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 x14ac:dyDescent="0.25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398</v>
      </c>
      <c r="O218" s="60"/>
    </row>
    <row r="219" spans="1:15" ht="15" customHeight="1" x14ac:dyDescent="0.25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25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399</v>
      </c>
      <c r="O220" s="60"/>
    </row>
    <row r="221" spans="1:15" ht="15" customHeight="1" x14ac:dyDescent="0.25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25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25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25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25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25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25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25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25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25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 x14ac:dyDescent="0.25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25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401</v>
      </c>
      <c r="O232" s="60"/>
    </row>
    <row r="233" spans="1:15" ht="15" customHeight="1" x14ac:dyDescent="0.25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25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25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25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25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25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25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25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25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25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25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 x14ac:dyDescent="0.25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 x14ac:dyDescent="0.25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402</v>
      </c>
      <c r="O245" s="60"/>
    </row>
    <row r="246" spans="1:15" ht="15" customHeight="1" x14ac:dyDescent="0.25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25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25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25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25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25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25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25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25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25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25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25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 x14ac:dyDescent="0.25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25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25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25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25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25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25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25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25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25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25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25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25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 x14ac:dyDescent="0.25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 x14ac:dyDescent="0.25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25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25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25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25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25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25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25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25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25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25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25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25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 x14ac:dyDescent="0.25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25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25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25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25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25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25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25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25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25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25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25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25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 x14ac:dyDescent="0.25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 x14ac:dyDescent="0.25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403</v>
      </c>
      <c r="O299" s="60"/>
    </row>
    <row r="300" spans="1:15" ht="15" customHeight="1" x14ac:dyDescent="0.25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25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25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25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25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25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25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25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25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25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25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25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 x14ac:dyDescent="0.25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25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25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25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25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25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25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284</v>
      </c>
      <c r="O318" s="60"/>
    </row>
    <row r="319" spans="1:15" ht="15" customHeight="1" x14ac:dyDescent="0.25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25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25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25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25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25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 x14ac:dyDescent="0.25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 x14ac:dyDescent="0.25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25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312</v>
      </c>
      <c r="O327" s="60"/>
    </row>
    <row r="328" spans="1:15" ht="15" customHeight="1" x14ac:dyDescent="0.25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25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25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25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25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25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25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25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25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25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25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 x14ac:dyDescent="0.25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25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25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25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25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25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25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25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25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405</v>
      </c>
      <c r="O347" s="60"/>
    </row>
    <row r="348" spans="1:15" ht="15" customHeight="1" x14ac:dyDescent="0.25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25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25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25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 x14ac:dyDescent="0.25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 x14ac:dyDescent="0.25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25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25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25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25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25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25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25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25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25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25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25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25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 x14ac:dyDescent="0.25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25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25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25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25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25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25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25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25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25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25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25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25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 x14ac:dyDescent="0.25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 x14ac:dyDescent="0.25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407</v>
      </c>
      <c r="O380" s="60"/>
    </row>
    <row r="381" spans="1:15" ht="15" customHeight="1" x14ac:dyDescent="0.25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25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394</v>
      </c>
      <c r="O382" s="60"/>
    </row>
    <row r="383" spans="1:15" ht="15" customHeight="1" x14ac:dyDescent="0.25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25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25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25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25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25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25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25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25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25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 x14ac:dyDescent="0.25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25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408</v>
      </c>
      <c r="O394" s="60"/>
    </row>
    <row r="395" spans="1:15" ht="15" customHeight="1" x14ac:dyDescent="0.25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25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25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25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409</v>
      </c>
      <c r="O398" s="60"/>
    </row>
    <row r="399" spans="1:15" ht="15" customHeight="1" x14ac:dyDescent="0.25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25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25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25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25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25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25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 x14ac:dyDescent="0.25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 x14ac:dyDescent="0.25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25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25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25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25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25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25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25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25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25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25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25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25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 x14ac:dyDescent="0.25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25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25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25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25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25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410</v>
      </c>
      <c r="O425" s="60"/>
    </row>
    <row r="426" spans="1:15" ht="15" customHeight="1" x14ac:dyDescent="0.25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25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25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25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25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25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25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 x14ac:dyDescent="0.25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 x14ac:dyDescent="0.25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25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25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25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25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25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25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25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25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25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25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25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25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 x14ac:dyDescent="0.25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25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25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25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25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25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25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25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25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25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25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25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25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 x14ac:dyDescent="0.25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 x14ac:dyDescent="0.25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411</v>
      </c>
      <c r="O461" s="60"/>
    </row>
    <row r="462" spans="1:15" ht="15" customHeight="1" x14ac:dyDescent="0.25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412</v>
      </c>
      <c r="O462" s="60"/>
    </row>
    <row r="463" spans="1:15" ht="15" customHeight="1" x14ac:dyDescent="0.25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25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25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387</v>
      </c>
      <c r="O465" s="60"/>
    </row>
    <row r="466" spans="1:15" ht="15" customHeight="1" x14ac:dyDescent="0.25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25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25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25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25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25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25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25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 x14ac:dyDescent="0.25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25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25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25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25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25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25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25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25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25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25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25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25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 x14ac:dyDescent="0.25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 x14ac:dyDescent="0.25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25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387</v>
      </c>
      <c r="O489" s="60"/>
    </row>
    <row r="490" spans="1:15" ht="15" customHeight="1" x14ac:dyDescent="0.25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25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25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25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25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25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25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25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25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25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25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 x14ac:dyDescent="0.25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25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25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413</v>
      </c>
      <c r="O503" s="60"/>
    </row>
    <row r="504" spans="1:15" ht="15" customHeight="1" x14ac:dyDescent="0.25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25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25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25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25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25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25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25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25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25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 x14ac:dyDescent="0.25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 x14ac:dyDescent="0.25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414</v>
      </c>
      <c r="O515" s="60"/>
    </row>
    <row r="516" spans="1:15" ht="15" customHeight="1" x14ac:dyDescent="0.25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25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415</v>
      </c>
      <c r="O517" s="60"/>
    </row>
    <row r="518" spans="1:15" ht="15" customHeight="1" x14ac:dyDescent="0.25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25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25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25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25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25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25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25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25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25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 x14ac:dyDescent="0.25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25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25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25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25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25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25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25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25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25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25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25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25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 x14ac:dyDescent="0.25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 x14ac:dyDescent="0.25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416</v>
      </c>
      <c r="O542" s="60"/>
    </row>
    <row r="543" spans="1:15" ht="15" customHeight="1" x14ac:dyDescent="0.25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417</v>
      </c>
      <c r="O543" s="60"/>
    </row>
    <row r="544" spans="1:15" ht="15" customHeight="1" x14ac:dyDescent="0.25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418</v>
      </c>
      <c r="O544" s="60"/>
    </row>
    <row r="545" spans="1:15" ht="15" customHeight="1" x14ac:dyDescent="0.25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 x14ac:dyDescent="0.25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25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25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25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25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25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25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25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25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 x14ac:dyDescent="0.25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 x14ac:dyDescent="0.25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6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 x14ac:dyDescent="0.25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419</v>
      </c>
      <c r="O557" s="60"/>
    </row>
    <row r="558" spans="1:15" ht="15" customHeight="1" x14ac:dyDescent="0.25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25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25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25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25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25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25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25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25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25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 x14ac:dyDescent="0.25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 x14ac:dyDescent="0.25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420</v>
      </c>
      <c r="O569" s="60"/>
    </row>
    <row r="570" spans="1:15" ht="15" customHeight="1" x14ac:dyDescent="0.25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25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25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25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25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25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25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25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25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25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25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25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 x14ac:dyDescent="0.25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 x14ac:dyDescent="0.25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3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 x14ac:dyDescent="0.25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 x14ac:dyDescent="0.25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 x14ac:dyDescent="0.25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 x14ac:dyDescent="0.25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 x14ac:dyDescent="0.25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 x14ac:dyDescent="0.25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 x14ac:dyDescent="0.25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 x14ac:dyDescent="0.25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 x14ac:dyDescent="0.25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 x14ac:dyDescent="0.25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 x14ac:dyDescent="0.25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 x14ac:dyDescent="0.25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 x14ac:dyDescent="0.25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 x14ac:dyDescent="0.25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 x14ac:dyDescent="0.25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 x14ac:dyDescent="0.25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 x14ac:dyDescent="0.25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 x14ac:dyDescent="0.25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421</v>
      </c>
      <c r="O601" s="60"/>
    </row>
    <row r="602" spans="1:15" ht="15" customHeight="1" x14ac:dyDescent="0.25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 x14ac:dyDescent="0.25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25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25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25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25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25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 x14ac:dyDescent="0.25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 x14ac:dyDescent="0.25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 x14ac:dyDescent="0.25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 x14ac:dyDescent="0.25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25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25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25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25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25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25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25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25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25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 x14ac:dyDescent="0.25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 x14ac:dyDescent="0.25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 x14ac:dyDescent="0.25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 x14ac:dyDescent="0.25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 x14ac:dyDescent="0.25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 x14ac:dyDescent="0.25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422</v>
      </c>
      <c r="O627" s="60"/>
    </row>
    <row r="628" spans="1:15" ht="15" customHeight="1" x14ac:dyDescent="0.25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 x14ac:dyDescent="0.25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25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25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25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25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25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25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 x14ac:dyDescent="0.25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423</v>
      </c>
      <c r="O636" s="60"/>
    </row>
    <row r="637" spans="1:15" ht="15" customHeight="1" x14ac:dyDescent="0.25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 x14ac:dyDescent="0.25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 x14ac:dyDescent="0.25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25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25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25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25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25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25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25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25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25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 x14ac:dyDescent="0.25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 x14ac:dyDescent="0.25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424</v>
      </c>
      <c r="O650" s="60"/>
    </row>
    <row r="651" spans="1:15" ht="15" customHeight="1" x14ac:dyDescent="0.25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25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25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25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25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25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25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25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25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25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25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25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 x14ac:dyDescent="0.25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 x14ac:dyDescent="0.25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 x14ac:dyDescent="0.25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25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425</v>
      </c>
      <c r="O666" s="60"/>
    </row>
    <row r="667" spans="1:15" ht="15" customHeight="1" x14ac:dyDescent="0.25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25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25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25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25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25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25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25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25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 x14ac:dyDescent="0.25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 x14ac:dyDescent="0.25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 x14ac:dyDescent="0.25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 x14ac:dyDescent="0.25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 x14ac:dyDescent="0.25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 x14ac:dyDescent="0.25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 x14ac:dyDescent="0.25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 x14ac:dyDescent="0.25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25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25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25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25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25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25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 x14ac:dyDescent="0.25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 x14ac:dyDescent="0.25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426</v>
      </c>
      <c r="O691" s="60"/>
    </row>
    <row r="692" spans="1:15" ht="15" customHeight="1" x14ac:dyDescent="0.25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427</v>
      </c>
      <c r="O692" s="60"/>
    </row>
    <row r="693" spans="1:15" ht="15" customHeight="1" x14ac:dyDescent="0.25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25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25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25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25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25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25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25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25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25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 x14ac:dyDescent="0.25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 x14ac:dyDescent="0.25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284</v>
      </c>
      <c r="O704" s="60"/>
    </row>
    <row r="705" spans="1:15" ht="15" customHeight="1" x14ac:dyDescent="0.25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 x14ac:dyDescent="0.25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326</v>
      </c>
      <c r="O706" s="60"/>
    </row>
    <row r="707" spans="1:15" ht="15" customHeight="1" x14ac:dyDescent="0.25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 x14ac:dyDescent="0.25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 x14ac:dyDescent="0.25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 x14ac:dyDescent="0.25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25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25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25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25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25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25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 x14ac:dyDescent="0.25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 x14ac:dyDescent="0.25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 x14ac:dyDescent="0.25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 x14ac:dyDescent="0.25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 x14ac:dyDescent="0.25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 x14ac:dyDescent="0.25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 x14ac:dyDescent="0.25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428</v>
      </c>
      <c r="O723" s="60"/>
    </row>
    <row r="724" spans="1:15" ht="15" customHeight="1" x14ac:dyDescent="0.25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25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25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25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25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25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 x14ac:dyDescent="0.25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 x14ac:dyDescent="0.25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 x14ac:dyDescent="0.25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429</v>
      </c>
      <c r="O732" s="60"/>
    </row>
    <row r="733" spans="1:15" ht="15" customHeight="1" x14ac:dyDescent="0.25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 x14ac:dyDescent="0.25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430</v>
      </c>
      <c r="O734" s="60"/>
    </row>
    <row r="735" spans="1:15" ht="15" customHeight="1" x14ac:dyDescent="0.25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 x14ac:dyDescent="0.25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 x14ac:dyDescent="0.25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 x14ac:dyDescent="0.25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 x14ac:dyDescent="0.25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 x14ac:dyDescent="0.25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25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25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25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 x14ac:dyDescent="0.25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 x14ac:dyDescent="0.25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 x14ac:dyDescent="0.25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 x14ac:dyDescent="0.25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 x14ac:dyDescent="0.25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 x14ac:dyDescent="0.25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 x14ac:dyDescent="0.25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25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25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25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25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25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25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 x14ac:dyDescent="0.25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 x14ac:dyDescent="0.25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 x14ac:dyDescent="0.25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341</v>
      </c>
      <c r="O759" s="60"/>
    </row>
    <row r="760" spans="1:15" ht="15" customHeight="1" x14ac:dyDescent="0.25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 x14ac:dyDescent="0.25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25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25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25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25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25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25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25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25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25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 x14ac:dyDescent="0.25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427</v>
      </c>
      <c r="O771" s="60"/>
    </row>
    <row r="772" spans="1:15" ht="15" customHeight="1" x14ac:dyDescent="0.25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 x14ac:dyDescent="0.25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 x14ac:dyDescent="0.25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431</v>
      </c>
      <c r="O774" s="60"/>
    </row>
    <row r="775" spans="1:15" ht="15" customHeight="1" x14ac:dyDescent="0.25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25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25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25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25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25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25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25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25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 x14ac:dyDescent="0.25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 x14ac:dyDescent="0.25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 t="s">
        <v>19</v>
      </c>
      <c r="I785" s="33" t="s">
        <v>57</v>
      </c>
      <c r="J785" s="33" t="s">
        <v>27</v>
      </c>
      <c r="K785" s="29">
        <v>0.4548611111111111</v>
      </c>
      <c r="L785" s="29">
        <v>0.46458333333333335</v>
      </c>
      <c r="M785" s="35">
        <f t="shared" ref="M785:M796" ca="1" si="174">IFERROR(IF(K785="","",IF(L785="",MOD(NOW()-K785,1),IF(L785&gt;=K785,L785-K785,L785+1-K785))),"")</f>
        <v>9.7222222222222432E-3</v>
      </c>
      <c r="N785" s="27"/>
      <c r="O785" s="60"/>
    </row>
    <row r="786" spans="1:15" ht="15" customHeight="1" x14ac:dyDescent="0.25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25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25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25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25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25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25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25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25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25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25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25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9.7222222222222432E-3</v>
      </c>
      <c r="N797" s="36" t="s">
        <v>236</v>
      </c>
      <c r="O797" s="39"/>
    </row>
    <row r="798" spans="1:15" ht="15" customHeight="1" x14ac:dyDescent="0.25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25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25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25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25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25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25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25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25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25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25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25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25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25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9.7222222222222432E-3</v>
      </c>
      <c r="N811" s="40" t="s">
        <v>239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2026-07-30T17:11:10Z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