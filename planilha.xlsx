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54" documentId="8_{C51EB6CB-002B-4D6B-B68F-DDEBDB4460C0}" xr6:coauthVersionLast="47" xr6:coauthVersionMax="47" xr10:uidLastSave="{A2A26BFB-17A6-410F-9C87-0310F737C167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<sst xmlns="http://schemas.openxmlformats.org/spreadsheetml/2006/main" count="1791" uniqueCount="256">
  <si>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</si>
  <si>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</si>
  <si>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</si>
  <si>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</si>
  <si>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</si>
  <si>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</si>
  <si>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</si>
  <si>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</si>
  <si>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</si>
  <si>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</si>
  <si>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</si>
  <si>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</si>
  <si>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</si>
  <si>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</si>
  <si>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</si>
  <si>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</si>
  <si>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</si>
  <si>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</si>
  <si>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</si>
  <si>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</si>
  <si>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</si>
  <si>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</si>
  <si>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</si>
  <si>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</si>
  <si>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</si>
  <si>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</si>
  <si>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</si>
  <si>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</si>
  <si>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</si>
  <si>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</si>
  <si>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</si>
  <si>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</si>
  <si>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</si>
  <si>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</si>
  <si>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</si>
  <si>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</si>
  <si>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</si>
  <si>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</si>
  <si>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</si>
  <si>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</si>
  <si>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</si>
  <si>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</si>
  <si>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</si>
  <si>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</si>
  <si>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</si>
  <si>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</si>
  <si>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</si>
  <si>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</si>
  <si>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</si>
  <si>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</si>
  <si>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</si>
  <si>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</si>
  <si>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</si>
  <si>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</si>
  <si>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</si>
  <si>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</si>
  <si>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</si>
  <si>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</si>
  <si>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</si>
  <si>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</si>
  <si>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</si>
  <si>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</si>
  <si>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</si>
  <si>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</si>
  <si>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</si>
  <si>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</si>
  <si>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</si>
  <si>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</si>
  <si>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</si>
  <si>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</si>
  <si>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</si>
  <si>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</si>
  <si>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</si>
  <si>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</si>
  <si>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</si>
  <si>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</si>
  <si>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</si>
  <si>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</si>
  <si>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</si>
  <si>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</si>
  <si>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</si>
  <si>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</si>
  <si>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</si>
  <si>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</si>
  <si>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</si>
  <si>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</si>
  <si>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</si>
  <si>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</si>
  <si>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</si>
  <si>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</si>
  <si>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</si>
  <si>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</si>
  <si>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</si>
  <si>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</si>
  <si>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</si>
  <si>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</si>
  <si>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</si>
  <si>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</si>
  <si>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</si>
  <si>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</si>
  <si>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</si>
  <si>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</si>
  <si>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</si>
  <si>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</si>
  <si>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</si>
  <si>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</si>
  <si>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</si>
  <si>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</si>
  <si>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</si>
  <si>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</si>
  <si>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</si>
  <si>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</si>
  <si>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</si>
  <si>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</si>
  <si>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</si>
  <si>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</si>
  <si>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</si>
  <si>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</si>
  <si>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</si>
  <si>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</si>
  <si>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</si>
  <si>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</si>
  <si>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</si>
  <si>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</si>
  <si>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</si>
  <si>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</si>
  <si>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</si>
  <si>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</si>
  <si>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</si>
  <si>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</si>
  <si>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</si>
  <si>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</si>
  <si>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</si>
  <si>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</si>
  <si>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</si>
  <si>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</si>
  <si>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</si>
  <si>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</si>
  <si>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</si>
  <si>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</si>
  <si>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</si>
  <si>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</si>
  <si>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</si>
  <si>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</si>
  <si>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</si>
  <si>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</si>
  <si>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</si>
  <si>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</si>
  <si>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</si>
  <si>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</si>
  <si>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</si>
  <si>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</si>
  <si>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</si>
  <si>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</si>
  <si>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</si>
  <si>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</si>
  <si>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</si>
  <si>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</si>
  <si>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</si>
  <si>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</si>
  <si>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</si>
  <si>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</si>
  <si>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</si>
  <si>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</si>
  <si>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</si>
  <si>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</si>
  <si>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</si>
  <si>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</si>
  <si>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</si>
  <si>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</si>
  <si>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</si>
  <si>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</si>
  <si>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</si>
  <si>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</si>
  <si>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</si>
  <si>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</si>
  <si>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</si>
  <si>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</si>
  <si>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</si>
  <si>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</si>
  <si>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</si>
  <si>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</si>
  <si>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</si>
  <si>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</si>
  <si>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</si>
  <si>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</si>
  <si>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</si>
  <si>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</si>
  <si>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</si>
  <si>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</si>
  <si>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</si>
  <si>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</si>
  <si>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</si>
  <si>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</si>
  <si>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</si>
  <si>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</si>
  <si>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</si>
  <si>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</si>
  <si>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</si>
  <si>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</si>
  <si>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</si>
  <si>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</si>
  <si>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</si>
  <si>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</si>
  <si>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</si>
  <si>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</si>
  <si>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</si>
  <si>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</si>
  <si>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</si>
  <si>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</si>
  <si>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</si>
  <si>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</si>
  <si>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</si>
  <si>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</si>
  <si>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</si>
  <si>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</si>
  <si>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</si>
  <si>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</si>
  <si>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</si>
  <si>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</si>
  <si>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</si>
  <si>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</si>
  <si>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</si>
  <si>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</si>
  <si>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</si>
  <si>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</si>
  <si>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</si>
  <si>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</si>
  <si>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</si>
  <si>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</si>
  <si>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</si>
  <si>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</si>
  <si>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</si>
  <si>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</si>
  <si>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</si>
  <si>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</si>
  <si>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</si>
  <si>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</si>
  <si>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</si>
  <si>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</si>
  <si>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</si>
  <si>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</si>
  <si>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</si>
  <si>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</si>
  <si>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</si>
  <si>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</si>
  <si>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</si>
  <si>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</si>
  <si>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</si>
  <si>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</si>
  <si>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troca de martelo</t>
  </si>
  <si>
    <t>processando blend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</si>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</sst>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8" activePane="bottomLeft" state="frozen"/>
      <selection pane="bottomLeft" activeCell="L42" sqref="L4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/>
      <c r="M42" s="30">
        <f t="shared" ref="M42:M53" ca="1" si="10">IFERROR(IF(K42="","",IF(L42="",MOD(NOW()-K42,1),IF(L42&gt;=K42,L42-K42,L42+1-K42))),"")</f>
        <v>0.13178946759580867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45</v>
      </c>
      <c r="G54" s="36">
        <f>SUM(G42:G53)</f>
        <v>225</v>
      </c>
      <c r="H54" s="37"/>
      <c r="I54" s="37"/>
      <c r="J54" s="37"/>
      <c r="K54" s="37"/>
      <c r="L54" s="37"/>
      <c r="M54" s="38">
        <f ca="1">IFERROR(SUM(M42:M53),"")</f>
        <v>0.13178946759580867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298</v>
      </c>
      <c r="G55" s="40">
        <f>G41+G54</f>
        <v>920</v>
      </c>
      <c r="H55" s="41"/>
      <c r="I55" s="41"/>
      <c r="J55" s="41"/>
      <c r="K55" s="41"/>
      <c r="L55" s="41"/>
      <c r="M55" s="42">
        <f ca="1">IFERROR(M41+M54,"")</f>
        <v>0.19151168981803085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8" activePane="bottomLeft" state="frozen"/>
      <selection pane="bottomLeft" activeCell="I48" sqref="I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6</v>
      </c>
      <c r="G44" s="34">
        <f t="shared" si="9"/>
        <v>25.200000000000003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 t="s">
        <v>39</v>
      </c>
      <c r="J48" s="26"/>
      <c r="K48" s="29">
        <v>0.96666666666666667</v>
      </c>
      <c r="L48" s="29"/>
      <c r="M48" s="30">
        <f t="shared" ca="1" si="11"/>
        <v>6.0950231491005979E-3</v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30</v>
      </c>
      <c r="G54" s="36">
        <f>SUM(G42:G53)</f>
        <v>126.00000000000001</v>
      </c>
      <c r="H54" s="37"/>
      <c r="I54" s="37"/>
      <c r="J54" s="37"/>
      <c r="K54" s="37"/>
      <c r="L54" s="37"/>
      <c r="M54" s="38">
        <f ca="1">IFERROR(SUM(M42:M53),"")</f>
        <v>4.8456134260211781E-2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110</v>
      </c>
      <c r="G55" s="40">
        <f>G41+G54</f>
        <v>449.4</v>
      </c>
      <c r="H55" s="41"/>
      <c r="I55" s="41"/>
      <c r="J55" s="41"/>
      <c r="K55" s="41"/>
      <c r="L55" s="41"/>
      <c r="M55" s="42">
        <f ca="1">IFERROR(M41+M54,"")</f>
        <v>0.13317835648243409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9" zoomScale="50" zoomScaleNormal="50" workbookViewId="0">
      <selection activeCell="K47" sqref="K4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10</v>
      </c>
      <c r="G44" s="34">
        <f t="shared" si="9"/>
        <v>42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/>
      <c r="G46" s="34" t="str">
        <f t="shared" si="9"/>
        <v/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/>
      <c r="M46" s="30">
        <f t="shared" ca="1" si="10"/>
        <v>5.3946759726386517E-4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18</v>
      </c>
      <c r="G54" s="36">
        <f>SUM(G42:G53)</f>
        <v>75.599999999999994</v>
      </c>
      <c r="H54" s="37"/>
      <c r="I54" s="37"/>
      <c r="J54" s="37"/>
      <c r="K54" s="37"/>
      <c r="L54" s="37"/>
      <c r="M54" s="38">
        <f ca="1">IFERROR(SUM(M42:M53),"")</f>
        <v>7.9706134263930584E-2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95</v>
      </c>
      <c r="G55" s="40">
        <f>G41+G54</f>
        <v>399</v>
      </c>
      <c r="H55" s="41"/>
      <c r="I55" s="41"/>
      <c r="J55" s="41"/>
      <c r="K55" s="41"/>
      <c r="L55" s="41"/>
      <c r="M55" s="42">
        <f ca="1">IFERROR(M41+M54,"")</f>
        <v>0.10053946759726395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L45" sqref="L4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 t="s">
        <v>20</v>
      </c>
      <c r="I45" s="33" t="s">
        <v>57</v>
      </c>
      <c r="J45" s="33" t="s">
        <v>142</v>
      </c>
      <c r="K45" s="29">
        <v>0.96944444444444444</v>
      </c>
      <c r="L45" s="29"/>
      <c r="M45" s="35">
        <f t="shared" ca="1" si="10"/>
        <v>3.3172453695442528E-3</v>
      </c>
      <c r="N45" s="27" t="s">
        <v>251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39</v>
      </c>
      <c r="G54" s="36">
        <f>SUM(G42:G53)</f>
        <v>163.80000000000001</v>
      </c>
      <c r="H54" s="37"/>
      <c r="I54" s="37"/>
      <c r="J54" s="37"/>
      <c r="K54" s="61"/>
      <c r="L54" s="61"/>
      <c r="M54" s="38">
        <f ca="1">IFERROR(SUM(M42:M53),"")</f>
        <v>5.2622800925099744E-2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180</v>
      </c>
      <c r="G55" s="40">
        <f>G41+G54</f>
        <v>722.40000000000009</v>
      </c>
      <c r="H55" s="41"/>
      <c r="I55" s="41"/>
      <c r="J55" s="41"/>
      <c r="K55" s="63"/>
      <c r="L55" s="63"/>
      <c r="M55" s="42">
        <f ca="1">IFERROR(M41+M54,"")</f>
        <v>6.3733912036210816E-2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2026-08-03T03:21:17Z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