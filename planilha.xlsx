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527" documentId="8_{AF585B22-221D-4780-BB9C-493D365A6A02}" xr6:coauthVersionLast="47" xr6:coauthVersionMax="47" xr10:uidLastSave="{CB18E568-D813-42C1-9241-BA055481C6AE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<sst xmlns="http://schemas.openxmlformats.org/spreadsheetml/2006/main" count="8375" uniqueCount="360">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</sst>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96" activePane="bottomLeft" state="frozen"/>
      <selection pane="bottomLeft" activeCell="L528" sqref="L5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/>
      <c r="G528" s="28" t="str">
        <f t="shared" ref="G528:G539" si="117">IF(F528="","",IF(E528="PC 17",F528*4.2,IF(E528="PC 19",F528*5,"")))</f>
        <v/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/>
      <c r="M528" s="30">
        <f t="shared" ref="M528:M539" ca="1" si="118">IFERROR(IF(K528="","",IF(L528="",MOD(NOW()-K528,1),IF(L528&gt;=K528,L528-K528,L528+1-K528))),"")</f>
        <v>0.53432476852321997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228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228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228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228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228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0.53432476852321997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174</v>
      </c>
      <c r="G541" s="40">
        <f>G527+G540</f>
        <v>870</v>
      </c>
      <c r="H541" s="41"/>
      <c r="I541" s="41"/>
      <c r="J541" s="41"/>
      <c r="K541" s="41"/>
      <c r="L541" s="41"/>
      <c r="M541" s="42">
        <f ca="1">IFERROR(M527+M540,"")</f>
        <v>0.73085254630099772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F528" sqref="F5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0.58640810185170267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0.74404699074059155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0.85376921296281372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0.5648803240765119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0.73571365740984529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0.88085254629873422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184</v>
      </c>
      <c r="G541" s="40">
        <f>G527+G540</f>
        <v>772.80000000000007</v>
      </c>
      <c r="H541" s="41"/>
      <c r="I541" s="41"/>
      <c r="J541" s="41"/>
      <c r="K541" s="41"/>
      <c r="L541" s="41"/>
      <c r="M541" s="42">
        <f ca="1">IFERROR(M527+M540,"")</f>
        <v>8.7500000000000078E-2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J529" sqref="J5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/>
      <c r="G528" s="28" t="str">
        <f t="shared" ref="G528:G539" si="117">IF(F528="","",IF(E528="PC 17",F528*4.2,IF(E528="PC 19",F528*5,"")))</f>
        <v/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/>
      <c r="M529" s="35">
        <f t="shared" ca="1" si="118"/>
        <v>1.557476852030959E-2</v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2.3908101853642894E-2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51</v>
      </c>
      <c r="G541" s="40">
        <f>G527+G540</f>
        <v>214.20000000000005</v>
      </c>
      <c r="H541" s="41"/>
      <c r="I541" s="41"/>
      <c r="J541" s="41"/>
      <c r="K541" s="41"/>
      <c r="L541" s="41"/>
      <c r="M541" s="42">
        <f ca="1">IFERROR(M527+M540,"")</f>
        <v>0.12807476852030947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28" sqref="F5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0.5766858796341694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0.77599143518972502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1.143352546300836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359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80</v>
      </c>
      <c r="G541" s="40">
        <f>G527+G540</f>
        <v>336.00000000000006</v>
      </c>
      <c r="H541" s="41"/>
      <c r="I541" s="41"/>
      <c r="J541" s="41"/>
      <c r="K541" s="63"/>
      <c r="L541" s="63"/>
      <c r="M541" s="42">
        <f ca="1">IFERROR(M527+M540,"")</f>
        <v>0.3118055555555555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2026-07-20T23:49:29Z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