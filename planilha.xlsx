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832" documentId="8_{AF585B22-221D-4780-BB9C-493D365A6A02}" xr6:coauthVersionLast="47" xr6:coauthVersionMax="47" xr10:uidLastSave="{1D38B3DC-ED1C-4BB1-B5FA-3F8EBBBCE72B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<sst xmlns="http://schemas.openxmlformats.org/spreadsheetml/2006/main" count="5317" uniqueCount="303">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</sst>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955688</v>
      </c>
      <c r="D15" s="11">
        <f>IFERROR('Linha 1'!O325,"")</f>
        <v>605560</v>
      </c>
      <c r="E15" s="11">
        <f>IFERROR('Linha 2'!O325,"")</f>
        <v>373300</v>
      </c>
      <c r="F15" s="11">
        <f>IFERROR('Linha 3'!O325,"")</f>
        <v>145580</v>
      </c>
      <c r="G15" s="12">
        <f t="shared" si="0"/>
        <v>1124440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34823228</v>
      </c>
      <c r="D35" s="13">
        <f>IFERROR(SUM(D4:D34),"")</f>
        <v>12465840</v>
      </c>
      <c r="E35" s="13">
        <f>IFERROR(SUM(E4:E34),"")</f>
        <v>8582050</v>
      </c>
      <c r="F35" s="13">
        <f>IFERROR(SUM(F4:F34),"")</f>
        <v>15574780</v>
      </c>
      <c r="G35" s="13">
        <f>IFERROR(SUM(G4:G34),"")</f>
        <v>36622670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92" activePane="bottomLeft" state="frozen"/>
      <selection pane="bottomLeft" activeCell="N313" sqref="N312:N31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20.5</v>
      </c>
      <c r="G301" s="34">
        <f t="shared" si="66"/>
        <v>102.5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217.5</v>
      </c>
      <c r="G311" s="36">
        <f>SUM(G299:G310)</f>
        <v>1087.5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/>
      <c r="F312" s="27">
        <v>23.6</v>
      </c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 t="s">
        <v>232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38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255.5</v>
      </c>
      <c r="G325" s="40">
        <f>G311+G324</f>
        <v>1087.5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221</v>
      </c>
      <c r="O325" s="48">
        <f>IFERROR(O311+O324,"")</f>
        <v>955688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03" activePane="bottomLeft" state="frozen"/>
      <selection pane="bottomLeft" activeCell="F315" sqref="F31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259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259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21</v>
      </c>
      <c r="G314" s="28">
        <f t="shared" si="69"/>
        <v>88.2</v>
      </c>
      <c r="H314" s="26"/>
      <c r="I314" s="26"/>
      <c r="J314" s="26"/>
      <c r="K314" s="29">
        <v>0.91249999999999998</v>
      </c>
      <c r="L314" s="29"/>
      <c r="M314" s="30">
        <f t="shared" ca="1" si="70"/>
        <v>6.0670138918794692E-3</v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43</v>
      </c>
      <c r="G324" s="36">
        <f>SUM(G312:G323)</f>
        <v>180.60000000000002</v>
      </c>
      <c r="H324" s="37"/>
      <c r="I324" s="37"/>
      <c r="J324" s="37"/>
      <c r="K324" s="37"/>
      <c r="L324" s="37"/>
      <c r="M324" s="38">
        <f ca="1">IFERROR(SUM(M312:M323),"")</f>
        <v>4.2872569447435116E-2</v>
      </c>
      <c r="N324" s="36" t="s">
        <v>218</v>
      </c>
      <c r="O324" s="78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134</v>
      </c>
      <c r="G325" s="40">
        <f>G311+G324</f>
        <v>562.79999999999995</v>
      </c>
      <c r="H325" s="41"/>
      <c r="I325" s="41"/>
      <c r="J325" s="41"/>
      <c r="K325" s="41"/>
      <c r="L325" s="41"/>
      <c r="M325" s="42">
        <f ca="1">IFERROR(M311+M324,"")</f>
        <v>0.19356701389187952</v>
      </c>
      <c r="N325" s="40" t="s">
        <v>221</v>
      </c>
      <c r="O325" s="84">
        <f>IFERROR(O311+O324,"")</f>
        <v>605560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06" zoomScale="50" zoomScaleNormal="50" workbookViewId="0">
      <selection activeCell="F315" sqref="F31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269</v>
      </c>
      <c r="N166" s="27" t="s">
        <v>270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272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273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274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275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276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/>
      <c r="M312" s="30">
        <f t="shared" ref="M312:M323" ca="1" si="70">IFERROR(IF(K312="","",IF(L312="",MOD(NOW()-K312,1),IF(L312&gt;=K312,L312-K312,L312+1-K312))),"")</f>
        <v>0.12203923611377832</v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9</v>
      </c>
      <c r="G314" s="28">
        <f t="shared" si="69"/>
        <v>37.800000000000004</v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28</v>
      </c>
      <c r="G324" s="36">
        <f>SUM(G312:G323)</f>
        <v>117.60000000000002</v>
      </c>
      <c r="H324" s="37"/>
      <c r="I324" s="37"/>
      <c r="J324" s="37"/>
      <c r="K324" s="37"/>
      <c r="L324" s="37"/>
      <c r="M324" s="38">
        <f ca="1">IFERROR(SUM(M312:M323),"")</f>
        <v>0.12203923611377832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97</v>
      </c>
      <c r="G325" s="40">
        <f>G311+G324</f>
        <v>412.20000000000005</v>
      </c>
      <c r="H325" s="41"/>
      <c r="I325" s="41"/>
      <c r="J325" s="41"/>
      <c r="K325" s="41"/>
      <c r="L325" s="41"/>
      <c r="M325" s="42">
        <f ca="1">IFERROR(M311+M324,"")</f>
        <v>0.22134479166933374</v>
      </c>
      <c r="N325" s="40" t="s">
        <v>221</v>
      </c>
      <c r="O325" s="48">
        <f>IFERROR(O311+O324,"")</f>
        <v>373300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05" activePane="bottomLeft" state="frozen"/>
      <selection pane="bottomLeft" activeCell="F315" sqref="F31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277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281</v>
      </c>
      <c r="L58" s="29">
        <v>0.54097222222222219</v>
      </c>
      <c r="M58" s="30" t="str">
        <f t="shared" ca="1" si="13"/>
        <v/>
      </c>
      <c r="N58" s="27" t="s">
        <v>282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287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0.66926145833713235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0.86856701389268798</v>
      </c>
      <c r="N135" s="36" t="s">
        <v>218</v>
      </c>
      <c r="O135" s="39">
        <v>729290</v>
      </c>
    </row>
    <row r="136" spans="1:18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1.235928125003799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233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293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294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295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296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297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298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300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301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302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/>
      <c r="G315" s="34" t="str">
        <f t="shared" si="69"/>
        <v/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/>
      <c r="G316" s="28" t="str">
        <f t="shared" si="69"/>
        <v/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/>
      <c r="G317" s="34" t="str">
        <f t="shared" si="69"/>
        <v/>
      </c>
      <c r="H317" s="33" t="s">
        <v>18</v>
      </c>
      <c r="I317" s="33" t="s">
        <v>128</v>
      </c>
      <c r="J317" s="33" t="s">
        <v>130</v>
      </c>
      <c r="K317" s="29">
        <v>0.89583333333333337</v>
      </c>
      <c r="L317" s="29"/>
      <c r="M317" s="35">
        <f t="shared" ca="1" si="70"/>
        <v>2.2733680554665625E-2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48</v>
      </c>
      <c r="G324" s="36">
        <f>SUM(G312:G323)</f>
        <v>217.6</v>
      </c>
      <c r="H324" s="37"/>
      <c r="I324" s="37"/>
      <c r="J324" s="37"/>
      <c r="K324" s="61"/>
      <c r="L324" s="61"/>
      <c r="M324" s="38">
        <f ca="1">IFERROR(SUM(M312:M323),"")</f>
        <v>6.3011458332443371E-2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78</v>
      </c>
      <c r="G325" s="40">
        <f>G311+G324</f>
        <v>343.6</v>
      </c>
      <c r="H325" s="41"/>
      <c r="I325" s="41"/>
      <c r="J325" s="41"/>
      <c r="K325" s="63"/>
      <c r="L325" s="63"/>
      <c r="M325" s="42">
        <f ca="1">IFERROR(M311+M324,"")</f>
        <v>0.4762059027768879</v>
      </c>
      <c r="N325" s="40" t="s">
        <v>221</v>
      </c>
      <c r="O325" s="48">
        <f>IFERROR(O311+O324,"")</f>
        <v>145580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2026-07-13T02:03:08Z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