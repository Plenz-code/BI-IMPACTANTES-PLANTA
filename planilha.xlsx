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37" documentId="8_{AF585B22-221D-4780-BB9C-493D365A6A02}" xr6:coauthVersionLast="47" xr6:coauthVersionMax="47" xr10:uidLastSave="{E88449A8-38E3-4736-A28E-1260DBEF3650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<sst xmlns="http://schemas.openxmlformats.org/spreadsheetml/2006/main" count="9992" uniqueCount="388">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</sst>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H653" sqref="H6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30</v>
      </c>
      <c r="G662" s="36">
        <f>SUM(G650:G661)</f>
        <v>150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30</v>
      </c>
      <c r="G676" s="40">
        <f>G662+G675</f>
        <v>150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J652" sqref="J6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0.12011539351806277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0.27775428240695166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0.38747650462917382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9.8587615742872003E-2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0.2694209490762054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0.41455983796509427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/>
      <c r="G651" s="34" t="str">
        <f t="shared" si="144"/>
        <v/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 t="s">
        <v>18</v>
      </c>
      <c r="I652" s="26"/>
      <c r="J652" s="26" t="s">
        <v>127</v>
      </c>
      <c r="K652" s="29">
        <v>0.35902777777777778</v>
      </c>
      <c r="L652" s="29"/>
      <c r="M652" s="30">
        <f t="shared" ca="1" si="145"/>
        <v>6.7094907717546448E-4</v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8</v>
      </c>
      <c r="G662" s="36">
        <f>SUM(G650:G661)</f>
        <v>33.6</v>
      </c>
      <c r="H662" s="37"/>
      <c r="I662" s="37"/>
      <c r="J662" s="37"/>
      <c r="K662" s="37"/>
      <c r="L662" s="37"/>
      <c r="M662" s="38">
        <f ca="1">IFERROR(SUM(M650:M661),"")</f>
        <v>4.6504282410508857E-2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8</v>
      </c>
      <c r="G676" s="40">
        <f>G662+G675</f>
        <v>33.6</v>
      </c>
      <c r="H676" s="41"/>
      <c r="I676" s="41"/>
      <c r="J676" s="41"/>
      <c r="K676" s="41"/>
      <c r="L676" s="41"/>
      <c r="M676" s="42">
        <f ca="1">IFERROR(M662+M675,"")</f>
        <v>4.6504282410508857E-2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E661" sqref="E6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320</v>
      </c>
      <c r="N166" s="27" t="s">
        <v>321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/>
      <c r="I650" s="26"/>
      <c r="J650" s="26"/>
      <c r="K650" s="29">
        <v>0.33541666666666664</v>
      </c>
      <c r="L650" s="29"/>
      <c r="M650" s="30">
        <f t="shared" ref="M650:M661" ca="1" si="145">IFERROR(IF(K650="","",IF(L650="",MOD(NOW()-K650,1),IF(L650&gt;=K650,L650-K650,L650+1-K650))),"")</f>
        <v>2.4282060185214505E-2</v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11</v>
      </c>
      <c r="G662" s="36">
        <f>SUM(G650:G661)</f>
        <v>46.2</v>
      </c>
      <c r="H662" s="37"/>
      <c r="I662" s="37"/>
      <c r="J662" s="37"/>
      <c r="K662" s="37"/>
      <c r="L662" s="37"/>
      <c r="M662" s="38">
        <f ca="1">IFERROR(SUM(M650:M661),"")</f>
        <v>2.4282060185214505E-2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</v>
      </c>
      <c r="G676" s="40">
        <f>G662+G675</f>
        <v>46.2</v>
      </c>
      <c r="H676" s="41"/>
      <c r="I676" s="41"/>
      <c r="J676" s="41"/>
      <c r="K676" s="41"/>
      <c r="L676" s="41"/>
      <c r="M676" s="42">
        <f ca="1">IFERROR(M662+M675,"")</f>
        <v>2.4282060185214505E-2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N651" sqref="N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345</v>
      </c>
      <c r="L58" s="29">
        <v>0.54097222222222219</v>
      </c>
      <c r="M58" s="30" t="str">
        <f t="shared" ca="1" si="13"/>
        <v/>
      </c>
      <c r="N58" s="27" t="s">
        <v>346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0.1103931713005295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0.30969872685608513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0.67705983796719615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6.8032060189580079E-2</v>
      </c>
      <c r="N650" s="27" t="s">
        <v>387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6.8032060189580079E-2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6.8032060189580079E-2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2026-07-25T12:39:16Z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