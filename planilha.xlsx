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92" documentId="8_{AF585B22-221D-4780-BB9C-493D365A6A02}" xr6:coauthVersionLast="47" xr6:coauthVersionMax="47" xr10:uidLastSave="{FAD443EE-67BF-47FD-B287-309925309CFC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B47" i="6"/>
  <c r="B48" i="6" s="1"/>
  <c r="B49" i="6" s="1"/>
  <c r="B50" i="6" s="1"/>
  <c r="B51" i="6" s="1"/>
  <c r="B52" i="6" s="1"/>
  <c r="B53" i="6" s="1"/>
  <c r="G46" i="6"/>
  <c r="G45" i="6"/>
  <c r="G44" i="6"/>
  <c r="B44" i="6"/>
  <c r="B45" i="6" s="1"/>
  <c r="B46" i="6" s="1"/>
  <c r="G43" i="6"/>
  <c r="B43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22" i="1" l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784" i="5" l="1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<sst xmlns="http://schemas.openxmlformats.org/spreadsheetml/2006/main" count="1850" uniqueCount="215">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</sst>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2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2"/>
      <color rgb="FF1B3A6B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21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11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6" t="s">
        <v>0</v>
      </c>
      <c r="B1" s="86"/>
      <c r="C1" s="86"/>
      <c r="D1" s="86"/>
      <c r="E1" s="86"/>
      <c r="F1" s="86"/>
      <c r="G1" s="86"/>
    </row>
    <row r="2" spans="1:7" ht="24.75" customHeight="1">
      <c r="A2" s="87"/>
      <c r="B2" s="8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8" t="s">
        <v>9</v>
      </c>
      <c r="B35" s="88"/>
      <c r="C35" s="13">
        <f>IFERROR(SUM(C4:C34),"")</f>
        <v>3740390</v>
      </c>
      <c r="D35" s="13">
        <f>IFERROR(SUM(D4:D34),"")</f>
        <v>1648560</v>
      </c>
      <c r="E35" s="13">
        <f>IFERROR(SUM(E4:E34),"")</f>
        <v>930910</v>
      </c>
      <c r="F35" s="13">
        <f>IFERROR(SUM(F4:F34),"")</f>
        <v>1308200</v>
      </c>
      <c r="G35" s="13">
        <f>IFERROR(SUM(G4:G34),"")</f>
        <v>3887670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9" t="s">
        <v>10</v>
      </c>
      <c r="B1" s="89"/>
      <c r="C1" s="89"/>
      <c r="D1" s="89"/>
      <c r="E1" s="89"/>
      <c r="F1" s="89"/>
      <c r="G1" s="89"/>
      <c r="H1" s="90"/>
      <c r="I1" s="91" t="s">
        <v>11</v>
      </c>
      <c r="J1" s="91"/>
      <c r="K1" s="91"/>
      <c r="L1" s="91"/>
      <c r="M1" s="91"/>
    </row>
    <row r="2" spans="1:13" ht="4.5" customHeight="1">
      <c r="H2" s="9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0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0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0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0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0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0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0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0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0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0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0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0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0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0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0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0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0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0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0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0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0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0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0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0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0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0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0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0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0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0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0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0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90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90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90"/>
      <c r="I48" s="16"/>
      <c r="J48" s="16"/>
      <c r="K48" s="16" t="s">
        <v>174</v>
      </c>
      <c r="L48" s="16"/>
      <c r="M48" s="16"/>
    </row>
    <row r="49" spans="1:13" ht="18" customHeight="1">
      <c r="H49" s="90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90"/>
      <c r="I50" s="16"/>
      <c r="J50" s="16"/>
      <c r="K50" s="16" t="s">
        <v>177</v>
      </c>
      <c r="L50" s="16"/>
      <c r="M50" s="16"/>
    </row>
    <row r="51" spans="1:13" ht="24" customHeight="1">
      <c r="H51" s="90"/>
      <c r="I51" s="17"/>
      <c r="J51" s="17"/>
      <c r="K51" s="17" t="s">
        <v>178</v>
      </c>
      <c r="L51" s="17"/>
      <c r="M51" s="17"/>
    </row>
    <row r="52" spans="1:13" ht="24" customHeight="1">
      <c r="H52" s="90"/>
      <c r="I52" s="16"/>
      <c r="J52" s="16"/>
      <c r="K52" s="16" t="s">
        <v>179</v>
      </c>
      <c r="L52" s="16"/>
      <c r="M52" s="16"/>
    </row>
    <row r="53" spans="1:13" ht="36" customHeight="1">
      <c r="H53" s="90"/>
      <c r="I53" s="17"/>
      <c r="J53" s="17"/>
      <c r="K53" s="17"/>
      <c r="L53" s="17"/>
      <c r="M53" s="17"/>
    </row>
    <row r="54" spans="1:13" ht="15" customHeight="1">
      <c r="H54" s="90"/>
      <c r="I54" s="16"/>
      <c r="J54" s="16"/>
      <c r="K54" s="16"/>
      <c r="L54" s="16"/>
      <c r="M54" s="16"/>
    </row>
    <row r="55" spans="1:13" ht="15" customHeight="1">
      <c r="H55" s="90"/>
      <c r="I55" s="17"/>
      <c r="J55" s="17"/>
      <c r="K55" s="17"/>
      <c r="L55" s="17"/>
      <c r="M55" s="17"/>
    </row>
    <row r="56" spans="1:13" ht="15" customHeight="1">
      <c r="H56" s="90"/>
      <c r="I56" s="16"/>
      <c r="J56" s="16"/>
      <c r="K56" s="16"/>
      <c r="L56" s="16"/>
      <c r="M56" s="16"/>
    </row>
    <row r="57" spans="1:13" ht="15" customHeight="1">
      <c r="H57" s="90"/>
      <c r="I57" s="17"/>
      <c r="J57" s="17"/>
      <c r="K57" s="17"/>
      <c r="L57" s="17"/>
      <c r="M57" s="17"/>
    </row>
    <row r="58" spans="1:13" ht="15" customHeight="1">
      <c r="H58" s="90"/>
      <c r="I58" s="16"/>
      <c r="J58" s="16"/>
      <c r="K58" s="16"/>
      <c r="L58" s="16"/>
      <c r="M58" s="16"/>
    </row>
    <row r="59" spans="1:13" ht="15" customHeight="1">
      <c r="H59" s="90"/>
      <c r="I59" s="17"/>
      <c r="J59" s="17"/>
      <c r="K59" s="17"/>
      <c r="L59" s="17"/>
      <c r="M59" s="17"/>
    </row>
    <row r="60" spans="1:13" ht="15" customHeight="1">
      <c r="H60" s="90"/>
      <c r="I60" s="16"/>
      <c r="J60" s="16"/>
      <c r="K60" s="16"/>
      <c r="L60" s="16"/>
      <c r="M60" s="16"/>
    </row>
    <row r="61" spans="1:13" ht="15" customHeight="1">
      <c r="H61" s="90"/>
      <c r="I61" s="17"/>
      <c r="J61" s="17"/>
      <c r="K61" s="17"/>
      <c r="L61" s="17"/>
      <c r="M61" s="17"/>
    </row>
    <row r="62" spans="1:13" ht="15" customHeight="1">
      <c r="H62" s="90"/>
      <c r="I62" s="16"/>
      <c r="J62" s="16"/>
      <c r="K62" s="16"/>
      <c r="L62" s="16"/>
      <c r="M62" s="16"/>
    </row>
    <row r="63" spans="1:13" ht="15" customHeight="1">
      <c r="H63" s="90"/>
      <c r="I63" s="17"/>
      <c r="J63" s="17"/>
      <c r="K63" s="17"/>
      <c r="L63" s="17"/>
      <c r="M63" s="17"/>
    </row>
    <row r="64" spans="1:13" ht="15" customHeight="1">
      <c r="H64" s="90"/>
      <c r="I64" s="16"/>
      <c r="J64" s="16"/>
      <c r="K64" s="16"/>
      <c r="L64" s="16"/>
      <c r="M64" s="16"/>
    </row>
    <row r="65" spans="8:13" ht="15" customHeight="1">
      <c r="H65" s="90"/>
      <c r="I65" s="17"/>
      <c r="J65" s="17"/>
      <c r="K65" s="17"/>
      <c r="L65" s="17"/>
      <c r="M65" s="17"/>
    </row>
    <row r="66" spans="8:13" ht="15" customHeight="1">
      <c r="H66" s="90"/>
      <c r="I66" s="16"/>
      <c r="J66" s="16"/>
      <c r="K66" s="16"/>
      <c r="L66" s="16"/>
      <c r="M66" s="16"/>
    </row>
    <row r="67" spans="8:13" ht="15" customHeight="1">
      <c r="H67" s="90"/>
      <c r="I67" s="17"/>
      <c r="J67" s="17"/>
      <c r="K67" s="17"/>
      <c r="L67" s="17"/>
      <c r="M67" s="17"/>
    </row>
    <row r="68" spans="8:13" ht="15" customHeight="1">
      <c r="H68" s="90"/>
      <c r="I68" s="16"/>
      <c r="J68" s="16"/>
      <c r="K68" s="16"/>
      <c r="L68" s="16"/>
      <c r="M68" s="16"/>
    </row>
    <row r="69" spans="8:13" ht="15" customHeight="1">
      <c r="H69" s="90"/>
      <c r="I69" s="17"/>
      <c r="J69" s="17"/>
      <c r="K69" s="17"/>
      <c r="L69" s="17"/>
      <c r="M69" s="17"/>
    </row>
    <row r="70" spans="8:13" ht="15" customHeight="1">
      <c r="H70" s="90"/>
      <c r="I70" s="16"/>
      <c r="J70" s="16"/>
      <c r="K70" s="16"/>
      <c r="L70" s="16"/>
      <c r="M70" s="16"/>
    </row>
    <row r="71" spans="8:13" ht="15" customHeight="1">
      <c r="H71" s="90"/>
      <c r="I71" s="17"/>
      <c r="J71" s="17"/>
      <c r="K71" s="17"/>
      <c r="L71" s="17"/>
      <c r="M71" s="17"/>
    </row>
    <row r="72" spans="8:13" ht="15" customHeight="1">
      <c r="H72" s="90"/>
      <c r="I72" s="16"/>
      <c r="J72" s="16"/>
      <c r="K72" s="16"/>
      <c r="L72" s="16"/>
      <c r="M72" s="16"/>
    </row>
    <row r="73" spans="8:13" ht="15" customHeight="1">
      <c r="H73" s="90"/>
      <c r="I73" s="17"/>
      <c r="J73" s="17"/>
      <c r="K73" s="17"/>
      <c r="L73" s="17"/>
      <c r="M73" s="17"/>
    </row>
    <row r="74" spans="8:13" ht="15" customHeight="1">
      <c r="H74" s="90"/>
      <c r="I74" s="16"/>
      <c r="J74" s="16"/>
      <c r="K74" s="16"/>
      <c r="L74" s="16"/>
      <c r="M74" s="16"/>
    </row>
    <row r="75" spans="8:13" ht="15" customHeight="1">
      <c r="H75" s="9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46" activePane="bottomLeft" state="frozen"/>
      <selection pane="bottomLeft" activeCell="F66" sqref="F6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190</v>
      </c>
      <c r="E2" s="59" t="s">
        <v>191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194</v>
      </c>
      <c r="O27" s="39">
        <v>1183060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198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194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194</v>
      </c>
      <c r="O54" s="39">
        <v>959290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197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191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191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322</v>
      </c>
      <c r="G68" s="36">
        <f>SUM(G56:G67)</f>
        <v>1610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322</v>
      </c>
      <c r="G82" s="40">
        <f>G68+G81</f>
        <v>1610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4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2" activePane="bottomLeft" state="frozen"/>
      <selection pane="bottomLeft" activeCell="F64" sqref="F6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194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194</v>
      </c>
      <c r="O27" s="78">
        <v>393200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197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93">
        <f t="shared" ref="M29:M40" ca="1" si="7">IFERROR(IF(K29="","",IF(L29="",MOD(NOW()-K29,1),IF(L29&gt;=K29,L29-K29,L29+1-K29))),"")</f>
        <v>7.1527777777777746E-2</v>
      </c>
      <c r="N29" s="46" t="s">
        <v>200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194</v>
      </c>
      <c r="O41" s="92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199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201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199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199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199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199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199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199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199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199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199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194</v>
      </c>
      <c r="O54" s="92">
        <v>276360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197</v>
      </c>
      <c r="O55" s="4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/>
      <c r="J56" s="26" t="s">
        <v>96</v>
      </c>
      <c r="K56" s="29">
        <v>0.29166666666666669</v>
      </c>
      <c r="L56" s="29">
        <v>0.41111111111111109</v>
      </c>
      <c r="M56" s="35">
        <f t="shared" ref="M56:M67" ca="1" si="13">IFERROR(IF(K56="","",IF(L56="",MOD(NOW()-K56,1),IF(L56&gt;=K56,L56-K56,L56+1-K56))),"")</f>
        <v>0.11944444444444441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 t="s">
        <v>17</v>
      </c>
      <c r="I57" s="33" t="s">
        <v>110</v>
      </c>
      <c r="J57" s="33"/>
      <c r="K57" s="29">
        <v>0.43194444444444446</v>
      </c>
      <c r="L57" s="29">
        <v>0.44097222222222221</v>
      </c>
      <c r="M57" s="30">
        <f t="shared" ca="1" si="13"/>
        <v>9.0277777777777457E-3</v>
      </c>
      <c r="N57" s="46" t="s">
        <v>202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 t="s">
        <v>18</v>
      </c>
      <c r="I58" s="26"/>
      <c r="J58" s="26"/>
      <c r="K58" s="29">
        <v>0.44722222222222224</v>
      </c>
      <c r="L58" s="29"/>
      <c r="M58" s="35">
        <f t="shared" ca="1" si="13"/>
        <v>0.28365162036789116</v>
      </c>
      <c r="N58" s="46" t="s">
        <v>203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0.41212384259011331</v>
      </c>
      <c r="N68" s="36" t="s">
        <v>194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54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0.41212384259011331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54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54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5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30" activePane="bottomLeft" state="frozen"/>
      <selection pane="bottomLeft" activeCell="F66" sqref="F6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194</v>
      </c>
      <c r="O27" s="39">
        <v>308500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199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199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199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199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199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199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199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199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199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199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199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199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199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199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194</v>
      </c>
      <c r="O54" s="39">
        <v>124290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197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207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199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199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199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199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199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199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199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199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80</v>
      </c>
      <c r="G68" s="36">
        <f>SUM(G56:G67)</f>
        <v>336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80</v>
      </c>
      <c r="G82" s="40">
        <f>G68+G81</f>
        <v>336</v>
      </c>
      <c r="H82" s="41"/>
      <c r="I82" s="41"/>
      <c r="J82" s="41"/>
      <c r="K82" s="41"/>
      <c r="L82" s="41"/>
      <c r="M82" s="42">
        <f ca="1">IFERROR(M68+M81,"")</f>
        <v>7.2222222222222132E-2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39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45" activePane="bottomLeft" state="frozen"/>
      <selection pane="bottomLeft" activeCell="J59" sqref="J5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194</v>
      </c>
      <c r="O27" s="39">
        <v>202230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194</v>
      </c>
      <c r="O54" s="39">
        <v>473910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197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213</v>
      </c>
      <c r="L58" s="29">
        <v>0.54097222222222219</v>
      </c>
      <c r="M58" s="30" t="str">
        <f t="shared" ca="1" si="13"/>
        <v/>
      </c>
      <c r="N58" s="27" t="s">
        <v>214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/>
      <c r="M59" s="35">
        <f t="shared" ca="1" si="13"/>
        <v>1.0734953706560191E-2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199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199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188</v>
      </c>
      <c r="G68" s="36">
        <f>SUM(G56:G67)</f>
        <v>789.60000000000014</v>
      </c>
      <c r="H68" s="37"/>
      <c r="I68" s="37"/>
      <c r="J68" s="37"/>
      <c r="K68" s="61"/>
      <c r="L68" s="61"/>
      <c r="M68" s="38">
        <f ca="1">IFERROR(SUM(M56:M67),"")</f>
        <v>4.0596064817671307E-2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188</v>
      </c>
      <c r="G82" s="40">
        <f>G68+G81</f>
        <v>789.60000000000014</v>
      </c>
      <c r="H82" s="41"/>
      <c r="I82" s="41"/>
      <c r="J82" s="41"/>
      <c r="K82" s="63"/>
      <c r="L82" s="63"/>
      <c r="M82" s="42">
        <f ca="1">IFERROR(M68+M81,"")</f>
        <v>4.0596064817671307E-2</v>
      </c>
      <c r="N82" s="40" t="s">
        <v>197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197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197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194</v>
      </c>
      <c r="O432" s="39"/>
    </row>
    <row r="433" spans="1:17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2026-07-03T21:33:46Z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