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99" documentId="8_{1D11E9C4-FEA4-4128-910F-91CB6BBF9255}" xr6:coauthVersionLast="47" xr6:coauthVersionMax="47" xr10:uidLastSave="{BAB9688A-B322-4FBE-AAAA-7543E6CC2BCF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3" sheetId="5" r:id="rId5"/>
    <sheet name="Linha 2" sheetId="4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<sst xmlns="http://schemas.openxmlformats.org/spreadsheetml/2006/main" count="8307" uniqueCount="375">
  <si>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</si>
  <si>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</si>
  <si>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</si>
  <si>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</si>
  <si>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</si>
  <si>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</si>
  <si>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</si>
  <si>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</si>
  <si>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</si>
  <si>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</si>
  <si>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</si>
  <si>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</si>
  <si>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</si>
  <si>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</si>
  <si>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</si>
  <si>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</si>
  <si>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</si>
  <si>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</si>
  <si>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</si>
  <si>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</si>
  <si>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</si>
  <si>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</si>
  <si>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</si>
  <si>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</si>
  <si>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</si>
  <si>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</si>
  <si>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</si>
  <si>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</si>
  <si>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</si>
  <si>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</si>
  <si>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</si>
  <si>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</si>
  <si>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</si>
  <si>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</si>
  <si>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</si>
  <si>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</si>
  <si>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</si>
  <si>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</si>
  <si>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</si>
  <si>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</si>
  <si>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</si>
  <si>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</si>
  <si>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</si>
  <si>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</si>
  <si>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</si>
  <si>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</si>
  <si>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</si>
  <si>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</si>
  <si>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</si>
  <si>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</si>
  <si>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</si>
  <si>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</si>
  <si>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</si>
  <si>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</si>
  <si>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</si>
  <si>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</si>
  <si>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</si>
  <si>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</si>
  <si>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</si>
  <si>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</si>
  <si>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</si>
  <si>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</si>
  <si>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</si>
  <si>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</si>
  <si>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</si>
  <si>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</si>
  <si>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</si>
  <si>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</si>
  <si>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</si>
  <si>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</si>
  <si>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</si>
  <si>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</si>
  <si>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</si>
  <si>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</si>
  <si>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</si>
  <si>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</si>
  <si>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</si>
  <si>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</si>
  <si>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</si>
  <si>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</si>
  <si>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</si>
  <si>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</si>
  <si>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</si>
  <si>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</si>
  <si>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</si>
  <si>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</si>
  <si>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</si>
  <si>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</si>
  <si>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</si>
  <si>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</si>
  <si>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</si>
  <si>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</si>
  <si>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</si>
  <si>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</si>
  <si>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</si>
  <si>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</si>
  <si>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</si>
  <si>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</si>
  <si>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</si>
  <si>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</si>
  <si>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</si>
  <si>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</si>
  <si>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</si>
  <si>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</si>
  <si>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</si>
  <si>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</si>
  <si>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</si>
  <si>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</si>
  <si>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</si>
  <si>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</si>
  <si>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</si>
  <si>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</si>
  <si>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</si>
  <si>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</si>
  <si>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</si>
  <si>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</si>
  <si>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</si>
  <si>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</si>
  <si>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</si>
  <si>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</si>
  <si>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</si>
  <si>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</si>
  <si>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</si>
  <si>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</si>
  <si>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</si>
  <si>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</si>
  <si>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</si>
  <si>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</si>
  <si>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</si>
  <si>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</si>
  <si>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</si>
  <si>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</si>
  <si>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</si>
  <si>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</si>
  <si>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</si>
  <si>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</si>
  <si>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</si>
  <si>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</si>
  <si>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</si>
  <si>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</si>
  <si>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</si>
  <si>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</si>
  <si>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</si>
  <si>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</si>
  <si>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</si>
  <si>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</si>
  <si>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</si>
  <si>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</si>
  <si>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</si>
  <si>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</si>
  <si>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</si>
  <si>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</si>
  <si>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</si>
  <si>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</si>
  <si>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</si>
  <si>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</si>
  <si>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</si>
  <si>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</si>
  <si>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</si>
  <si>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</si>
  <si>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</si>
  <si>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</si>
  <si>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</si>
  <si>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</si>
  <si>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</si>
  <si>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</si>
  <si>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</si>
  <si>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</si>
  <si>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</si>
  <si>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</si>
  <si>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</si>
  <si>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</si>
  <si>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</si>
  <si>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</si>
  <si>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</si>
  <si>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</si>
  <si>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</si>
  <si>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</si>
  <si>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</si>
  <si>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</si>
  <si>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</si>
  <si>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</si>
  <si>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</si>
  <si>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</si>
  <si>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</si>
  <si>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</si>
  <si>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</si>
  <si>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</si>
  <si>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</si>
  <si>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</si>
  <si>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</si>
  <si>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</si>
  <si>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</si>
  <si>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</si>
  <si>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</si>
  <si>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</si>
  <si>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</si>
  <si>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</si>
  <si>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</si>
  <si>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</si>
  <si>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</si>
  <si>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</si>
  <si>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</si>
  <si>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</si>
  <si>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</si>
  <si>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</si>
  <si>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</si>
  <si>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</si>
  <si>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</si>
  <si>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</si>
  <si>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</si>
  <si>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</si>
  <si>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</si>
  <si>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</si>
  <si>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</si>
  <si>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</si>
  <si>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</si>
  <si>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</si>
  <si>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</si>
  <si>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</si>
  <si>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</si>
  <si>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</si>
  <si>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</si>
  <si>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</si>
  <si>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</si>
  <si>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</si>
  <si>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</si>
  <si>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</si>
  <si>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</si>
  <si>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</si>
  <si>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</si>
  <si>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</si>
  <si>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</si>
  <si>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</si>
  <si>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</si>
  <si>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</si>
  <si>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</si>
  <si>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</si>
  <si>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</si>
  <si>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</si>
  <si>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</si>
  <si>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</si>
  <si>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</si>
  <si>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</si>
  <si>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</si>
  <si>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</si>
  <si>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</si>
  <si>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</si>
  <si>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</si>
  <si>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</si>
  <si>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</si>
  <si>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</si>
  <si>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</si>
  <si>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</si>
  <si>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</si>
  <si>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</si>
  <si>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</si>
  <si>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</si>
  <si>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</si>
  <si>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</si>
  <si>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</si>
  <si>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</si>
  <si>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</si>
  <si>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</si>
  <si>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</si>
  <si>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</si>
  <si>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</si>
  <si>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</si>
  <si>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</si>
  <si>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</si>
  <si>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</si>
  <si>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</si>
  <si>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</si>
  <si>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</si>
  <si>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</si>
  <si>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</si>
  <si>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</si>
  <si>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</si>
  <si>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</si>
  <si>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</si>
  <si>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</si>
  <si>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</si>
  <si>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</si>
  <si>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</si>
  <si>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</si>
  <si>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</si>
  <si>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</si>
  <si>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</si>
  <si>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</si>
  <si>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</si>
  <si>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</si>
  <si>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</si>
  <si>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</si>
  <si>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</si>
  <si>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</si>
  <si>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</si>
  <si>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</si>
  <si>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</si>
  <si>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</si>
  <si>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</si>
  <si>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</si>
  <si>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</si>
  <si>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</si>
  <si>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</si>
  <si>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caindo material no moinho 01, linha parada para trocar grelha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</si>
  <si>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</si>
  <si>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</si>
  <si>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</si>
  <si>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</si>
  <si>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</si>
  <si>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</si>
  <si>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</si>
  <si>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</si>
  <si>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</si>
  <si>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</si>
  <si>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</si>
  <si>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</si>
  <si>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</si>
  <si>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</si>
  <si>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</si>
  <si>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</si>
  <si>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</si>
  <si>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 xml:space="preserve">blend de material de baixo teor com rabo de bica caixa de polpa transbordando toda hora 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</si>
  <si>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</si>
  <si>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</si>
  <si>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</si>
  <si>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</si>
  <si>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</si>
  <si>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devido o material processado ser  muito denso (material de barragem) a caixa de polpa ficou cheia e tivemos que trabalhar com alimentação baixa motivo da baixa produtividade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</si>
  <si>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</si>
  <si>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</si>
  <si>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</si>
  <si>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</si>
  <si>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</si>
  <si>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</si>
  <si>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</si>
  <si>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</si>
  <si>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</si>
  <si>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</si>
  <si>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</si>
  <si>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</si>
  <si>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</si>
  <si>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</si>
  <si>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</si>
  <si>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</si>
  <si>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</si>
  <si>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</si>
  <si>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</si>
  <si>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</si>
  <si>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</si>
  <si>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</si>
  <si>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</si>
  <si>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</si>
  <si>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</si>
  <si>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</si>
  <si>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</si>
  <si>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</si>
  <si>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</si>
  <si>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tc2 e tc3 desarmando, moinho 7, 8 e 9 desarmando</t>
  </si>
  <si>
    <t>troca de grelhas</t>
  </si>
  <si>
    <t>ao ligar moinho 3 desarma o moinho 5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</si>
  <si>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</si>
  <si>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</si>
  <si>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</si>
  <si>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</si>
  <si>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>troca de martelo do moinho 3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</si>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</sst>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7" sqref="E76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126</v>
      </c>
      <c r="F770" s="19">
        <f>SUM(F758:F769)</f>
        <v>630</v>
      </c>
      <c r="G770" s="18"/>
      <c r="H770" s="18"/>
      <c r="I770" s="18"/>
      <c r="J770" s="18"/>
      <c r="K770" s="18"/>
      <c r="L770" s="72">
        <f>IFERROR(SUM(L758:L769),"")</f>
        <v>0.14027777777777783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126</v>
      </c>
      <c r="F784" s="22">
        <f>F770+F783</f>
        <v>630</v>
      </c>
      <c r="G784" s="21"/>
      <c r="H784" s="21"/>
      <c r="I784" s="21"/>
      <c r="J784" s="21"/>
      <c r="K784" s="21"/>
      <c r="L784" s="73">
        <f>IFERROR(L770+L783,"")</f>
        <v>0.14027777777777783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7" sqref="E76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0"/>
      <c r="I759" s="10"/>
      <c r="J759" s="13"/>
      <c r="K759" s="13"/>
      <c r="L759" s="71" t="str">
        <f t="shared" si="170"/>
        <v/>
      </c>
      <c r="M759" s="29" t="s">
        <v>304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75</v>
      </c>
      <c r="F770" s="19">
        <f>SUM(F758:F769)</f>
        <v>300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75</v>
      </c>
      <c r="F784" s="22">
        <f>F770+F783</f>
        <v>300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G763" sqref="G76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305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306</v>
      </c>
      <c r="I2" s="10" t="s">
        <v>307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306</v>
      </c>
      <c r="I3" s="16" t="s">
        <v>307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306</v>
      </c>
      <c r="I4" s="10" t="s">
        <v>307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306</v>
      </c>
      <c r="I5" s="16" t="s">
        <v>307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306</v>
      </c>
      <c r="I6" s="10" t="s">
        <v>307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306</v>
      </c>
      <c r="I7" s="16" t="s">
        <v>307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306</v>
      </c>
      <c r="I8" s="10" t="s">
        <v>307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306</v>
      </c>
      <c r="I9" s="16" t="s">
        <v>307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306</v>
      </c>
      <c r="I10" s="10" t="s">
        <v>307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306</v>
      </c>
      <c r="I11" s="16" t="s">
        <v>307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306</v>
      </c>
      <c r="I12" s="10" t="s">
        <v>307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306</v>
      </c>
      <c r="I13" s="16" t="s">
        <v>307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308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309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310</v>
      </c>
      <c r="I33" s="16" t="s">
        <v>311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312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314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315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316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317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318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319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319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327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329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319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319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338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339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348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349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356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357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358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359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360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114</v>
      </c>
      <c r="F770" s="19">
        <f>SUM(F758:F769)</f>
        <v>456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114</v>
      </c>
      <c r="F784" s="22">
        <f>F770+F783</f>
        <v>456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6" activePane="bottomLeft" state="frozen"/>
      <selection pane="bottomLeft" activeCell="E767" sqref="E76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361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362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363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363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364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365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366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368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369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370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371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372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373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374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358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360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50</v>
      </c>
      <c r="F770" s="19">
        <f>SUM(F758:F769)</f>
        <v>200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50</v>
      </c>
      <c r="F784" s="22">
        <f>F770+F783</f>
        <v>200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2026-06-29T20:04:38Z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