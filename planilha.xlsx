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5" documentId="8_{C51EB6CB-002B-4D6B-B68F-DDEBDB4460C0}" xr6:coauthVersionLast="47" xr6:coauthVersionMax="47" xr10:uidLastSave="{4C0ADC1B-2A8E-4F60-B353-0B22EEE3F1F4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G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<sst xmlns="http://schemas.openxmlformats.org/spreadsheetml/2006/main" count="5329" uniqueCount="332">
  <si>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</si>
  <si>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</si>
  <si>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</si>
  <si>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</si>
  <si>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</si>
  <si>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</si>
  <si>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</si>
  <si>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</si>
  <si>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</si>
  <si>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</si>
  <si>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</si>
  <si>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</si>
  <si>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</si>
  <si>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</si>
  <si>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</si>
  <si>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</si>
  <si>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</si>
  <si>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</si>
  <si>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</si>
  <si>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</si>
  <si>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</si>
  <si>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</si>
  <si>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</si>
  <si>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</si>
  <si>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</si>
  <si>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</si>
  <si>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</si>
  <si>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</si>
  <si>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</si>
  <si>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</si>
  <si>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</si>
  <si>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</si>
  <si>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</si>
  <si>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</si>
  <si>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</si>
  <si>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</si>
  <si>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</si>
  <si>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</si>
  <si>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</si>
  <si>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</si>
  <si>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</si>
  <si>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</si>
  <si>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</si>
  <si>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</si>
  <si>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</si>
  <si>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</si>
  <si>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</si>
  <si>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</si>
  <si>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</si>
  <si>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</si>
  <si>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</si>
  <si>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</si>
  <si>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</si>
  <si>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</si>
  <si>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</si>
  <si>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</si>
  <si>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</si>
  <si>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</si>
  <si>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</si>
  <si>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</si>
  <si>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</si>
  <si>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</si>
  <si>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</si>
  <si>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</si>
  <si>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</si>
  <si>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</si>
  <si>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</si>
  <si>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</si>
  <si>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</si>
  <si>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</si>
  <si>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</si>
  <si>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</si>
  <si>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</si>
  <si>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</si>
  <si>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</si>
  <si>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</si>
  <si>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</si>
  <si>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</si>
  <si>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</si>
  <si>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</si>
  <si>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</si>
  <si>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</si>
  <si>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</si>
  <si>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</si>
  <si>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</si>
  <si>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</si>
  <si>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</si>
  <si>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</si>
  <si>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</si>
  <si>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</si>
  <si>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</si>
  <si>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</si>
  <si>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</si>
  <si>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</si>
  <si>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</si>
  <si>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</si>
  <si>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</si>
  <si>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</si>
  <si>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</si>
  <si>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</si>
  <si>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</si>
  <si>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</si>
  <si>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</si>
  <si>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</si>
  <si>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</si>
  <si>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</si>
  <si>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</si>
  <si>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</si>
  <si>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</si>
  <si>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</si>
  <si>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</si>
  <si>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</si>
  <si>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</si>
  <si>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</si>
  <si>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</si>
  <si>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</si>
  <si>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</si>
  <si>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</si>
  <si>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</si>
  <si>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</si>
  <si>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</si>
  <si>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</si>
  <si>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</si>
  <si>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</si>
  <si>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</si>
  <si>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</si>
  <si>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</si>
  <si>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</si>
  <si>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</si>
  <si>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</si>
  <si>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</si>
  <si>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</si>
  <si>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</si>
  <si>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</si>
  <si>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</si>
  <si>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</si>
  <si>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</si>
  <si>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</si>
  <si>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</si>
  <si>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</si>
  <si>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</si>
  <si>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</si>
  <si>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</si>
  <si>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</si>
  <si>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</si>
  <si>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</si>
  <si>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</si>
  <si>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</si>
  <si>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</si>
  <si>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</si>
  <si>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</si>
  <si>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</si>
  <si>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</si>
  <si>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</si>
  <si>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</si>
  <si>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</si>
  <si>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</si>
  <si>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</si>
  <si>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</si>
  <si>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</si>
  <si>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</si>
  <si>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</si>
  <si>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</si>
  <si>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</si>
  <si>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</si>
  <si>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</si>
  <si>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</si>
  <si>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</si>
  <si>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</si>
  <si>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</si>
  <si>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</si>
  <si>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</si>
  <si>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</si>
  <si>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</si>
  <si>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</si>
  <si>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</si>
  <si>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</si>
  <si>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</si>
  <si>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</si>
  <si>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</si>
  <si>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</si>
  <si>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</si>
  <si>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</si>
  <si>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</si>
  <si>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</si>
  <si>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</si>
  <si>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</si>
  <si>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</si>
  <si>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</si>
  <si>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</si>
  <si>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</si>
  <si>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</si>
  <si>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</si>
  <si>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</si>
  <si>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</si>
  <si>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</si>
  <si>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</si>
  <si>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</si>
  <si>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</si>
  <si>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</si>
  <si>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</si>
  <si>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</si>
  <si>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</si>
  <si>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</si>
  <si>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</si>
  <si>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</si>
  <si>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</si>
  <si>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</si>
  <si>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</si>
  <si>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</si>
  <si>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</si>
  <si>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</si>
  <si>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</si>
  <si>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</si>
  <si>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</si>
  <si>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</si>
  <si>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</si>
  <si>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</si>
  <si>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</si>
  <si>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</si>
  <si>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</si>
  <si>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</si>
  <si>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</si>
  <si>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</si>
  <si>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</si>
  <si>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</si>
  <si>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</si>
  <si>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</si>
  <si>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</si>
  <si>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</si>
  <si>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</si>
  <si>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</si>
  <si>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</si>
  <si>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</si>
  <si>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</si>
  <si>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</si>
  <si>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</si>
  <si>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</si>
  <si>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</si>
  <si>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</si>
  <si>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</si>
  <si>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</si>
  <si>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</si>
  <si>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</si>
  <si>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</si>
  <si>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</si>
  <si>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</si>
  <si>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</si>
  <si>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</si>
  <si>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</si>
  <si>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</si>
  <si>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</si>
  <si>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</si>
  <si>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</si>
  <si>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</si>
  <si>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</si>
  <si>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</si>
  <si>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</si>
  <si>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</si>
  <si>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</si>
  <si>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</si>
  <si>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</si>
  <si>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</si>
  <si>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</si>
  <si>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</si>
  <si>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</si>
  <si>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</si>
  <si>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</si>
  <si>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</si>
  <si>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</si>
  <si>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</si>
  <si>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</si>
  <si>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</si>
  <si>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</si>
  <si>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</si>
  <si>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</si>
  <si>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</si>
  <si>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</si>
  <si>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</si>
  <si>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</si>
  <si>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</si>
  <si>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</si>
  <si>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</si>
  <si>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</si>
  <si>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</si>
  <si>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</si>
  <si>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</si>
  <si>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</si>
  <si>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</si>
  <si>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</si>
  <si>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</si>
  <si>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</si>
  <si>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</si>
  <si>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</si>
  <si>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</si>
  <si>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</si>
  <si>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</si>
  <si>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</si>
  <si>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</si>
  <si>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</si>
  <si>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</si>
  <si>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</si>
  <si>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</si>
  <si>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</si>
  <si>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</si>
  <si>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</si>
  <si>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</si>
  <si>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</si>
  <si>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</si>
  <si>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</si>
  <si>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</si>
  <si>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</si>
  <si>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</si>
  <si>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</si>
  <si>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</si>
  <si>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</si>
  <si>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</si>
  <si>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</si>
  <si>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</si>
  <si>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</si>
  <si>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</si>
  <si>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</si>
  <si>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</si>
  <si>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</si>
  <si>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</si>
  <si>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</si>
  <si>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</si>
  <si>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</si>
  <si>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</si>
  <si>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</si>
  <si>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</si>
  <si>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arrebentou balatas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</si>
</sst>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25">
      <c r="H58" s="113"/>
      <c r="I58" s="16"/>
      <c r="J58" s="16"/>
      <c r="K58" s="16" t="s">
        <v>208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209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210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211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212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213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214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215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216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217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218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219</v>
      </c>
      <c r="L70" s="16"/>
      <c r="M70" s="16"/>
    </row>
    <row r="71" spans="8:13" ht="15" customHeight="1" x14ac:dyDescent="0.25">
      <c r="H71" s="113"/>
      <c r="I71" s="17"/>
      <c r="J71" s="17"/>
      <c r="K71" s="17" t="s">
        <v>220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221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222</v>
      </c>
      <c r="L73" s="17"/>
      <c r="M73" s="17"/>
    </row>
    <row r="74" spans="8:13" ht="15" customHeight="1" x14ac:dyDescent="0.25">
      <c r="H74" s="113"/>
      <c r="I74" s="16"/>
      <c r="J74" s="16"/>
      <c r="K74" s="16" t="s">
        <v>223</v>
      </c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T273" sqref="T27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3.1813657406019047E-3</v>
      </c>
      <c r="N276" s="46" t="s">
        <v>331</v>
      </c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0.10526469907393515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0.10526469907393515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F285" sqref="F28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0.47818136573914671</v>
      </c>
      <c r="N53" s="46" t="s">
        <v>265</v>
      </c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0.61707025462803555</v>
      </c>
      <c r="N54" s="36" t="s">
        <v>236</v>
      </c>
      <c r="O54" s="84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0.70179247685025792</v>
      </c>
      <c r="N55" s="40" t="s">
        <v>240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0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1"/>
        <v>8.3333333333334147E-3</v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90">
        <f>SUM(G272:G283)</f>
        <v>289.8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289.8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G284" sqref="G28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0.40526469907490537</v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0.46707025463046092</v>
      </c>
      <c r="N270" s="36" t="s">
        <v>236</v>
      </c>
      <c r="O270" s="39">
        <v>327900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0.52818136574157215</v>
      </c>
      <c r="N271" s="40" t="s">
        <v>240</v>
      </c>
      <c r="O271" s="48">
        <f>IFERROR(O257+O270,"")</f>
        <v>877340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V291" sqref="V291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6.7070254634018056E-2</v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0.11707025463401799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0.11707025463401799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2026-08-11T18:23:41Z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