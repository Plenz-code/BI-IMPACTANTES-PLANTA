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78" documentId="8_{AF585B22-221D-4780-BB9C-493D365A6A02}" xr6:coauthVersionLast="47" xr6:coauthVersionMax="47" xr10:uidLastSave="{A078A5F5-5E41-4AE8-BF41-24F1334471A0}"/>
  <bookViews>
    <workbookView xWindow="-110" yWindow="-110" windowWidth="25820" windowHeight="15500" tabRatio="500" firstSheet="5" activeTab="1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<sst xmlns="http://schemas.openxmlformats.org/spreadsheetml/2006/main" count="8161" uniqueCount="357">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</sst>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abSelected="1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J515" sqref="J5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/>
      <c r="G515" s="34" t="str">
        <f t="shared" ref="G515:G526" si="114">IF(F515="","",IF(E515="PC 17",F515*4.2,IF(E515="PC 19",F515*5,"")))</f>
        <v/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/>
      <c r="M515" s="35">
        <f t="shared" ref="M515:M526" ca="1" si="115">IFERROR(IF(K515="","",IF(L515="",MOD(NOW()-K515,1),IF(L515&gt;=K515,L515-K515,L515+1-K515))),"")</f>
        <v>6.6840624996984843E-2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6.6840624996984843E-2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6.6840624996984843E-2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94" activePane="bottomLeft" state="frozen"/>
      <selection pane="bottomLeft" activeCell="H505" sqref="H5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0.12864618055027677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0.28628506943916565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0.39600729166138782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0.107118402775086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0.27795173610841939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0.42309062499730826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24</v>
      </c>
      <c r="G527" s="36">
        <f>SUM(G515:G526)</f>
        <v>100.80000000000001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24</v>
      </c>
      <c r="G541" s="40">
        <f>G527+G540</f>
        <v>100.80000000000001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8" zoomScale="50" zoomScaleNormal="50" workbookViewId="0">
      <selection activeCell="E524" sqref="E5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9</v>
      </c>
      <c r="G527" s="36">
        <f>SUM(G515:G526)</f>
        <v>37.800000000000004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</v>
      </c>
      <c r="G541" s="40">
        <f>G527+G540</f>
        <v>37.800000000000004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J515" sqref="J5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0.1189239583327435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0.31822951388829912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0.68559062499941015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/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7.6562847221794073E-2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7.6562847221794073E-2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7.6562847221794073E-2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2026-07-20T12:50:21Z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