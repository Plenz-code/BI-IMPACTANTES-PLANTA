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173" documentId="8_{1D11E9C4-FEA4-4128-910F-91CB6BBF9255}" xr6:coauthVersionLast="47" xr6:coauthVersionMax="47" xr10:uidLastSave="{8652A5EE-A8A8-4073-9E22-47E89968C2FE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06" i="3" l="1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<sst xmlns="http://schemas.openxmlformats.org/spreadsheetml/2006/main" count="7807" uniqueCount="359">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</sst>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44615590</v>
      </c>
      <c r="D34" s="55">
        <f t="shared" si="1"/>
        <v>22242420</v>
      </c>
      <c r="E34" s="55">
        <f t="shared" si="1"/>
        <v>8572600</v>
      </c>
      <c r="F34" s="55">
        <f t="shared" si="1"/>
        <v>24933925</v>
      </c>
      <c r="G34" s="55">
        <f t="shared" si="1"/>
        <v>55748945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83" activePane="bottomLeft" state="frozen"/>
      <selection pane="bottomLeft" activeCell="E712" sqref="E712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/>
      <c r="L706" s="70" t="str">
        <f t="shared" si="160"/>
        <v/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/>
      <c r="F712" s="12" t="str">
        <f t="shared" si="159"/>
        <v/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/>
      <c r="F713" s="17" t="str">
        <f t="shared" si="159"/>
        <v/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/>
      <c r="F714" s="12" t="str">
        <f t="shared" si="159"/>
        <v/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/>
      <c r="F715" s="17" t="str">
        <f t="shared" si="159"/>
        <v/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93</v>
      </c>
      <c r="F716" s="19">
        <f>SUM(F704:F715)</f>
        <v>465</v>
      </c>
      <c r="G716" s="18"/>
      <c r="H716" s="18"/>
      <c r="I716" s="18"/>
      <c r="J716" s="18"/>
      <c r="K716" s="18"/>
      <c r="L716" s="72">
        <f>IFERROR(SUM(L704:L715),"")</f>
        <v>9.2361111111111061E-2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 t="s">
        <v>29</v>
      </c>
      <c r="D717" s="16" t="s">
        <v>30</v>
      </c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76" t="s">
        <v>29</v>
      </c>
      <c r="D718" s="76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6" t="s">
        <v>29</v>
      </c>
      <c r="D719" s="16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93</v>
      </c>
      <c r="F730" s="22">
        <f>F716+F729</f>
        <v>465</v>
      </c>
      <c r="G730" s="21"/>
      <c r="H730" s="21"/>
      <c r="I730" s="21"/>
      <c r="J730" s="21"/>
      <c r="K730" s="21"/>
      <c r="L730" s="73">
        <f>IFERROR(L716+L729,"")</f>
        <v>9.2361111111111061E-2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B1" zoomScale="85" zoomScaleNormal="85" workbookViewId="0">
      <pane ySplit="1" topLeftCell="A682" activePane="bottomLeft" state="frozen"/>
      <selection pane="bottomLeft" activeCell="K708" sqref="K70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/>
      <c r="H708" s="10"/>
      <c r="I708" s="10"/>
      <c r="J708" s="13"/>
      <c r="K708" s="13"/>
      <c r="L708" s="70" t="str">
        <f t="shared" si="158"/>
        <v/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99</v>
      </c>
      <c r="F716" s="19">
        <f>SUM(F704:F715)</f>
        <v>396</v>
      </c>
      <c r="G716" s="18"/>
      <c r="H716" s="18"/>
      <c r="I716" s="18"/>
      <c r="J716" s="18"/>
      <c r="K716" s="18"/>
      <c r="L716" s="72">
        <f>IFERROR(SUM(L704:L715),"")</f>
        <v>9.5138888888888828E-2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99</v>
      </c>
      <c r="F730" s="22">
        <f>F716+F729</f>
        <v>396</v>
      </c>
      <c r="G730" s="21"/>
      <c r="H730" s="21"/>
      <c r="I730" s="21"/>
      <c r="J730" s="21"/>
      <c r="K730" s="21"/>
      <c r="L730" s="73">
        <f>IFERROR(L716+L729,"")</f>
        <v>9.5138888888888828E-2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689" activePane="bottomLeft" state="frozen"/>
      <selection pane="bottomLeft" activeCell="D713" sqref="D71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/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/>
      <c r="F713" s="17" t="str">
        <f t="shared" si="156"/>
        <v/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/>
      <c r="F714" s="12" t="str">
        <f t="shared" si="156"/>
        <v/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/>
      <c r="F715" s="17" t="str">
        <f t="shared" si="156"/>
        <v/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51</v>
      </c>
      <c r="F716" s="19">
        <f>SUM(F704:F715)</f>
        <v>204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51</v>
      </c>
      <c r="F730" s="22">
        <f>F716+F729</f>
        <v>204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95" activePane="bottomLeft" state="frozen"/>
      <selection pane="bottomLeft" activeCell="K708" sqref="K70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/>
      <c r="H708" s="10"/>
      <c r="I708" s="10"/>
      <c r="J708" s="13"/>
      <c r="K708" s="13"/>
      <c r="L708" s="70" t="str">
        <f t="shared" si="158"/>
        <v/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93</v>
      </c>
      <c r="F716" s="19">
        <f>SUM(F704:F715)</f>
        <v>372</v>
      </c>
      <c r="G716" s="38"/>
      <c r="H716" s="38"/>
      <c r="I716" s="38"/>
      <c r="J716" s="38"/>
      <c r="K716" s="38"/>
      <c r="L716" s="72">
        <f>IFERROR(SUM(L704:L715),"")</f>
        <v>9.4444444444444497E-2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93</v>
      </c>
      <c r="F730" s="22">
        <f>F716+F729</f>
        <v>372</v>
      </c>
      <c r="G730" s="39"/>
      <c r="H730" s="39"/>
      <c r="I730" s="39"/>
      <c r="J730" s="39"/>
      <c r="K730" s="39"/>
      <c r="L730" s="73">
        <f>IFERROR(L716+L729,"")</f>
        <v>9.4444444444444497E-2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2026-06-27T20:48:42Z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