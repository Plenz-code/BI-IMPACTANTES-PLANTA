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663" documentId="8_{AF585B22-221D-4780-BB9C-493D365A6A02}" xr6:coauthVersionLast="47" xr6:coauthVersionMax="47" xr10:uidLastSave="{DABE2204-9B8B-4E13-A6E6-2BCAB9CC141F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<sst xmlns="http://schemas.openxmlformats.org/spreadsheetml/2006/main" count="7577" uniqueCount="351">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</sst>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2034810</v>
      </c>
      <c r="D21" s="11">
        <f>IFERROR('Linha 1'!O487,"")</f>
        <v>870930</v>
      </c>
      <c r="E21" s="11">
        <f>IFERROR('Linha 2'!O487,"")</f>
        <v>228940</v>
      </c>
      <c r="F21" s="11">
        <f>IFERROR('Linha 3'!O487,"")</f>
        <v>774200</v>
      </c>
      <c r="G21" s="12">
        <f t="shared" si="0"/>
        <v>1874070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54275252</v>
      </c>
      <c r="D35" s="13">
        <f>IFERROR(SUM(D4:D34),"")</f>
        <v>20116680</v>
      </c>
      <c r="E35" s="13">
        <f>IFERROR(SUM(E4:E34),"")</f>
        <v>12475680</v>
      </c>
      <c r="F35" s="13">
        <f>IFERROR(SUM(F4:F34),"")</f>
        <v>24305660</v>
      </c>
      <c r="G35" s="13">
        <f>IFERROR(SUM(G4:G34),"")</f>
        <v>56898020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54" activePane="bottomLeft" state="frozen"/>
      <selection pane="bottomLeft" activeCell="N493" sqref="N49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2034810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57" activePane="bottomLeft" state="frozen"/>
      <selection pane="bottomLeft" activeCell="L464" sqref="L4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0.54513900462916354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0.70277789351805242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0.81250011574027459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0.52361122685397277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0.69444456018730616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0.83958344907619509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123</v>
      </c>
      <c r="G487" s="40">
        <f>G473+G486</f>
        <v>615</v>
      </c>
      <c r="H487" s="41"/>
      <c r="I487" s="41"/>
      <c r="J487" s="41"/>
      <c r="K487" s="41"/>
      <c r="L487" s="41"/>
      <c r="M487" s="42">
        <f ca="1">IFERROR(M473+M486,"")</f>
        <v>0.11111111111111099</v>
      </c>
      <c r="N487" s="40" t="s">
        <v>233</v>
      </c>
      <c r="O487" s="84">
        <f>IFERROR(O473+O486,"")</f>
        <v>870930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56" zoomScale="50" zoomScaleNormal="50" workbookViewId="0">
      <selection activeCell="E477" sqref="E4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303</v>
      </c>
      <c r="N166" s="27" t="s">
        <v>304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314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38</v>
      </c>
      <c r="E474" s="59" t="s">
        <v>227</v>
      </c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38</v>
      </c>
      <c r="E475" s="59" t="s">
        <v>227</v>
      </c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38</v>
      </c>
      <c r="E476" s="59" t="s">
        <v>227</v>
      </c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38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38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38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38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38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38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38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38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38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30</v>
      </c>
      <c r="G487" s="40">
        <f>G473+G486</f>
        <v>150</v>
      </c>
      <c r="H487" s="41"/>
      <c r="I487" s="41"/>
      <c r="J487" s="41"/>
      <c r="K487" s="41"/>
      <c r="L487" s="41"/>
      <c r="M487" s="42">
        <f ca="1">IFERROR(M473+M486,"")</f>
        <v>0.12986111111111104</v>
      </c>
      <c r="N487" s="40" t="s">
        <v>233</v>
      </c>
      <c r="O487" s="48">
        <f>IFERROR(O473+O486,"")</f>
        <v>228940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57" activePane="bottomLeft" state="frozen"/>
      <selection pane="bottomLeft" activeCell="F474" sqref="F4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319</v>
      </c>
      <c r="L58" s="29">
        <v>0.54097222222222219</v>
      </c>
      <c r="M58" s="30" t="str">
        <f t="shared" ca="1" si="13"/>
        <v/>
      </c>
      <c r="N58" s="27" t="s">
        <v>320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0.53541678241163027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0.73472233796718589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1.1020834490782969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344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331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345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346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347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349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350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324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115</v>
      </c>
      <c r="G487" s="40">
        <f>G473+G486</f>
        <v>575</v>
      </c>
      <c r="H487" s="41"/>
      <c r="I487" s="41"/>
      <c r="J487" s="41"/>
      <c r="K487" s="63"/>
      <c r="L487" s="63"/>
      <c r="M487" s="42">
        <f ca="1">IFERROR(M473+M486,"")</f>
        <v>0.14097222222222217</v>
      </c>
      <c r="N487" s="40" t="s">
        <v>233</v>
      </c>
      <c r="O487" s="48">
        <f>IFERROR(O473+O486,"")</f>
        <v>774200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2026-07-18T22:50:01Z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