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772" documentId="8_{AF585B22-221D-4780-BB9C-493D365A6A02}" xr6:coauthVersionLast="47" xr6:coauthVersionMax="47" xr10:uidLastSave="{76E2E732-E3D4-4066-A9CB-AFAB34D637A8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<sst xmlns="http://schemas.openxmlformats.org/spreadsheetml/2006/main" count="7675" uniqueCount="352">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</sst>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2034810</v>
      </c>
      <c r="D21" s="11">
        <f>IFERROR('Linha 1'!O487,"")</f>
        <v>870930</v>
      </c>
      <c r="E21" s="11">
        <f>IFERROR('Linha 2'!O487,"")</f>
        <v>228940</v>
      </c>
      <c r="F21" s="11">
        <f>IFERROR('Linha 3'!O487,"")</f>
        <v>774200</v>
      </c>
      <c r="G21" s="12">
        <f t="shared" si="0"/>
        <v>1874070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54275252</v>
      </c>
      <c r="D35" s="13">
        <f>IFERROR(SUM(D4:D34),"")</f>
        <v>20116680</v>
      </c>
      <c r="E35" s="13">
        <f>IFERROR(SUM(E4:E34),"")</f>
        <v>12475680</v>
      </c>
      <c r="F35" s="13">
        <f>IFERROR(SUM(F4:F34),"")</f>
        <v>24305660</v>
      </c>
      <c r="G35" s="13">
        <f>IFERROR(SUM(G4:G34),"")</f>
        <v>56898020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54" activePane="bottomLeft" state="frozen"/>
      <selection pane="bottomLeft" activeCell="F476" sqref="F47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2034810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57" activePane="bottomLeft" state="frozen"/>
      <selection pane="bottomLeft" activeCell="J476" sqref="J47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0.9995201388883288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1.1571590277772177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1.26688124999944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0.97799236111313803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1.1488256944464714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1.2939645833353604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/>
      <c r="M476" s="30">
        <f t="shared" ca="1" si="106"/>
        <v>9.0902778174495324E-4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124</v>
      </c>
      <c r="G486" s="36">
        <f>SUM(G474:G485)</f>
        <v>620</v>
      </c>
      <c r="H486" s="37"/>
      <c r="I486" s="37"/>
      <c r="J486" s="37"/>
      <c r="K486" s="37"/>
      <c r="L486" s="37"/>
      <c r="M486" s="38">
        <f ca="1">IFERROR(SUM(M474:M485),"")</f>
        <v>7.938125000396723E-2</v>
      </c>
      <c r="N486" s="36" t="s">
        <v>230</v>
      </c>
      <c r="O486" s="78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247</v>
      </c>
      <c r="G487" s="40">
        <f>G473+G486</f>
        <v>1235</v>
      </c>
      <c r="H487" s="41"/>
      <c r="I487" s="41"/>
      <c r="J487" s="41"/>
      <c r="K487" s="41"/>
      <c r="L487" s="41"/>
      <c r="M487" s="42">
        <f ca="1">IFERROR(M473+M486,"")</f>
        <v>0.19049236111507822</v>
      </c>
      <c r="N487" s="40" t="s">
        <v>233</v>
      </c>
      <c r="O487" s="84">
        <f>IFERROR(O473+O486,"")</f>
        <v>870930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456" zoomScale="50" zoomScaleNormal="50" workbookViewId="0">
      <selection activeCell="J479" sqref="J47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58</v>
      </c>
      <c r="G486" s="36">
        <f>SUM(G474:G485)</f>
        <v>290</v>
      </c>
      <c r="H486" s="37"/>
      <c r="I486" s="37"/>
      <c r="J486" s="37"/>
      <c r="K486" s="37"/>
      <c r="L486" s="37"/>
      <c r="M486" s="38">
        <f ca="1">IFERROR(SUM(M474:M485),"")</f>
        <v>2.7083333333333251E-2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88</v>
      </c>
      <c r="G487" s="40">
        <f>G473+G486</f>
        <v>440</v>
      </c>
      <c r="H487" s="41"/>
      <c r="I487" s="41"/>
      <c r="J487" s="41"/>
      <c r="K487" s="41"/>
      <c r="L487" s="41"/>
      <c r="M487" s="42">
        <f ca="1">IFERROR(M473+M486,"")</f>
        <v>0.15694444444444428</v>
      </c>
      <c r="N487" s="40" t="s">
        <v>233</v>
      </c>
      <c r="O487" s="48">
        <f>IFERROR(O473+O486,"")</f>
        <v>228940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57" activePane="bottomLeft" state="frozen"/>
      <selection pane="bottomLeft" activeCell="F484" sqref="F48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0.98979814814811107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1.1891037037036667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1.5564648148147777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124</v>
      </c>
      <c r="G486" s="36">
        <f>SUM(G474:G485)</f>
        <v>620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239</v>
      </c>
      <c r="G487" s="40">
        <f>G473+G486</f>
        <v>1195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774200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2026-07-19T09:44:22Z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