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9" documentId="8_{C51EB6CB-002B-4D6B-B68F-DDEBDB4460C0}" xr6:coauthVersionLast="47" xr6:coauthVersionMax="47" xr10:uidLastSave="{C8FDCD06-1018-4E8B-8D44-2DAB4A8F2F8F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G28" i="6"/>
  <c r="M648" i="6"/>
  <c r="G27" i="6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<sst xmlns="http://schemas.openxmlformats.org/spreadsheetml/2006/main" count="1221" uniqueCount="237">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</sst>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J2" sqref="J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/>
      <c r="M2" s="30">
        <f ca="1">IFERROR(IF(K2="","",IF(L2="",MOD(NOW()-K2,1),IF(L2&gt;=K2,L2-K2,L2+1-K2))),"")</f>
        <v>4.0668287037988193E-2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169</v>
      </c>
      <c r="G14" s="36">
        <f>SUM(G2:G13)</f>
        <v>845</v>
      </c>
      <c r="H14" s="37"/>
      <c r="I14" s="37"/>
      <c r="J14" s="37"/>
      <c r="K14" s="37"/>
      <c r="L14" s="37"/>
      <c r="M14" s="38">
        <f ca="1">IFERROR(SUM(M2:M13),"")</f>
        <v>4.0668287037988193E-2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169</v>
      </c>
      <c r="G28" s="40">
        <f>G14+G27</f>
        <v>845</v>
      </c>
      <c r="H28" s="41"/>
      <c r="I28" s="41"/>
      <c r="J28" s="41"/>
      <c r="K28" s="41"/>
      <c r="L28" s="41"/>
      <c r="M28" s="42">
        <f ca="1">IFERROR(M14+M27,"")</f>
        <v>4.0668287037988193E-2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F13" sqref="F1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/>
      <c r="M8" s="35">
        <f t="shared" ca="1" si="1"/>
        <v>3.8627314861514606E-3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0.18025162037504022</v>
      </c>
      <c r="N14" s="36" t="s">
        <v>229</v>
      </c>
      <c r="O14" s="77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112</v>
      </c>
      <c r="G28" s="40">
        <f>G14+G27</f>
        <v>470.40000000000003</v>
      </c>
      <c r="H28" s="41"/>
      <c r="I28" s="41"/>
      <c r="J28" s="41"/>
      <c r="K28" s="41"/>
      <c r="L28" s="41"/>
      <c r="M28" s="42">
        <f ca="1">IFERROR(M14+M27,"")</f>
        <v>0.18025162037504022</v>
      </c>
      <c r="N28" s="40" t="s">
        <v>232</v>
      </c>
      <c r="O28" s="82">
        <f>O14+O27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13" sqref="F1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78</v>
      </c>
      <c r="G14" s="36">
        <f>SUM(G2:G13)</f>
        <v>327.60000000000002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78</v>
      </c>
      <c r="G28" s="40">
        <f>G14+G27</f>
        <v>327.60000000000002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C29:C900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D296:D900 D29:D294 D2:D13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" activePane="bottomLeft" state="frozen"/>
      <selection pane="bottomLeft" activeCell="F13" sqref="F1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124</v>
      </c>
      <c r="G14" s="36">
        <f>SUM(G2:G13)</f>
        <v>520.80000000000007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78" t="str">
        <f ca="1">IFERROR(IF(K16="","",IF(L16="",MOD(NOW()-K16,1),IF(L16&gt;=K16,L16-K16,L16+1-K16))),"")</f>
        <v/>
      </c>
      <c r="N16" s="27"/>
      <c r="O16" s="60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124</v>
      </c>
      <c r="G28" s="40">
        <f>G14+G27</f>
        <v>520.80000000000007</v>
      </c>
      <c r="H28" s="41"/>
      <c r="I28" s="41"/>
      <c r="J28" s="41"/>
      <c r="K28" s="63"/>
      <c r="L28" s="63"/>
      <c r="M28" s="42">
        <f ca="1">IFERROR(M14+M27,"")</f>
        <v>3.8888888888888917E-2</v>
      </c>
      <c r="N28" s="40" t="s">
        <v>232</v>
      </c>
      <c r="O28" s="48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C366:C900 C29:C364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D29:D900 C365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2026-08-01T22:01:57Z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