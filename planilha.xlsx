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278" documentId="8_{C51EB6CB-002B-4D6B-B68F-DDEBDB4460C0}" xr6:coauthVersionLast="47" xr6:coauthVersionMax="47" xr10:uidLastSave="{C69D74AD-A28B-49E1-AC50-3A99C7E2ACB2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<sst xmlns="http://schemas.openxmlformats.org/spreadsheetml/2006/main" count="2039" uniqueCount="259">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</sst>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34" activePane="bottomLeft" state="frozen"/>
      <selection pane="bottomLeft" activeCell="L57" sqref="L5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229</v>
      </c>
      <c r="O54" s="39">
        <v>981310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233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227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227</v>
      </c>
      <c r="F57" s="27">
        <v>16</v>
      </c>
      <c r="G57" s="34">
        <f t="shared" si="12"/>
        <v>80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227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227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227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227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227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227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227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227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227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227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46</v>
      </c>
      <c r="G68" s="36">
        <f>SUM(G56:G67)</f>
        <v>230</v>
      </c>
      <c r="H68" s="37"/>
      <c r="I68" s="37"/>
      <c r="J68" s="37"/>
      <c r="K68" s="37"/>
      <c r="L68" s="37"/>
      <c r="M68" s="38">
        <f ca="1">IFERROR(SUM(M56:M67),"")</f>
        <v>2.777777777777779E-2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46</v>
      </c>
      <c r="G82" s="40">
        <f>G68+G81</f>
        <v>230</v>
      </c>
      <c r="H82" s="41"/>
      <c r="I82" s="41"/>
      <c r="J82" s="41"/>
      <c r="K82" s="41"/>
      <c r="L82" s="41"/>
      <c r="M82" s="42">
        <f ca="1">IFERROR(M68+M81,"")</f>
        <v>2.777777777777779E-2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47" activePane="bottomLeft" state="frozen"/>
      <selection pane="bottomLeft" activeCell="J58" sqref="J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0.28750254629267147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0.42639143518156036</v>
      </c>
      <c r="N54" s="36" t="s">
        <v>229</v>
      </c>
      <c r="O54" s="84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0.51111365740378267</v>
      </c>
      <c r="N55" s="40" t="s">
        <v>233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/>
      <c r="G58" s="28" t="str">
        <f t="shared" si="12"/>
        <v/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29</v>
      </c>
      <c r="G68" s="36">
        <f>SUM(G56:G67)</f>
        <v>121.80000000000001</v>
      </c>
      <c r="H68" s="37"/>
      <c r="I68" s="37"/>
      <c r="J68" s="37"/>
      <c r="K68" s="37"/>
      <c r="L68" s="37"/>
      <c r="M68" s="38">
        <f ca="1">IFERROR(SUM(M56:M67),"")</f>
        <v>3.0555555555555565E-2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29</v>
      </c>
      <c r="G82" s="40">
        <f>G68+G81</f>
        <v>121.80000000000001</v>
      </c>
      <c r="H82" s="41"/>
      <c r="I82" s="41"/>
      <c r="J82" s="41"/>
      <c r="K82" s="41"/>
      <c r="L82" s="41"/>
      <c r="M82" s="42">
        <f ca="1">IFERROR(M68+M81,"")</f>
        <v>3.0555555555555565E-2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42" zoomScale="50" zoomScaleNormal="50" workbookViewId="0">
      <selection activeCell="L57" sqref="L5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229</v>
      </c>
      <c r="O54" s="39">
        <v>279980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233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242</v>
      </c>
      <c r="F57" s="27">
        <v>4</v>
      </c>
      <c r="G57" s="34">
        <f t="shared" si="12"/>
        <v>16.8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11</v>
      </c>
      <c r="G68" s="36">
        <f>SUM(G56:G67)</f>
        <v>46.2</v>
      </c>
      <c r="H68" s="37"/>
      <c r="I68" s="37"/>
      <c r="J68" s="37"/>
      <c r="K68" s="37"/>
      <c r="L68" s="37"/>
      <c r="M68" s="38">
        <f ca="1">IFERROR(SUM(M56:M67),"")</f>
        <v>5.5555555555555358E-3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11</v>
      </c>
      <c r="G82" s="40">
        <f>G68+G81</f>
        <v>46.2</v>
      </c>
      <c r="H82" s="41"/>
      <c r="I82" s="41"/>
      <c r="J82" s="41"/>
      <c r="K82" s="41"/>
      <c r="L82" s="41"/>
      <c r="M82" s="42">
        <f ca="1">IFERROR(M68+M81,"")</f>
        <v>5.5555555555555358E-3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6" activePane="bottomLeft" state="frozen"/>
      <selection pane="bottomLeft" activeCell="F58" sqref="F5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229</v>
      </c>
      <c r="O54" s="39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233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/>
      <c r="I56" s="26"/>
      <c r="J56" s="33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12</v>
      </c>
      <c r="G57" s="34">
        <f t="shared" si="12"/>
        <v>50.400000000000006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30</v>
      </c>
      <c r="G68" s="36">
        <f>SUM(G56:G67)</f>
        <v>126.00000000000001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30</v>
      </c>
      <c r="G82" s="40">
        <f>G68+G81</f>
        <v>126.00000000000001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2026-08-03T13:51:01Z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