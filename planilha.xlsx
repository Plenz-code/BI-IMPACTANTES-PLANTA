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70" documentId="8_{AF585B22-221D-4780-BB9C-493D365A6A02}" xr6:coauthVersionLast="47" xr6:coauthVersionMax="47" xr10:uidLastSave="{195E2075-4574-42CC-B4BE-9930B3FE4CA7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3" i="3" l="1"/>
  <c r="G741" i="5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57" i="3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<sst xmlns="http://schemas.openxmlformats.org/spreadsheetml/2006/main" count="11538" uniqueCount="421">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</sst>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25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25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25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25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25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25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25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25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25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25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25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25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25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25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25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25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25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25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25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25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25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25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25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25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 x14ac:dyDescent="0.25">
      <c r="H58" s="113"/>
      <c r="I58" s="16"/>
      <c r="J58" s="16"/>
      <c r="K58" s="16" t="s">
        <v>206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207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208</v>
      </c>
      <c r="L61" s="17"/>
      <c r="M61" s="17"/>
    </row>
    <row r="62" spans="1:13" ht="15" customHeight="1" x14ac:dyDescent="0.25">
      <c r="H62" s="113"/>
      <c r="I62" s="16"/>
      <c r="J62" s="16"/>
      <c r="K62" s="16" t="s">
        <v>209</v>
      </c>
      <c r="L62" s="16"/>
      <c r="M62" s="16"/>
    </row>
    <row r="63" spans="1:13" ht="15" customHeight="1" x14ac:dyDescent="0.25">
      <c r="H63" s="113"/>
      <c r="I63" s="17"/>
      <c r="J63" s="17"/>
      <c r="K63" s="17" t="s">
        <v>210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211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212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213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214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215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216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217</v>
      </c>
      <c r="L70" s="16"/>
      <c r="M70" s="16"/>
    </row>
    <row r="71" spans="8:13" ht="15" customHeight="1" x14ac:dyDescent="0.25">
      <c r="H71" s="113"/>
      <c r="I71" s="17"/>
      <c r="J71" s="17"/>
      <c r="K71" s="17" t="s">
        <v>218</v>
      </c>
      <c r="L71" s="17"/>
      <c r="M71" s="17"/>
    </row>
    <row r="72" spans="8:13" ht="15" customHeight="1" x14ac:dyDescent="0.25">
      <c r="H72" s="113"/>
      <c r="I72" s="16"/>
      <c r="J72" s="16"/>
      <c r="K72" s="16" t="s">
        <v>219</v>
      </c>
      <c r="L72" s="16"/>
      <c r="M72" s="16"/>
    </row>
    <row r="73" spans="8:13" ht="15" customHeight="1" x14ac:dyDescent="0.25">
      <c r="H73" s="113"/>
      <c r="I73" s="17"/>
      <c r="J73" s="17"/>
      <c r="K73" s="17" t="s">
        <v>220</v>
      </c>
      <c r="L73" s="17"/>
      <c r="M73" s="17"/>
    </row>
    <row r="74" spans="8:13" ht="15" customHeight="1" x14ac:dyDescent="0.25">
      <c r="H74" s="113"/>
      <c r="I74" s="16"/>
      <c r="J74" s="16"/>
      <c r="K74" s="16"/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80" zoomScaleNormal="80" workbookViewId="0">
      <pane ySplit="1" topLeftCell="A728" activePane="bottomLeft" state="frozen"/>
      <selection pane="bottomLeft" activeCell="G744" sqref="G744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 x14ac:dyDescent="0.25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 x14ac:dyDescent="0.25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 x14ac:dyDescent="0.25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 x14ac:dyDescent="0.25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 x14ac:dyDescent="0.25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 x14ac:dyDescent="0.25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 x14ac:dyDescent="0.25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 x14ac:dyDescent="0.25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 x14ac:dyDescent="0.25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 x14ac:dyDescent="0.25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 x14ac:dyDescent="0.25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 x14ac:dyDescent="0.25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 x14ac:dyDescent="0.25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 x14ac:dyDescent="0.25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 x14ac:dyDescent="0.25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 x14ac:dyDescent="0.25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 x14ac:dyDescent="0.25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 x14ac:dyDescent="0.25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 x14ac:dyDescent="0.25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 x14ac:dyDescent="0.25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 x14ac:dyDescent="0.25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 x14ac:dyDescent="0.25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 x14ac:dyDescent="0.25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 x14ac:dyDescent="0.25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 x14ac:dyDescent="0.25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 x14ac:dyDescent="0.25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 x14ac:dyDescent="0.25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 x14ac:dyDescent="0.25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 x14ac:dyDescent="0.25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46</v>
      </c>
      <c r="G770" s="36">
        <f>SUM(G758:G769)</f>
        <v>230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46</v>
      </c>
      <c r="G784" s="40">
        <f>G770+G783</f>
        <v>230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726" activePane="bottomLeft" state="frozen"/>
      <selection pane="bottomLeft" activeCell="J758" sqref="J758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 x14ac:dyDescent="0.25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 x14ac:dyDescent="0.25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 x14ac:dyDescent="0.25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 x14ac:dyDescent="0.25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 x14ac:dyDescent="0.25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 x14ac:dyDescent="0.25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 x14ac:dyDescent="0.25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 x14ac:dyDescent="0.25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 x14ac:dyDescent="0.25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 x14ac:dyDescent="0.25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 x14ac:dyDescent="0.25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 x14ac:dyDescent="0.25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 x14ac:dyDescent="0.25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0.15066805555397877</v>
      </c>
      <c r="N377" s="46"/>
      <c r="O377" s="47"/>
    </row>
    <row r="378" spans="1:15" ht="15.75" customHeight="1" x14ac:dyDescent="0.25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0.30830694444286766</v>
      </c>
      <c r="N378" s="36" t="s">
        <v>235</v>
      </c>
      <c r="O378" s="77">
        <v>511980</v>
      </c>
    </row>
    <row r="379" spans="1:15" ht="18" customHeight="1" x14ac:dyDescent="0.25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0.41802916666508982</v>
      </c>
      <c r="N379" s="40" t="s">
        <v>238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 x14ac:dyDescent="0.25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0.129140277778788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0.2999736111121214</v>
      </c>
      <c r="N432" s="36" t="s">
        <v>235</v>
      </c>
      <c r="O432" s="77">
        <v>484540</v>
      </c>
    </row>
    <row r="433" spans="1:15" ht="18" customHeight="1" x14ac:dyDescent="0.25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0.44511250000101027</v>
      </c>
      <c r="N433" s="40" t="s">
        <v>238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 x14ac:dyDescent="0.25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 x14ac:dyDescent="0.25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 x14ac:dyDescent="0.25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 x14ac:dyDescent="0.25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 x14ac:dyDescent="0.25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 x14ac:dyDescent="0.25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 x14ac:dyDescent="0.25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 x14ac:dyDescent="0.25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 x14ac:dyDescent="0.25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 x14ac:dyDescent="0.25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 x14ac:dyDescent="0.25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 x14ac:dyDescent="0.25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/>
      <c r="M758" s="30">
        <f t="shared" ref="M758:M769" ca="1" si="169">IFERROR(IF(K758="","",IF(L758="",MOD(NOW()-K758,1),IF(L758&gt;=K758,L758-K758,L758+1-K758))),"")</f>
        <v>1.0390277777332813E-2</v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172.2</v>
      </c>
      <c r="H770" s="37"/>
      <c r="I770" s="37"/>
      <c r="J770" s="37"/>
      <c r="K770" s="37"/>
      <c r="L770" s="37"/>
      <c r="M770" s="38">
        <f ca="1">IFERROR(SUM(M758:M769),"")</f>
        <v>1.0390277777332813E-2</v>
      </c>
      <c r="N770" s="36" t="s">
        <v>235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172.2</v>
      </c>
      <c r="H784" s="41"/>
      <c r="I784" s="41"/>
      <c r="J784" s="41"/>
      <c r="K784" s="41"/>
      <c r="L784" s="41"/>
      <c r="M784" s="42">
        <f ca="1">IFERROR(M770+M783,"")</f>
        <v>1.0390277777332813E-2</v>
      </c>
      <c r="N784" s="40" t="s">
        <v>238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6" zoomScale="80" zoomScaleNormal="80" workbookViewId="0">
      <selection activeCell="J760" sqref="J760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 x14ac:dyDescent="0.25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 x14ac:dyDescent="0.25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 x14ac:dyDescent="0.25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 x14ac:dyDescent="0.25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 x14ac:dyDescent="0.25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 x14ac:dyDescent="0.25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 x14ac:dyDescent="0.25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 x14ac:dyDescent="0.25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 x14ac:dyDescent="0.25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 x14ac:dyDescent="0.25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 x14ac:dyDescent="0.25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 x14ac:dyDescent="0.25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 x14ac:dyDescent="0.25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 x14ac:dyDescent="0.25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 x14ac:dyDescent="0.25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 x14ac:dyDescent="0.25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 x14ac:dyDescent="0.25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 x14ac:dyDescent="0.25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 x14ac:dyDescent="0.25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 x14ac:dyDescent="0.25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 x14ac:dyDescent="0.25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 x14ac:dyDescent="0.25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 x14ac:dyDescent="0.25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 x14ac:dyDescent="0.25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 x14ac:dyDescent="0.25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 x14ac:dyDescent="0.25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 x14ac:dyDescent="0.25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 x14ac:dyDescent="0.25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</v>
      </c>
      <c r="G770" s="36">
        <f>SUM(G758:G769)</f>
        <v>12.600000000000001</v>
      </c>
      <c r="H770" s="37"/>
      <c r="I770" s="37"/>
      <c r="J770" s="37"/>
      <c r="K770" s="37"/>
      <c r="L770" s="37"/>
      <c r="M770" s="38">
        <f ca="1">IFERROR(SUM(M758:M769),"")</f>
        <v>4.4444444444444453E-2</v>
      </c>
      <c r="N770" s="36" t="s">
        <v>235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</v>
      </c>
      <c r="G784" s="40">
        <f>G770+G783</f>
        <v>12.600000000000001</v>
      </c>
      <c r="H784" s="41"/>
      <c r="I784" s="41"/>
      <c r="J784" s="41"/>
      <c r="K784" s="41"/>
      <c r="L784" s="41"/>
      <c r="M784" s="42">
        <f ca="1">IFERROR(M770+M783,"")</f>
        <v>4.4444444444444453E-2</v>
      </c>
      <c r="N784" s="40" t="s">
        <v>238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73" zoomScaleNormal="73" workbookViewId="0">
      <pane ySplit="1" topLeftCell="A728" activePane="bottomLeft" state="frozen"/>
      <selection pane="bottomLeft" activeCell="C773" sqref="C773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 x14ac:dyDescent="0.25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 x14ac:dyDescent="0.25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 x14ac:dyDescent="0.25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 x14ac:dyDescent="0.25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0.1409458333364455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0.34025138889200113</v>
      </c>
      <c r="N135" s="36" t="s">
        <v>235</v>
      </c>
      <c r="O135" s="39">
        <v>729290</v>
      </c>
    </row>
    <row r="136" spans="1:18" ht="18" customHeight="1" x14ac:dyDescent="0.25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0.70761250000311215</v>
      </c>
      <c r="N136" s="40" t="s">
        <v>238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 x14ac:dyDescent="0.25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 x14ac:dyDescent="0.25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 x14ac:dyDescent="0.25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 x14ac:dyDescent="0.25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 x14ac:dyDescent="0.25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 x14ac:dyDescent="0.25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 x14ac:dyDescent="0.25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 x14ac:dyDescent="0.25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 x14ac:dyDescent="0.25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 x14ac:dyDescent="0.25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 x14ac:dyDescent="0.25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 x14ac:dyDescent="0.25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 x14ac:dyDescent="0.25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 x14ac:dyDescent="0.25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 x14ac:dyDescent="0.25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 x14ac:dyDescent="0.25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 x14ac:dyDescent="0.25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 x14ac:dyDescent="0.25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 x14ac:dyDescent="0.25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 x14ac:dyDescent="0.25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 x14ac:dyDescent="0.25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 x14ac:dyDescent="0.25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 x14ac:dyDescent="0.25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9.858472222549608E-2</v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9.858472222549608E-2</v>
      </c>
      <c r="N770" s="36" t="s">
        <v>235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25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9.858472222549608E-2</v>
      </c>
      <c r="N784" s="40" t="s">
        <v>238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25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2026-07-29T13:22:16Z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