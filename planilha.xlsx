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79" documentId="8_{AF585B22-221D-4780-BB9C-493D365A6A02}" xr6:coauthVersionLast="47" xr6:coauthVersionMax="47" xr10:uidLastSave="{5FF080A3-FC3F-4631-92E3-1860C839D0C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<sst xmlns="http://schemas.openxmlformats.org/spreadsheetml/2006/main" count="9495" uniqueCount="384">
  <si>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</si>
  <si>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</si>
  <si>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</si>
  <si>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</si>
  <si>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</si>
  <si>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</si>
  <si>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</si>
  <si>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</si>
  <si>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</si>
  <si>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</si>
  <si>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</si>
  <si>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</si>
  <si>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</si>
  <si>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</si>
  <si>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</si>
  <si>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</si>
  <si>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</si>
  <si>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</si>
  <si>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</si>
  <si>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</si>
  <si>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</si>
  <si>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</si>
  <si>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</si>
  <si>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</si>
  <si>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</si>
  <si>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</si>
  <si>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</si>
  <si>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</si>
  <si>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</si>
  <si>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</si>
  <si>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</si>
  <si>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</si>
  <si>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</si>
  <si>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</si>
  <si>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</si>
  <si>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</si>
  <si>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</si>
  <si>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</si>
  <si>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</si>
  <si>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</si>
  <si>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</si>
  <si>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</si>
  <si>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</si>
  <si>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</si>
  <si>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</si>
  <si>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</si>
  <si>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</si>
  <si>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</si>
  <si>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</si>
  <si>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</si>
  <si>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</si>
  <si>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</si>
  <si>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</si>
  <si>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</si>
  <si>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</si>
  <si>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</si>
  <si>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</si>
  <si>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</si>
  <si>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</si>
  <si>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</si>
  <si>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</si>
  <si>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</si>
  <si>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</si>
  <si>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</si>
  <si>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</si>
  <si>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</si>
  <si>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</si>
  <si>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</si>
  <si>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</si>
  <si>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</si>
  <si>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</si>
  <si>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</si>
  <si>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</si>
  <si>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</si>
  <si>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</si>
  <si>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</si>
  <si>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</si>
  <si>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</si>
  <si>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</si>
  <si>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</si>
  <si>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</si>
  <si>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</si>
  <si>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</si>
  <si>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</si>
  <si>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</si>
  <si>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</si>
  <si>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</si>
  <si>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</si>
  <si>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</si>
  <si>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</si>
  <si>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</si>
  <si>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</si>
  <si>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</si>
  <si>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</si>
  <si>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</si>
  <si>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</si>
  <si>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</si>
  <si>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</si>
  <si>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</si>
  <si>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</si>
  <si>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</si>
  <si>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</si>
  <si>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</si>
  <si>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</si>
  <si>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</si>
  <si>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</si>
  <si>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</si>
  <si>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</si>
  <si>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</si>
  <si>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</si>
  <si>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</si>
  <si>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</si>
  <si>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</si>
  <si>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</si>
  <si>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</si>
  <si>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</si>
  <si>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</si>
  <si>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</si>
  <si>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</si>
  <si>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</si>
  <si>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</si>
  <si>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</si>
  <si>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</si>
  <si>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</si>
  <si>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</si>
  <si>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</si>
  <si>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</si>
  <si>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</si>
  <si>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</si>
  <si>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</si>
  <si>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</si>
  <si>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</si>
  <si>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</si>
  <si>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</si>
  <si>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</si>
  <si>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</si>
  <si>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</si>
  <si>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</si>
  <si>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</si>
  <si>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</si>
  <si>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</si>
  <si>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</si>
  <si>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</si>
  <si>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</si>
  <si>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</si>
  <si>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</si>
  <si>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</si>
  <si>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</si>
  <si>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</si>
  <si>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</si>
  <si>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</si>
  <si>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</si>
  <si>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</si>
  <si>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</si>
  <si>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</si>
  <si>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</si>
  <si>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</si>
  <si>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</si>
  <si>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</si>
  <si>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</si>
  <si>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</si>
  <si>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</si>
  <si>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</si>
  <si>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</si>
  <si>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</si>
  <si>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</si>
  <si>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</si>
  <si>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</si>
  <si>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</si>
  <si>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</si>
  <si>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</si>
  <si>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</si>
  <si>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</si>
  <si>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</si>
  <si>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</si>
  <si>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</si>
  <si>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</si>
  <si>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</si>
  <si>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</si>
  <si>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</si>
  <si>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</si>
  <si>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</si>
  <si>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</si>
  <si>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</si>
  <si>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</si>
  <si>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</si>
  <si>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</si>
  <si>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</si>
  <si>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</si>
  <si>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</si>
  <si>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</si>
  <si>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</si>
  <si>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</si>
  <si>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</si>
  <si>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</si>
  <si>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</si>
  <si>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</si>
  <si>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</si>
  <si>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</si>
  <si>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</si>
  <si>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</si>
  <si>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</si>
  <si>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</si>
  <si>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</si>
  <si>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</si>
  <si>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</si>
  <si>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</si>
  <si>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</si>
  <si>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</si>
  <si>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</si>
  <si>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</si>
  <si>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</si>
  <si>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</si>
  <si>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</si>
  <si>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</si>
  <si>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</si>
  <si>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</si>
  <si>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</si>
  <si>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</si>
  <si>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</si>
  <si>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</si>
  <si>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</si>
  <si>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</si>
  <si>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</si>
  <si>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</si>
  <si>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</si>
  <si>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</si>
  <si>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</si>
  <si>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</si>
  <si>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</si>
  <si>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</si>
  <si>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</si>
  <si>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</si>
  <si>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</si>
  <si>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</si>
  <si>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</si>
  <si>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</si>
  <si>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</si>
  <si>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</si>
  <si>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</si>
  <si>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</si>
  <si>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</si>
  <si>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</si>
  <si>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</si>
  <si>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</si>
  <si>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</si>
  <si>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</si>
  <si>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</si>
  <si>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</si>
  <si>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</si>
  <si>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</si>
  <si>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</si>
  <si>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</si>
  <si>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</si>
  <si>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</si>
  <si>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</si>
  <si>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</si>
  <si>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</si>
  <si>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</si>
  <si>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</si>
  <si>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</si>
  <si>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</si>
  <si>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</si>
  <si>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</si>
  <si>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</si>
  <si>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</si>
  <si>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</si>
  <si>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</si>
  <si>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</si>
  <si>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</si>
  <si>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</si>
  <si>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</si>
  <si>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</si>
  <si>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</si>
  <si>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</si>
  <si>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</si>
  <si>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</si>
  <si>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</si>
  <si>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</si>
  <si>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</si>
  <si>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</si>
  <si>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</si>
  <si>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</si>
  <si>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</si>
  <si>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</si>
  <si>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</si>
  <si>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</si>
  <si>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</si>
  <si>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</si>
  <si>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</si>
  <si>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</si>
  <si>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</si>
  <si>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</si>
  <si>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</si>
  <si>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</si>
  <si>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</si>
  <si>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</si>
  <si>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</si>
  <si>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</si>
  <si>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</si>
  <si>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</si>
  <si>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</si>
  <si>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</si>
  <si>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</si>
  <si>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</si>
  <si>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</si>
  <si>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</si>
  <si>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</si>
  <si>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</si>
  <si>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e do mm2 troca de martelo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</si>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</sst>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0" activePane="bottomLeft" state="frozen"/>
      <selection pane="bottomLeft" activeCell="F616" sqref="F61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144</v>
      </c>
      <c r="G621" s="36">
        <f>SUM(G609:G620)</f>
        <v>720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535</v>
      </c>
      <c r="G622" s="40">
        <f>G608+G621</f>
        <v>2675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7" activePane="bottomLeft" state="frozen"/>
      <selection pane="bottomLeft" activeCell="L610" sqref="L6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0.88368831018306082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1.0413271990719497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1.151049421294172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0.86216053240787005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1.0329938657412034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1.1781327546300924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0.1111111111111111</v>
      </c>
      <c r="M609" s="35">
        <f t="shared" ref="M609:M620" ca="1" si="136">IFERROR(IF(K609="","",IF(L609="",MOD(NOW()-K609,1),IF(L609&gt;=K609,L609-K609,L609+1-K609))),"")</f>
        <v>2.9861111111111102E-2</v>
      </c>
      <c r="N609" s="46" t="s">
        <v>309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57</v>
      </c>
      <c r="G621" s="36">
        <f>SUM(G609:G620)</f>
        <v>210.2</v>
      </c>
      <c r="H621" s="37"/>
      <c r="I621" s="37"/>
      <c r="J621" s="37"/>
      <c r="K621" s="37"/>
      <c r="L621" s="37"/>
      <c r="M621" s="38">
        <f ca="1">IFERROR(SUM(M609:M620),"")</f>
        <v>2.9861111111111102E-2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221</v>
      </c>
      <c r="G622" s="40">
        <f>G608+G621</f>
        <v>899</v>
      </c>
      <c r="H622" s="41"/>
      <c r="I622" s="41"/>
      <c r="J622" s="41"/>
      <c r="K622" s="41"/>
      <c r="L622" s="41"/>
      <c r="M622" s="42">
        <f ca="1">IFERROR(M608+M621,"")</f>
        <v>9.4444444444444428E-2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G616" sqref="G6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36</v>
      </c>
      <c r="G621" s="36">
        <f>SUM(G609:G620)</f>
        <v>164.6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177</v>
      </c>
      <c r="G622" s="40">
        <f>G608+G621</f>
        <v>756.80000000000007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16" sqref="F6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0.87396608796552755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1.0732716435210832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1.4406327546321942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0.41493831018306082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0.46979942129417201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32</v>
      </c>
      <c r="G621" s="36">
        <f>SUM(G609:G620)</f>
        <v>140.80000000000001</v>
      </c>
      <c r="H621" s="37"/>
      <c r="I621" s="37"/>
      <c r="J621" s="37"/>
      <c r="K621" s="61"/>
      <c r="L621" s="61"/>
      <c r="M621" s="38">
        <f ca="1">IFERROR(SUM(M609:M620),"")</f>
        <v>0.10069444444444448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192</v>
      </c>
      <c r="G622" s="40">
        <f>G608+G621</f>
        <v>812.8</v>
      </c>
      <c r="H622" s="41"/>
      <c r="I622" s="41"/>
      <c r="J622" s="41"/>
      <c r="K622" s="63"/>
      <c r="L622" s="63"/>
      <c r="M622" s="42">
        <f ca="1">IFERROR(M608+M621,"")</f>
        <v>0.57049386573861649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2026-07-24T06:57:41Z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