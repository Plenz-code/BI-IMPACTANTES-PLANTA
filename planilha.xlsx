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56" documentId="13_ncr:1_{9DFDFEE8-78F7-4C04-B87C-99924EE6CC37}" xr6:coauthVersionLast="47" xr6:coauthVersionMax="47" xr10:uidLastSave="{254D820B-14EC-4E4C-AE32-56E300644D59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<sst xmlns="http://schemas.openxmlformats.org/spreadsheetml/2006/main" count="8732" uniqueCount="2873">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</sst>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65" sqref="F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295</v>
      </c>
      <c r="G68" s="2">
        <f>SUM(G56:G67)</f>
        <v>1451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295</v>
      </c>
      <c r="G82" s="1">
        <f>G68+G81</f>
        <v>1451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8" activePane="bottomLeft" state="frozen"/>
      <selection pane="bottomLeft" activeCell="P58" sqref="P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136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571.19999999999993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136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571.19999999999993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7" activePane="bottomLeft" state="frozen"/>
      <selection pane="bottomLeft" activeCell="G64" sqref="G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101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424.2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101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424.2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0" activePane="bottomLeft" state="frozen"/>
      <selection pane="bottomLeft" activeCell="M62" sqref="M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0</v>
      </c>
      <c r="I62" s="109">
        <f>IFERROR(IF($D62="","",VLOOKUP($D62,Cadastro!$C$4:$G$20,5,FALSE())),"")</f>
        <v>0.6</v>
      </c>
      <c r="J62" s="110">
        <f t="shared" si="16"/>
        <v>0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0</v>
      </c>
      <c r="I63" s="109">
        <f>IFERROR(IF($D63="","",VLOOKUP($D63,Cadastro!$C$4:$G$20,5,FALSE())),"")</f>
        <v>0.6</v>
      </c>
      <c r="J63" s="110">
        <f t="shared" si="16"/>
        <v>0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0</v>
      </c>
      <c r="I64" s="109">
        <f>IFERROR(IF($D64="","",VLOOKUP($D64,Cadastro!$C$4:$G$20,5,FALSE())),"")</f>
        <v>0.6</v>
      </c>
      <c r="J64" s="110">
        <f t="shared" si="16"/>
        <v>0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140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588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140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588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2026-09-03T20:33:31Z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