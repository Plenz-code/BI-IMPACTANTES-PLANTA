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78" documentId="8_{AF585B22-221D-4780-BB9C-493D365A6A02}" xr6:coauthVersionLast="47" xr6:coauthVersionMax="47" xr10:uidLastSave="{FD37159A-5C84-4CB0-8DAC-1D9A120795A3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<sst xmlns="http://schemas.openxmlformats.org/spreadsheetml/2006/main" count="2744" uniqueCount="246">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</sst>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1693740</v>
      </c>
      <c r="E8" s="8">
        <f>IFERROR('Linha 2'!O136,"")</f>
        <v>314528</v>
      </c>
      <c r="F8" s="8">
        <f>IFERROR('Linha 3'!O136,"")</f>
        <v>274450</v>
      </c>
      <c r="G8" s="9">
        <f t="shared" si="0"/>
        <v>2282718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5794850</v>
      </c>
      <c r="E35" s="13">
        <f>IFERROR(SUM(E4:E34),"")</f>
        <v>2660738</v>
      </c>
      <c r="F35" s="13">
        <f>IFERROR(SUM(F4:F34),"")</f>
        <v>4246640</v>
      </c>
      <c r="G35" s="13">
        <f>IFERROR(SUM(G4:G34),"")</f>
        <v>12702228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0.14782500000001164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0.17560277777778943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0.18949166666667833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108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187</v>
      </c>
      <c r="K130" s="29">
        <v>0.20972222222222223</v>
      </c>
      <c r="L130" s="29"/>
      <c r="M130" s="35">
        <f t="shared" ca="1" si="28"/>
        <v>7.0047222223365679E-2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0.24435277777892145</v>
      </c>
      <c r="N135" s="36" t="s">
        <v>204</v>
      </c>
      <c r="O135" s="54">
        <v>824480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0.38601944444558811</v>
      </c>
      <c r="N136" s="40" t="s">
        <v>207</v>
      </c>
      <c r="O136" s="83">
        <f>IFERROR(O122+O135,"")</f>
        <v>1693740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O136" sqref="O13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>
        <v>263398</v>
      </c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314528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107" activePane="bottomLeft" state="frozen"/>
      <selection pane="bottomLeft" activeCell="L128" sqref="L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236</v>
      </c>
      <c r="L58" s="29">
        <v>0.54097222222222219</v>
      </c>
      <c r="M58" s="30" t="str">
        <f t="shared" ca="1" si="13"/>
        <v/>
      </c>
      <c r="N58" s="27" t="s">
        <v>237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239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3.0463888891972601E-2</v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0.22976944444752823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0.59713055555863925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2026-07-06T10:43:21Z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