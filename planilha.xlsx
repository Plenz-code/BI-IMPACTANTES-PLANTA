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83" documentId="13_ncr:1_{A6DBCFB4-28D9-4249-9038-216934055CA6}" xr6:coauthVersionLast="47" xr6:coauthVersionMax="47" xr10:uidLastSave="{08A3ED2F-D1EA-4862-B690-697254FCB42B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<sst xmlns="http://schemas.openxmlformats.org/spreadsheetml/2006/main" count="11114" uniqueCount="448">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</sst>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F678" sqref="F67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23</v>
      </c>
      <c r="G689" s="2">
        <f>SUM(G677:G688)</f>
        <v>115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23</v>
      </c>
      <c r="G703" s="1">
        <f>G689+G702</f>
        <v>115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P678" sqref="P67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0.21736620370211313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0.35625509259100085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0.44097731481322366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 t="s">
        <v>278</v>
      </c>
      <c r="F677" s="100" t="str">
        <f>IFERROR(IF($D677="","",VLOOKUP($D677,Cadastro!$C$4:$E$7,3,FALSE())),"")</f>
        <v/>
      </c>
      <c r="G677" s="88">
        <v>4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 t="s">
        <v>278</v>
      </c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 t="s">
        <v>278</v>
      </c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4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16.8</v>
      </c>
      <c r="L689" s="71"/>
      <c r="M689" s="71"/>
      <c r="N689" s="71"/>
      <c r="O689" s="71"/>
      <c r="P689" s="71"/>
      <c r="Q689" s="72">
        <f ca="1">IFERROR(SUM(Q677:Q688),"")</f>
        <v>3.472222222222221E-2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4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16.8</v>
      </c>
      <c r="L703" s="75"/>
      <c r="M703" s="75"/>
      <c r="N703" s="75"/>
      <c r="O703" s="75"/>
      <c r="P703" s="75"/>
      <c r="Q703" s="76">
        <f ca="1">IFERROR(Q689+Q702,"")</f>
        <v>3.472222222222221E-2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G678" sqref="G67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>
        <v>12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12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12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2" activePane="bottomLeft" state="frozen"/>
      <selection pane="bottomLeft" activeCell="P678" sqref="P67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>
        <v>9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0.32291666666666669</v>
      </c>
      <c r="Q677" s="70">
        <f t="shared" ref="Q677:Q688" ca="1" si="180">IFERROR(IF(O677="","",IF(P677="",MOD(NOW()-O677,1),IF(P677&gt;=O677,P677-O677,P677+1-O677))),"")</f>
        <v>3.125E-2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3.125E-2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3.125E-2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2026-08-26T12:08:13Z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