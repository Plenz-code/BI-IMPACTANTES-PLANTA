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8" documentId="8_{C51EB6CB-002B-4D6B-B68F-DDEBDB4460C0}" xr6:coauthVersionLast="47" xr6:coauthVersionMax="47" xr10:uidLastSave="{514B5BC8-D15F-4B57-856D-D8EBE89C4F36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11" i="3" l="1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487" i="3" l="1"/>
  <c r="M703" i="6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<sst xmlns="http://schemas.openxmlformats.org/spreadsheetml/2006/main" count="1208" uniqueCount="236">
  <si>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</si>
  <si>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</si>
  <si>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</si>
  <si>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</si>
  <si>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</si>
  <si>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</si>
  <si>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</si>
  <si>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</si>
  <si>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</si>
  <si>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</si>
  <si>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</si>
  <si>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</si>
  <si>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</si>
  <si>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</si>
  <si>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</si>
  <si>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</si>
  <si>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</si>
  <si>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</si>
  <si>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</si>
  <si>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</si>
  <si>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</si>
  <si>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</si>
  <si>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</si>
  <si>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</si>
  <si>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</si>
  <si>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</si>
  <si>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</si>
  <si>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</si>
  <si>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</si>
  <si>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</si>
  <si>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</si>
  <si>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</si>
  <si>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</si>
  <si>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</si>
  <si>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</si>
  <si>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</si>
  <si>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</si>
  <si>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</si>
  <si>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</si>
  <si>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</si>
  <si>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</si>
  <si>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</si>
  <si>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</si>
  <si>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</si>
  <si>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</si>
  <si>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</si>
  <si>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</si>
  <si>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</si>
  <si>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</si>
  <si>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</si>
  <si>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</si>
  <si>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</si>
  <si>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</si>
  <si>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</si>
  <si>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</si>
  <si>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</si>
  <si>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</si>
  <si>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</si>
  <si>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</si>
  <si>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</si>
  <si>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</si>
  <si>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</si>
  <si>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</si>
  <si>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</si>
  <si>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</si>
  <si>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</si>
  <si>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</si>
  <si>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</si>
  <si>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</si>
  <si>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</si>
  <si>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</si>
  <si>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</si>
  <si>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</si>
  <si>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</si>
  <si>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</si>
  <si>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</si>
  <si>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</si>
  <si>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</si>
  <si>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</si>
  <si>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</si>
  <si>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</si>
  <si>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</si>
  <si>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</si>
  <si>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</si>
  <si>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</si>
  <si>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</si>
  <si>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</si>
  <si>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</si>
  <si>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</si>
  <si>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</si>
  <si>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</si>
  <si>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</si>
  <si>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</si>
  <si>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</si>
  <si>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</si>
  <si>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</si>
  <si>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</si>
  <si>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</si>
  <si>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</si>
  <si>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</si>
  <si>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</si>
  <si>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</si>
  <si>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</si>
  <si>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</si>
  <si>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</si>
  <si>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</si>
  <si>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</si>
  <si>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</si>
  <si>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</si>
  <si>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</si>
  <si>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</si>
  <si>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</si>
  <si>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</si>
  <si>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</si>
  <si>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</si>
  <si>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</si>
  <si>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</si>
  <si>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</si>
  <si>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</si>
  <si>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</si>
  <si>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</si>
  <si>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</si>
  <si>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</si>
  <si>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</si>
  <si>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</si>
  <si>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</si>
  <si>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</si>
  <si>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</si>
  <si>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</si>
  <si>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</si>
  <si>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</si>
  <si>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</si>
  <si>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</si>
  <si>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</si>
  <si>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</si>
  <si>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</si>
  <si>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</si>
  <si>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</si>
  <si>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</si>
  <si>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</si>
  <si>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</si>
  <si>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</si>
  <si>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</si>
  <si>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</si>
  <si>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</si>
  <si>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</si>
  <si>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</si>
  <si>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</si>
  <si>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</si>
  <si>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</si>
  <si>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</si>
  <si>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</si>
  <si>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</si>
  <si>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</si>
  <si>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</si>
  <si>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</si>
  <si>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</si>
  <si>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</si>
  <si>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</si>
  <si>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</si>
  <si>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</si>
  <si>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</si>
  <si>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</si>
  <si>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</si>
  <si>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</si>
  <si>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</si>
  <si>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</si>
  <si>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</si>
  <si>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</si>
  <si>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</si>
  <si>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</si>
  <si>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</si>
  <si>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</si>
  <si>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</si>
  <si>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</si>
  <si>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</si>
  <si>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</si>
  <si>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</si>
  <si>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</si>
  <si>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</si>
  <si>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</si>
  <si>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</si>
  <si>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</si>
  <si>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</si>
  <si>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</si>
  <si>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</si>
  <si>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</si>
  <si>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</si>
  <si>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</si>
  <si>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</si>
  <si>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</si>
  <si>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</si>
  <si>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</si>
  <si>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</si>
  <si>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</si>
  <si>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</si>
  <si>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</si>
  <si>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</si>
  <si>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</si>
  <si>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</si>
  <si>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</si>
  <si>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</si>
  <si>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</si>
  <si>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</si>
  <si>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</si>
  <si>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</si>
  <si>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</si>
  <si>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</si>
  <si>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</si>
  <si>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</si>
  <si>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</si>
  <si>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</si>
  <si>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</si>
  <si>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</si>
  <si>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</si>
  <si>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</si>
  <si>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</si>
  <si>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</si>
  <si>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</si>
  <si>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</si>
  <si>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</si>
  <si>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</si>
  <si>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</si>
  <si>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</si>
  <si>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</si>
  <si>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</si>
  <si>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</si>
  <si>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</si>
  <si>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</si>
  <si>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</si>
  <si>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</si>
  <si>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</si>
  <si>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</si>
  <si>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</si>
  <si>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</si>
  <si>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00:020:00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</si>
</sst>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 x14ac:dyDescent="0.25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7" t="s">
        <v>9</v>
      </c>
      <c r="B35" s="107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 x14ac:dyDescent="0.25">
      <c r="H2" s="10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09"/>
      <c r="I56" s="16"/>
      <c r="J56" s="16"/>
      <c r="K56" s="16" t="s">
        <v>202</v>
      </c>
      <c r="L56" s="16"/>
      <c r="M56" s="16"/>
    </row>
    <row r="57" spans="1:13" ht="15" customHeight="1" x14ac:dyDescent="0.25">
      <c r="H57" s="109"/>
      <c r="I57" s="17"/>
      <c r="J57" s="17"/>
      <c r="K57" s="17" t="s">
        <v>50</v>
      </c>
      <c r="L57" s="17"/>
      <c r="M57" s="17"/>
    </row>
    <row r="58" spans="1:13" ht="15" customHeight="1" x14ac:dyDescent="0.25">
      <c r="H58" s="109"/>
      <c r="I58" s="16"/>
      <c r="J58" s="16"/>
      <c r="K58" s="16" t="s">
        <v>203</v>
      </c>
      <c r="L58" s="16"/>
      <c r="M58" s="16"/>
    </row>
    <row r="59" spans="1:13" ht="15" customHeight="1" x14ac:dyDescent="0.25">
      <c r="H59" s="109"/>
      <c r="I59" s="17"/>
      <c r="J59" s="17"/>
      <c r="K59" s="17" t="s">
        <v>204</v>
      </c>
      <c r="L59" s="17"/>
      <c r="M59" s="17"/>
    </row>
    <row r="60" spans="1:13" ht="15" customHeight="1" x14ac:dyDescent="0.25">
      <c r="H60" s="109"/>
      <c r="I60" s="16"/>
      <c r="J60" s="16"/>
      <c r="K60" s="86" t="s">
        <v>105</v>
      </c>
      <c r="L60" s="16"/>
      <c r="M60" s="16"/>
    </row>
    <row r="61" spans="1:13" ht="15" customHeight="1" x14ac:dyDescent="0.25">
      <c r="H61" s="109"/>
      <c r="I61" s="17"/>
      <c r="J61" s="17"/>
      <c r="K61" s="17" t="s">
        <v>205</v>
      </c>
      <c r="L61" s="17"/>
      <c r="M61" s="17"/>
    </row>
    <row r="62" spans="1:13" ht="15" customHeight="1" x14ac:dyDescent="0.25">
      <c r="H62" s="109"/>
      <c r="I62" s="16"/>
      <c r="J62" s="16"/>
      <c r="K62" s="16" t="s">
        <v>206</v>
      </c>
      <c r="L62" s="16"/>
      <c r="M62" s="16"/>
    </row>
    <row r="63" spans="1:13" ht="15" customHeight="1" x14ac:dyDescent="0.25">
      <c r="H63" s="109"/>
      <c r="I63" s="17"/>
      <c r="J63" s="17"/>
      <c r="K63" s="17" t="s">
        <v>207</v>
      </c>
      <c r="L63" s="17"/>
      <c r="M63" s="17"/>
    </row>
    <row r="64" spans="1:13" ht="15" customHeight="1" x14ac:dyDescent="0.25">
      <c r="H64" s="109"/>
      <c r="I64" s="16"/>
      <c r="J64" s="16"/>
      <c r="K64" s="16" t="s">
        <v>208</v>
      </c>
      <c r="L64" s="16"/>
      <c r="M64" s="16"/>
    </row>
    <row r="65" spans="8:13" ht="15" customHeight="1" x14ac:dyDescent="0.25">
      <c r="H65" s="109"/>
      <c r="I65" s="17"/>
      <c r="J65" s="17"/>
      <c r="K65" s="17" t="s">
        <v>209</v>
      </c>
      <c r="L65" s="17"/>
      <c r="M65" s="17"/>
    </row>
    <row r="66" spans="8:13" ht="15" customHeight="1" x14ac:dyDescent="0.25">
      <c r="H66" s="109"/>
      <c r="I66" s="16"/>
      <c r="J66" s="16"/>
      <c r="K66" s="16" t="s">
        <v>210</v>
      </c>
      <c r="L66" s="16"/>
      <c r="M66" s="16"/>
    </row>
    <row r="67" spans="8:13" ht="15" customHeight="1" x14ac:dyDescent="0.25">
      <c r="H67" s="109"/>
      <c r="I67" s="17"/>
      <c r="J67" s="17"/>
      <c r="K67" s="17" t="s">
        <v>211</v>
      </c>
      <c r="L67" s="17"/>
      <c r="M67" s="17"/>
    </row>
    <row r="68" spans="8:13" ht="15" customHeight="1" x14ac:dyDescent="0.25">
      <c r="H68" s="109"/>
      <c r="I68" s="16"/>
      <c r="J68" s="16"/>
      <c r="K68" s="16" t="s">
        <v>212</v>
      </c>
      <c r="L68" s="16"/>
      <c r="M68" s="16"/>
    </row>
    <row r="69" spans="8:13" ht="15" customHeight="1" x14ac:dyDescent="0.25">
      <c r="H69" s="109"/>
      <c r="I69" s="17"/>
      <c r="J69" s="17"/>
      <c r="K69" s="17" t="s">
        <v>213</v>
      </c>
      <c r="L69" s="17"/>
      <c r="M69" s="17"/>
    </row>
    <row r="70" spans="8:13" ht="15" customHeight="1" x14ac:dyDescent="0.25">
      <c r="H70" s="109"/>
      <c r="I70" s="16"/>
      <c r="J70" s="16"/>
      <c r="K70" s="16" t="s">
        <v>214</v>
      </c>
      <c r="L70" s="16"/>
      <c r="M70" s="16"/>
    </row>
    <row r="71" spans="8:13" ht="15" customHeight="1" x14ac:dyDescent="0.25">
      <c r="H71" s="109"/>
      <c r="I71" s="17"/>
      <c r="J71" s="17"/>
      <c r="K71" s="17" t="s">
        <v>215</v>
      </c>
      <c r="L71" s="17"/>
      <c r="M71" s="17"/>
    </row>
    <row r="72" spans="8:13" ht="15" customHeight="1" x14ac:dyDescent="0.25">
      <c r="H72" s="109"/>
      <c r="I72" s="16"/>
      <c r="J72" s="16"/>
      <c r="K72" s="16" t="s">
        <v>216</v>
      </c>
      <c r="L72" s="16"/>
      <c r="M72" s="16"/>
    </row>
    <row r="73" spans="8:13" ht="15" customHeight="1" x14ac:dyDescent="0.25">
      <c r="H73" s="109"/>
      <c r="I73" s="17"/>
      <c r="J73" s="17"/>
      <c r="K73" s="17"/>
      <c r="L73" s="17"/>
      <c r="M73" s="17"/>
    </row>
    <row r="74" spans="8:13" ht="15" customHeight="1" x14ac:dyDescent="0.25">
      <c r="H74" s="109"/>
      <c r="I74" s="16"/>
      <c r="J74" s="16"/>
      <c r="K74" s="16"/>
      <c r="L74" s="16"/>
      <c r="M74" s="16"/>
    </row>
    <row r="75" spans="8:13" ht="15" customHeight="1" x14ac:dyDescent="0.25">
      <c r="H75" s="10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9" sqref="F9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91</v>
      </c>
      <c r="G14" s="36">
        <f>SUM(G2:G13)</f>
        <v>455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91</v>
      </c>
      <c r="G28" s="40">
        <f>G14+G27</f>
        <v>455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>
        <v>3.3333333333333333E-2</v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3.3333333333333333E-2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11" t="s">
        <v>231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31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19</v>
      </c>
      <c r="I5" s="33" t="s">
        <v>39</v>
      </c>
      <c r="J5" s="33" t="s">
        <v>27</v>
      </c>
      <c r="K5" s="29">
        <v>0.56458333333333333</v>
      </c>
      <c r="L5" s="29"/>
      <c r="M5" s="30">
        <f t="shared" ca="1" si="1"/>
        <v>4.5217708335258067E-2</v>
      </c>
      <c r="N5" s="46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79</v>
      </c>
      <c r="G14" s="36">
        <f>SUM(G2:G13)</f>
        <v>331.8</v>
      </c>
      <c r="H14" s="37"/>
      <c r="I14" s="37"/>
      <c r="J14" s="37"/>
      <c r="K14" s="37"/>
      <c r="L14" s="37"/>
      <c r="M14" s="38">
        <f ca="1">IFERROR(SUM(M2:M13),"")</f>
        <v>0.12299548611303585</v>
      </c>
      <c r="N14" s="36" t="s">
        <v>229</v>
      </c>
      <c r="O14" s="77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79</v>
      </c>
      <c r="G28" s="40">
        <f>G14+G27</f>
        <v>331.8</v>
      </c>
      <c r="H28" s="41"/>
      <c r="I28" s="41"/>
      <c r="J28" s="41"/>
      <c r="K28" s="41"/>
      <c r="L28" s="41"/>
      <c r="M28" s="42">
        <f ca="1">IFERROR(M14+M27,"")</f>
        <v>0.12299548611303585</v>
      </c>
      <c r="N28" s="40" t="s">
        <v>232</v>
      </c>
      <c r="O28" s="82">
        <f>O14+O27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 x14ac:dyDescent="0.25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 x14ac:dyDescent="0.25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8" sqref="F8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36</v>
      </c>
      <c r="G14" s="36">
        <f>SUM(G2:G13)</f>
        <v>151.19999999999999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36</v>
      </c>
      <c r="G28" s="40">
        <f>G14+G27</f>
        <v>151.19999999999999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">
        <v>235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>
        <v>5.5555555555555558E-3</v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5.5555555555555558E-3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5.5555555555555558E-3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60" zoomScaleNormal="60" workbookViewId="0">
      <pane ySplit="1" topLeftCell="A2" activePane="bottomLeft" state="frozen"/>
      <selection pane="bottomLeft" activeCell="G14" sqref="G14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86</v>
      </c>
      <c r="G14" s="36">
        <f>SUM(G2:G13)</f>
        <v>361.2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86</v>
      </c>
      <c r="G28" s="40">
        <f>G14+G27</f>
        <v>361.2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>
        <v>6.9444444444444441E-3</v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6.9444444444444441E-3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6.9444444444444441E-3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>
        <v>2.7777777777777776E-2</v>
      </c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2.7777777777777776E-2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2026-08-01T18:38:15Z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