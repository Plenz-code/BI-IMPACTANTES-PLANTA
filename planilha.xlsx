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36" documentId="8_{C51EB6CB-002B-4D6B-B68F-DDEBDB4460C0}" xr6:coauthVersionLast="47" xr6:coauthVersionMax="47" xr10:uidLastSave="{3B4CDC68-B7F8-4A7C-B19B-566D84B415A2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<sst xmlns="http://schemas.openxmlformats.org/spreadsheetml/2006/main" count="4684" uniqueCount="315">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</sst>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1" sqref="F2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/>
      <c r="G231" s="34" t="str">
        <f t="shared" ref="G231:G242" si="51">IF(F231="","",IF(E231="PC 17",F231*4.2,IF(E231="PC 19",F231*5,IF(E231="CB",F231*35,""))))</f>
        <v/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0.70991666666668607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0.84880555555557491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0.93352777777779727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/>
      <c r="M231" s="35">
        <f t="shared" ref="M231:M242" ca="1" si="52">IFERROR(IF(K231="","",IF(L231="",MOD(NOW()-K231,1),IF(L231&gt;=K231,L231-K231,L231+1-K231))),"")</f>
        <v>2.03333333338378E-2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2.03333333338378E-2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0.16963888888939349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0.10713888888858492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0.16547222222191826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0.16547222222191826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7" activePane="bottomLeft" state="frozen"/>
      <selection pane="bottomLeft" activeCell="N232" sqref="N2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/>
      <c r="M231" s="35">
        <f t="shared" ref="M231:M242" ca="1" si="52">IFERROR(IF(K231="","",IF(L231="",MOD(NOW()-K231,1),IF(L231&gt;=K231,L231-K231,L231+1-K231))),"")</f>
        <v>1.6860879630257841E-2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1.6860879630257841E-2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7.1027546296924593E-2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2026-08-09T23:57:47Z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