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67" documentId="13_ncr:1_{0A10D8D4-8450-4366-8075-B53B08E6B7EA}" xr6:coauthVersionLast="47" xr6:coauthVersionMax="47" xr10:uidLastSave="{503C8E70-0420-4BE4-8080-DF9118A12F7C}"/>
  <bookViews>
    <workbookView xWindow="-120" yWindow="-120" windowWidth="29040" windowHeight="1572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9" i="5"/>
  <c r="J479" i="5" s="1"/>
  <c r="H480" i="5"/>
  <c r="J480" i="5" s="1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77" i="6" s="1"/>
  <c r="J477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77" i="5" s="1"/>
  <c r="J477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77" i="4" s="1"/>
  <c r="J477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6" i="6" l="1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<sst xmlns="http://schemas.openxmlformats.org/spreadsheetml/2006/main" count="8119" uniqueCount="379">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</sst>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G482" sqref="G482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208</v>
      </c>
      <c r="G486" s="36">
        <f>SUM(G474:G485)</f>
        <v>1040</v>
      </c>
      <c r="H486" s="37"/>
      <c r="I486" s="37"/>
      <c r="J486" s="37"/>
      <c r="K486" s="37"/>
      <c r="L486" s="37"/>
      <c r="M486" s="38">
        <f ca="1">IFERROR(SUM(M474:M485),"")</f>
        <v>1.0416666666666741E-2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555</v>
      </c>
      <c r="G487" s="40">
        <f>G473+G486</f>
        <v>2775</v>
      </c>
      <c r="H487" s="41"/>
      <c r="I487" s="41"/>
      <c r="J487" s="41"/>
      <c r="K487" s="41"/>
      <c r="L487" s="41"/>
      <c r="M487" s="42">
        <f ca="1">IFERROR(M473+M486,"")</f>
        <v>4.2361111111111183E-2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G479" sqref="G47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0.9234456018457422</v>
      </c>
      <c r="R53" s="46" t="s">
        <v>290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1.062334490734631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1.1470567129568534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292</v>
      </c>
      <c r="Q96" s="30" t="str">
        <f t="shared" ref="Q96:Q107" ca="1" si="22">IFERROR(IF(O96="","",IF(P96="",MOD(NOW()-O96,1),IF(P96&gt;=O96,P96-O96,P96+1-O96))),"")</f>
        <v/>
      </c>
      <c r="R96" s="46" t="s">
        <v>293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316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317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318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319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320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321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66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277.2</v>
      </c>
      <c r="L486" s="37"/>
      <c r="M486" s="37"/>
      <c r="N486" s="37"/>
      <c r="O486" s="37"/>
      <c r="P486" s="37"/>
      <c r="Q486" s="38">
        <f ca="1">IFERROR(SUM(Q474:Q485),"")</f>
        <v>6.597222222222221E-2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259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1087.8</v>
      </c>
      <c r="L487" s="41"/>
      <c r="M487" s="41"/>
      <c r="N487" s="41"/>
      <c r="O487" s="41"/>
      <c r="P487" s="41"/>
      <c r="Q487" s="42">
        <f ca="1">IFERROR(Q473+Q486,"")</f>
        <v>0.18541666666666656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65" activePane="bottomLeft" state="frozen"/>
      <selection pane="bottomLeft" activeCell="O477" sqref="O47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335</v>
      </c>
      <c r="Q222" s="30" t="str">
        <f t="shared" ca="1" si="49"/>
        <v/>
      </c>
      <c r="R222" s="27" t="s">
        <v>336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339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340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341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342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342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343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/>
      <c r="M476" s="26"/>
      <c r="N476" s="26"/>
      <c r="O476" s="29">
        <v>4.4444444444444446E-2</v>
      </c>
      <c r="P476" s="29"/>
      <c r="Q476" s="30">
        <f t="shared" ca="1" si="118"/>
        <v>5.2893518295604736E-4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24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100.8</v>
      </c>
      <c r="L486" s="37"/>
      <c r="M486" s="37"/>
      <c r="N486" s="37"/>
      <c r="O486" s="37"/>
      <c r="P486" s="37"/>
      <c r="Q486" s="38">
        <f ca="1">IFERROR(SUM(Q474:Q485),"")</f>
        <v>8.5251157405178302E-2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90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378</v>
      </c>
      <c r="L487" s="41"/>
      <c r="M487" s="41"/>
      <c r="N487" s="41"/>
      <c r="O487" s="41"/>
      <c r="P487" s="41"/>
      <c r="Q487" s="42">
        <f ca="1">IFERROR(Q473+Q486,"")</f>
        <v>0.37691782407184493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46" activePane="bottomLeft" state="frozen"/>
      <selection pane="bottomLeft" activeCell="G479" sqref="G47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280</v>
      </c>
      <c r="I1" s="133" t="s">
        <v>20</v>
      </c>
      <c r="J1" s="133" t="s">
        <v>281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376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377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371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378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58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243.60000000000002</v>
      </c>
      <c r="L486" s="37"/>
      <c r="M486" s="37"/>
      <c r="N486" s="37"/>
      <c r="O486" s="61"/>
      <c r="P486" s="61"/>
      <c r="Q486" s="38">
        <f ca="1">IFERROR(SUM(Q474:Q485),"")</f>
        <v>0.1166666666666667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212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890.40000000000009</v>
      </c>
      <c r="L487" s="41"/>
      <c r="M487" s="41"/>
      <c r="N487" s="41"/>
      <c r="O487" s="63"/>
      <c r="P487" s="63"/>
      <c r="Q487" s="42">
        <f ca="1">IFERROR(Q473+Q486,"")</f>
        <v>0.40972222222222204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2026-08-19T05:05:17Z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