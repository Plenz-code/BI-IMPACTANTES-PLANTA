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36" documentId="13_ncr:1_{A6DBCFB4-28D9-4249-9038-216934055CA6}" xr6:coauthVersionLast="47" xr6:coauthVersionMax="47" xr10:uidLastSave="{709CC915-6978-43C9-8B34-48BEF1E74DC6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0" i="5" l="1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<sst xmlns="http://schemas.openxmlformats.org/spreadsheetml/2006/main" count="9265" uniqueCount="407">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</sst>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0.44420543981686933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0.44420543981686933</v>
      </c>
      <c r="N554" s="2" t="s">
        <v>262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0.44420543981686933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N545" sqref="N54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0.61434432870009914</v>
      </c>
      <c r="R53" s="80" t="s">
        <v>307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0.75323321758898687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0.83795543981120968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309</v>
      </c>
      <c r="Q96" s="66" t="str">
        <f t="shared" ref="Q96:Q107" ca="1" si="22">IFERROR(IF(O96="","",IF(P96="",MOD(NOW()-O96,1),IF(P96&gt;=O96,P96-O96,P96+1-O96))),"")</f>
        <v/>
      </c>
      <c r="R96" s="80" t="s">
        <v>310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/>
      <c r="Q545" s="71">
        <f t="shared" ca="1" si="140"/>
        <v>2.1983217593515292E-2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8"/>
        <v>0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42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176.4</v>
      </c>
      <c r="L554" s="72"/>
      <c r="M554" s="72"/>
      <c r="N554" s="72"/>
      <c r="O554" s="72"/>
      <c r="P554" s="72"/>
      <c r="Q554" s="73">
        <f ca="1">IFERROR(SUM(Q542:Q553),"")</f>
        <v>0.2657332175935152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42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176.4</v>
      </c>
      <c r="L568" s="76"/>
      <c r="M568" s="76"/>
      <c r="N568" s="76"/>
      <c r="O568" s="76"/>
      <c r="P568" s="76"/>
      <c r="Q568" s="77">
        <f ca="1">IFERROR(Q554+Q567,"")</f>
        <v>0.2657332175935152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22" activePane="bottomLeft" state="frozen"/>
      <selection pane="bottomLeft" activeCell="G552" sqref="G55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0.41041666666666671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G552" sqref="G55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405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8"/>
        <v>0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406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106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445.20000000000005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106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445.20000000000005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2026-08-21T21:41:38Z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