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366" documentId="13_ncr:1_{9DFDFEE8-78F7-4C04-B87C-99924EE6CC37}" xr6:coauthVersionLast="47" xr6:coauthVersionMax="47" xr10:uidLastSave="{FD592E67-9F69-4835-AD73-0EA671644ADE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<sst xmlns="http://schemas.openxmlformats.org/spreadsheetml/2006/main" count="4782" uniqueCount="1313">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</sst>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40" activePane="bottomLeft" state="frozen"/>
      <selection pane="bottomLeft" activeCell="K57" sqref="K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>
        <v>0.42777777777777776</v>
      </c>
      <c r="L56" s="80"/>
      <c r="M56" s="81">
        <f t="shared" ref="M56:M67" ca="1" si="13">IFERROR(IF(K56="","",IF(L56="",MOD(NOW()-K56,1),IF(L56&gt;=K56,L56-K56,L56+1-K56))),"")</f>
        <v>1.5648148109903559E-4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80</v>
      </c>
      <c r="G68" s="2">
        <f>SUM(G56:G67)</f>
        <v>400</v>
      </c>
      <c r="H68" s="87"/>
      <c r="I68" s="87"/>
      <c r="J68" s="87"/>
      <c r="K68" s="87"/>
      <c r="L68" s="87"/>
      <c r="M68" s="88">
        <f ca="1">IFERROR(SUM(M56:M67),"")</f>
        <v>1.5648148109903559E-4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80</v>
      </c>
      <c r="G82" s="1">
        <f>G68+G81</f>
        <v>400</v>
      </c>
      <c r="H82" s="91"/>
      <c r="I82" s="91"/>
      <c r="J82" s="91"/>
      <c r="K82" s="91"/>
      <c r="L82" s="91"/>
      <c r="M82" s="92">
        <f ca="1">IFERROR(M68+M81,"")</f>
        <v>1.5648148109903559E-4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35" activePane="bottomLeft" state="frozen"/>
      <selection pane="bottomLeft" activeCell="G58" sqref="G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G58" sqref="G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34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142.80000000000001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34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142.80000000000001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G59" sqref="G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218.40000000000003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218.40000000000003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2026-09-03T14:18:15Z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