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51" documentId="8_{AF585B22-221D-4780-BB9C-493D365A6A02}" xr6:coauthVersionLast="47" xr6:coauthVersionMax="47" xr10:uidLastSave="{1EF87339-4994-4F2D-A995-B2D396BDF62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<sst xmlns="http://schemas.openxmlformats.org/spreadsheetml/2006/main" count="4735" uniqueCount="289">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</sst>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H272" sqref="H2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16</v>
      </c>
      <c r="I272" s="26" t="s">
        <v>23</v>
      </c>
      <c r="J272" s="26"/>
      <c r="K272" s="29">
        <v>0.76388888888888884</v>
      </c>
      <c r="L272" s="29"/>
      <c r="M272" s="30">
        <f t="shared" ref="M272:M283" ca="1" si="61">IFERROR(IF(K272="","",IF(L272="",MOD(NOW()-K272,1),IF(L272&gt;=K272,L272-K272,L272+1-K272))),"")</f>
        <v>4.9755787040339783E-3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291</v>
      </c>
      <c r="G284" s="36">
        <f>SUM(G272:G283)</f>
        <v>1455</v>
      </c>
      <c r="H284" s="37"/>
      <c r="I284" s="37"/>
      <c r="J284" s="37"/>
      <c r="K284" s="37"/>
      <c r="L284" s="37"/>
      <c r="M284" s="38">
        <f ca="1">IFERROR(SUM(M272:M283),"")</f>
        <v>4.9755787040339783E-3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291</v>
      </c>
      <c r="G298" s="40">
        <f>G284+G297</f>
        <v>1455</v>
      </c>
      <c r="H298" s="41"/>
      <c r="I298" s="41"/>
      <c r="J298" s="41"/>
      <c r="K298" s="41"/>
      <c r="L298" s="41"/>
      <c r="M298" s="42">
        <f ca="1">IFERROR(M284+M297,"")</f>
        <v>4.9755787040339783E-3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3" sqref="F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176</v>
      </c>
      <c r="G284" s="36">
        <f>SUM(G272:G283)</f>
        <v>739.19999999999993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176</v>
      </c>
      <c r="G298" s="40">
        <f>G284+G297</f>
        <v>739.19999999999993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3" sqref="F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67</v>
      </c>
      <c r="G284" s="36">
        <f>SUM(G272:G283)</f>
        <v>281.39999999999998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67</v>
      </c>
      <c r="G298" s="40">
        <f>G284+G297</f>
        <v>281.39999999999998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J274" sqref="J2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0.51955891204124782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0.71886446759680345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1.0862255787079145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/>
      <c r="M274" s="30">
        <f t="shared" ca="1" si="61"/>
        <v>2.7197800925932825E-2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181</v>
      </c>
      <c r="G284" s="36">
        <f>SUM(G272:G283)</f>
        <v>760.2</v>
      </c>
      <c r="H284" s="37"/>
      <c r="I284" s="37"/>
      <c r="J284" s="37"/>
      <c r="K284" s="61"/>
      <c r="L284" s="61"/>
      <c r="M284" s="38">
        <f ca="1">IFERROR(SUM(M272:M283),"")</f>
        <v>4.5947800925932814E-2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181</v>
      </c>
      <c r="G298" s="40">
        <f>G284+G297</f>
        <v>760.2</v>
      </c>
      <c r="H298" s="41"/>
      <c r="I298" s="41"/>
      <c r="J298" s="41"/>
      <c r="K298" s="63"/>
      <c r="L298" s="63"/>
      <c r="M298" s="42">
        <f ca="1">IFERROR(M284+M297,"")</f>
        <v>4.5947800925932814E-2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