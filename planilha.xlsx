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492" documentId="13_ncr:1_{0A10D8D4-8450-4366-8075-B53B08E6B7EA}" xr6:coauthVersionLast="47" xr6:coauthVersionMax="47" xr10:uidLastSave="{10ECD8C2-4500-4B67-BC58-CE0E25392A8F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7" i="5"/>
  <c r="J467" i="5" s="1"/>
  <c r="H468" i="5"/>
  <c r="J468" i="5" s="1"/>
  <c r="H469" i="5"/>
  <c r="J469" i="5" s="1"/>
  <c r="H470" i="5"/>
  <c r="J470" i="5" s="1"/>
  <c r="H471" i="5"/>
  <c r="J471" i="5" s="1"/>
  <c r="H472" i="5"/>
  <c r="J472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486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66" i="6" s="1"/>
  <c r="J466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65" i="4" l="1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<sst xmlns="http://schemas.openxmlformats.org/spreadsheetml/2006/main" count="7920" uniqueCount="374">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</sst>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63835790</v>
      </c>
      <c r="D35" s="13">
        <f t="shared" si="2"/>
        <v>20725020</v>
      </c>
      <c r="E35" s="13">
        <f t="shared" si="2"/>
        <v>10923630</v>
      </c>
      <c r="F35" s="13">
        <f t="shared" si="2"/>
        <v>26760570</v>
      </c>
      <c r="G35" s="13">
        <f t="shared" si="2"/>
        <v>58409220</v>
      </c>
      <c r="H35" s="97">
        <f t="shared" si="2"/>
        <v>4454.125845060189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39" activePane="bottomLeft" state="frozen"/>
      <selection pane="bottomLeft" activeCell="F467" sqref="F467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/>
      <c r="I461" s="33"/>
      <c r="J461" s="33"/>
      <c r="K461" s="29"/>
      <c r="L461" s="29"/>
      <c r="M461" s="35" t="str">
        <f t="shared" ref="M461:M472" ca="1" si="99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/>
      <c r="G467" s="34" t="str">
        <f t="shared" si="98"/>
        <v/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/>
      <c r="G468" s="28" t="str">
        <f t="shared" si="98"/>
        <v/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/>
      <c r="G469" s="34" t="str">
        <f t="shared" si="98"/>
        <v/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/>
      <c r="G470" s="28" t="str">
        <f t="shared" si="98"/>
        <v/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221</v>
      </c>
      <c r="G473" s="36">
        <f>SUM(G461:G472)</f>
        <v>1105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221</v>
      </c>
      <c r="G487" s="40">
        <f>G473+G486</f>
        <v>1105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33" activePane="bottomLeft" state="frozen"/>
      <selection pane="bottomLeft" activeCell="N463" sqref="N463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0.42329178240470355</v>
      </c>
      <c r="R53" s="46" t="s">
        <v>288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0.56218067129359239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0.64690289351581476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316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317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/>
      <c r="Q463" s="35">
        <f t="shared" ca="1" si="116"/>
        <v>3.7511574191739783E-4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92.4</v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4"/>
        <v>0</v>
      </c>
      <c r="K465" s="34">
        <f t="shared" si="115"/>
        <v>46.2</v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4"/>
        <v>0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/>
      <c r="H467" s="134" t="str">
        <f>IFERROR(IF($G467="","",$G467*$S$473/$G$473/Cadastro!$E$33),"")</f>
        <v/>
      </c>
      <c r="I467" s="135">
        <f>IFERROR(IF($D467="","",VLOOKUP($D467,Cadastro!$C$4:$G$7,5,FALSE)),"")</f>
        <v>0.6</v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102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428.40000000000003</v>
      </c>
      <c r="L473" s="37"/>
      <c r="M473" s="37"/>
      <c r="N473" s="37"/>
      <c r="O473" s="37"/>
      <c r="P473" s="37"/>
      <c r="Q473" s="38">
        <f ca="1">IFERROR(SUM(Q461:Q472),"")</f>
        <v>3.7180671297472934E-2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102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428.40000000000003</v>
      </c>
      <c r="L487" s="41"/>
      <c r="M487" s="41"/>
      <c r="N487" s="41"/>
      <c r="O487" s="41"/>
      <c r="P487" s="41"/>
      <c r="Q487" s="42">
        <f ca="1">IFERROR(Q473+Q486,"")</f>
        <v>3.7180671297472934E-2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33" activePane="bottomLeft" state="frozen"/>
      <selection pane="bottomLeft" activeCell="G467" sqref="G46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331</v>
      </c>
      <c r="Q222" s="30" t="str">
        <f t="shared" ca="1" si="49"/>
        <v/>
      </c>
      <c r="R222" s="27" t="s">
        <v>332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335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336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337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338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338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339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0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/>
      <c r="Q461" s="35">
        <f t="shared" ref="Q461:Q472" ca="1" si="114">IFERROR(IF(O461="","",IF(P461="",MOD(NOW()-O461,1),IF(P461&gt;=O461,P461-O461,P461+1-O461))),"")</f>
        <v>0.11218067129811971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2"/>
        <v>0</v>
      </c>
      <c r="K462" s="28">
        <f t="shared" si="113"/>
        <v>88.2</v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2"/>
        <v>0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2"/>
        <v>0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/>
      <c r="H467" s="134" t="str">
        <f>IFERROR(IF($G467="","",$G467*$S$473/$G$473/Cadastro!$E$33),"")</f>
        <v/>
      </c>
      <c r="I467" s="135">
        <f>IFERROR(IF($D467="","",VLOOKUP($D467,Cadastro!$C$4:$G$7,5,FALSE)),"")</f>
        <v>0.6</v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46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193.2</v>
      </c>
      <c r="L473" s="37"/>
      <c r="M473" s="37"/>
      <c r="N473" s="37"/>
      <c r="O473" s="37"/>
      <c r="P473" s="37"/>
      <c r="Q473" s="38">
        <f ca="1">IFERROR(SUM(Q461:Q472),"")</f>
        <v>0.11218067129811971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46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193.2</v>
      </c>
      <c r="L487" s="41"/>
      <c r="M487" s="41"/>
      <c r="N487" s="41"/>
      <c r="O487" s="41"/>
      <c r="P487" s="41"/>
      <c r="Q487" s="42">
        <f ca="1">IFERROR(Q473+Q486,"")</f>
        <v>0.11218067129811971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0" activePane="bottomLeft" state="frozen"/>
      <selection pane="bottomLeft" activeCell="G467" sqref="G46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373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367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42</v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58.800000000000004</v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4"/>
        <v>0</v>
      </c>
      <c r="K465" s="34">
        <f t="shared" si="115"/>
        <v>33.6</v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4"/>
        <v>0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/>
      <c r="H467" s="134" t="str">
        <f>IFERROR(IF($G467="","",$G467*$S$473/$G$473/Cadastro!$E$33),"")</f>
        <v/>
      </c>
      <c r="I467" s="135">
        <f>IFERROR(IF($D467="","",VLOOKUP($D467,Cadastro!$C$4:$G$7,5,FALSE)),"")</f>
        <v>0.6</v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70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294.00000000000006</v>
      </c>
      <c r="L473" s="37"/>
      <c r="M473" s="37"/>
      <c r="N473" s="37"/>
      <c r="O473" s="61"/>
      <c r="P473" s="61"/>
      <c r="Q473" s="38">
        <f ca="1">IFERROR(SUM(Q461:Q472),"")</f>
        <v>0.26180555555555546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70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294.00000000000006</v>
      </c>
      <c r="L487" s="41"/>
      <c r="M487" s="41"/>
      <c r="N487" s="41"/>
      <c r="O487" s="63"/>
      <c r="P487" s="63"/>
      <c r="Q487" s="42">
        <f ca="1">IFERROR(Q473+Q486,"")</f>
        <v>0.26180555555555546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2026-08-18T17:04:53Z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