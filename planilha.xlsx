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1" documentId="8_{AF585B22-221D-4780-BB9C-493D365A6A02}" xr6:coauthVersionLast="47" xr6:coauthVersionMax="47" xr10:uidLastSave="{3CB9F422-30A7-424B-8B10-8E6C9D6A58E1}"/>
  <bookViews>
    <workbookView xWindow="-110" yWindow="-110" windowWidth="25820" windowHeight="1550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10" i="3" l="1"/>
  <c r="G809" i="3"/>
  <c r="G810" i="3" s="1"/>
  <c r="G808" i="3"/>
  <c r="G807" i="3"/>
  <c r="G806" i="3"/>
  <c r="G805" i="3"/>
  <c r="G804" i="3"/>
  <c r="G803" i="3"/>
  <c r="G802" i="3"/>
  <c r="G801" i="3"/>
  <c r="G797" i="3"/>
  <c r="G811" i="3" s="1"/>
  <c r="F797" i="3"/>
  <c r="F811" i="3" s="1"/>
  <c r="F783" i="3"/>
  <c r="G782" i="3"/>
  <c r="G781" i="3"/>
  <c r="G780" i="3"/>
  <c r="G779" i="3"/>
  <c r="G778" i="3"/>
  <c r="G777" i="3"/>
  <c r="G776" i="3"/>
  <c r="G775" i="3"/>
  <c r="G783" i="3" s="1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G756" i="3"/>
  <c r="F756" i="3"/>
  <c r="F757" i="3" s="1"/>
  <c r="G755" i="3"/>
  <c r="G754" i="3"/>
  <c r="G753" i="3"/>
  <c r="G752" i="3"/>
  <c r="G751" i="3"/>
  <c r="G750" i="3"/>
  <c r="G749" i="3"/>
  <c r="G748" i="3"/>
  <c r="G747" i="3"/>
  <c r="G746" i="3"/>
  <c r="G745" i="3"/>
  <c r="G744" i="3"/>
  <c r="F743" i="3"/>
  <c r="G742" i="3"/>
  <c r="G741" i="3"/>
  <c r="G740" i="3"/>
  <c r="G739" i="3"/>
  <c r="G738" i="3"/>
  <c r="G737" i="3"/>
  <c r="G736" i="3"/>
  <c r="G735" i="3"/>
  <c r="G743" i="3" s="1"/>
  <c r="G757" i="3" s="1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G716" i="3"/>
  <c r="G730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F702" i="3"/>
  <c r="F703" i="3" s="1"/>
  <c r="G701" i="3"/>
  <c r="G700" i="3"/>
  <c r="G699" i="3"/>
  <c r="G698" i="3"/>
  <c r="G697" i="3"/>
  <c r="G696" i="3"/>
  <c r="G702" i="3" s="1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6" i="3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G661" i="3"/>
  <c r="G660" i="3"/>
  <c r="G659" i="3"/>
  <c r="G658" i="3"/>
  <c r="G657" i="3"/>
  <c r="G656" i="3"/>
  <c r="G662" i="3" s="1"/>
  <c r="G655" i="3"/>
  <c r="G654" i="3"/>
  <c r="G653" i="3"/>
  <c r="G652" i="3"/>
  <c r="G651" i="3"/>
  <c r="G650" i="3"/>
  <c r="F648" i="3"/>
  <c r="F649" i="3" s="1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2" i="3"/>
  <c r="F621" i="3"/>
  <c r="G620" i="3"/>
  <c r="G619" i="3"/>
  <c r="G618" i="3"/>
  <c r="G617" i="3"/>
  <c r="G621" i="3" s="1"/>
  <c r="G616" i="3"/>
  <c r="G614" i="3"/>
  <c r="G613" i="3"/>
  <c r="G612" i="3"/>
  <c r="G611" i="3"/>
  <c r="G610" i="3"/>
  <c r="G609" i="3"/>
  <c r="F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G622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81" i="3" s="1"/>
  <c r="G595" i="3" s="1"/>
  <c r="G575" i="3"/>
  <c r="G574" i="3"/>
  <c r="G573" i="3"/>
  <c r="G572" i="3"/>
  <c r="G571" i="3"/>
  <c r="G570" i="3"/>
  <c r="G569" i="3"/>
  <c r="F567" i="3"/>
  <c r="F568" i="3" s="1"/>
  <c r="G566" i="3"/>
  <c r="G565" i="3"/>
  <c r="G564" i="3"/>
  <c r="G563" i="3"/>
  <c r="G562" i="3"/>
  <c r="G561" i="3"/>
  <c r="G560" i="3"/>
  <c r="G559" i="3"/>
  <c r="G558" i="3"/>
  <c r="G557" i="3"/>
  <c r="G556" i="3"/>
  <c r="G567" i="3" s="1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1" i="3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G526" i="3"/>
  <c r="G525" i="3"/>
  <c r="G524" i="3"/>
  <c r="G523" i="3"/>
  <c r="G522" i="3"/>
  <c r="G521" i="3"/>
  <c r="G520" i="3"/>
  <c r="G519" i="3"/>
  <c r="G518" i="3"/>
  <c r="G517" i="3"/>
  <c r="G516" i="3"/>
  <c r="G527" i="3" s="1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7" i="3"/>
  <c r="F486" i="3"/>
  <c r="G485" i="3"/>
  <c r="G484" i="3"/>
  <c r="G483" i="3"/>
  <c r="G482" i="3"/>
  <c r="G481" i="3"/>
  <c r="G480" i="3"/>
  <c r="G479" i="3"/>
  <c r="G478" i="3"/>
  <c r="G477" i="3"/>
  <c r="G486" i="3" s="1"/>
  <c r="G476" i="3"/>
  <c r="G475" i="3"/>
  <c r="G474" i="3"/>
  <c r="F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G487" i="3" s="1"/>
  <c r="F459" i="3"/>
  <c r="G458" i="3"/>
  <c r="G459" i="3" s="1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46" i="3" s="1"/>
  <c r="G460" i="3" s="1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32" i="3" s="1"/>
  <c r="G421" i="3"/>
  <c r="G420" i="3"/>
  <c r="F419" i="3"/>
  <c r="F433" i="3" s="1"/>
  <c r="G418" i="3"/>
  <c r="G419" i="3" s="1"/>
  <c r="G433" i="3" s="1"/>
  <c r="G417" i="3"/>
  <c r="G416" i="3"/>
  <c r="G415" i="3"/>
  <c r="G414" i="3"/>
  <c r="G413" i="3"/>
  <c r="G412" i="3"/>
  <c r="G411" i="3"/>
  <c r="G410" i="3"/>
  <c r="G409" i="3"/>
  <c r="G408" i="3"/>
  <c r="G407" i="3"/>
  <c r="F405" i="3"/>
  <c r="F406" i="3" s="1"/>
  <c r="G404" i="3"/>
  <c r="G403" i="3"/>
  <c r="G402" i="3"/>
  <c r="G401" i="3"/>
  <c r="G400" i="3"/>
  <c r="G399" i="3"/>
  <c r="G398" i="3"/>
  <c r="G405" i="3" s="1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92" i="3" s="1"/>
  <c r="G381" i="3"/>
  <c r="G380" i="3"/>
  <c r="F379" i="3"/>
  <c r="G378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F365" i="3"/>
  <c r="G364" i="3"/>
  <c r="G363" i="3"/>
  <c r="G362" i="3"/>
  <c r="G361" i="3"/>
  <c r="G360" i="3"/>
  <c r="G359" i="3"/>
  <c r="G358" i="3"/>
  <c r="G365" i="3" s="1"/>
  <c r="G379" i="3" s="1"/>
  <c r="G357" i="3"/>
  <c r="G356" i="3"/>
  <c r="G355" i="3"/>
  <c r="G354" i="3"/>
  <c r="G353" i="3"/>
  <c r="F351" i="3"/>
  <c r="F352" i="3" s="1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G338" i="3"/>
  <c r="G352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F324" i="3"/>
  <c r="F325" i="3" s="1"/>
  <c r="G323" i="3"/>
  <c r="G322" i="3"/>
  <c r="G321" i="3"/>
  <c r="G320" i="3"/>
  <c r="G319" i="3"/>
  <c r="G324" i="3" s="1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G325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84" i="3" s="1"/>
  <c r="G278" i="3"/>
  <c r="G277" i="3"/>
  <c r="G276" i="3"/>
  <c r="G275" i="3"/>
  <c r="G274" i="3"/>
  <c r="G273" i="3"/>
  <c r="G272" i="3"/>
  <c r="F270" i="3"/>
  <c r="F271" i="3" s="1"/>
  <c r="G269" i="3"/>
  <c r="G268" i="3"/>
  <c r="G267" i="3"/>
  <c r="G266" i="3"/>
  <c r="G265" i="3"/>
  <c r="G264" i="3"/>
  <c r="G263" i="3"/>
  <c r="G262" i="3"/>
  <c r="G261" i="3"/>
  <c r="G260" i="3"/>
  <c r="G259" i="3"/>
  <c r="G270" i="3" s="1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4" i="3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G229" i="3"/>
  <c r="G228" i="3"/>
  <c r="G227" i="3"/>
  <c r="G226" i="3"/>
  <c r="G225" i="3"/>
  <c r="G224" i="3"/>
  <c r="G223" i="3"/>
  <c r="G222" i="3"/>
  <c r="G221" i="3"/>
  <c r="G220" i="3"/>
  <c r="G219" i="3"/>
  <c r="G230" i="3" s="1"/>
  <c r="G244" i="3" s="1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90" i="3"/>
  <c r="F189" i="3"/>
  <c r="G188" i="3"/>
  <c r="G187" i="3"/>
  <c r="G186" i="3"/>
  <c r="G185" i="3"/>
  <c r="G184" i="3"/>
  <c r="G183" i="3"/>
  <c r="G182" i="3"/>
  <c r="G181" i="3"/>
  <c r="G180" i="3"/>
  <c r="G189" i="3" s="1"/>
  <c r="G179" i="3"/>
  <c r="G178" i="3"/>
  <c r="G177" i="3"/>
  <c r="F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G190" i="3" s="1"/>
  <c r="F162" i="3"/>
  <c r="G161" i="3"/>
  <c r="G162" i="3" s="1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49" i="3" s="1"/>
  <c r="G163" i="3" s="1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35" i="3" s="1"/>
  <c r="G124" i="3"/>
  <c r="G123" i="3"/>
  <c r="F122" i="3"/>
  <c r="F136" i="3" s="1"/>
  <c r="G121" i="3"/>
  <c r="G122" i="3" s="1"/>
  <c r="G120" i="3"/>
  <c r="G119" i="3"/>
  <c r="G118" i="3"/>
  <c r="G117" i="3"/>
  <c r="G116" i="3"/>
  <c r="G115" i="3"/>
  <c r="G114" i="3"/>
  <c r="G113" i="3"/>
  <c r="G112" i="3"/>
  <c r="G111" i="3"/>
  <c r="G110" i="3"/>
  <c r="F108" i="3"/>
  <c r="F109" i="3" s="1"/>
  <c r="G107" i="3"/>
  <c r="G106" i="3"/>
  <c r="G105" i="3"/>
  <c r="G104" i="3"/>
  <c r="G103" i="3"/>
  <c r="G102" i="3"/>
  <c r="G101" i="3"/>
  <c r="G108" i="3" s="1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95" i="3" s="1"/>
  <c r="G84" i="3"/>
  <c r="G83" i="3"/>
  <c r="F82" i="3"/>
  <c r="G81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F68" i="3"/>
  <c r="G67" i="3"/>
  <c r="G66" i="3"/>
  <c r="G65" i="3"/>
  <c r="G64" i="3"/>
  <c r="G63" i="3"/>
  <c r="G62" i="3"/>
  <c r="G61" i="3"/>
  <c r="G68" i="3" s="1"/>
  <c r="G82" i="3" s="1"/>
  <c r="G60" i="3"/>
  <c r="G59" i="3"/>
  <c r="G58" i="3"/>
  <c r="G57" i="3"/>
  <c r="G56" i="3"/>
  <c r="F54" i="3"/>
  <c r="F55" i="3" s="1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G41" i="3"/>
  <c r="G55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F27" i="3"/>
  <c r="G26" i="3"/>
  <c r="G25" i="3"/>
  <c r="G24" i="3"/>
  <c r="G23" i="3"/>
  <c r="G22" i="3"/>
  <c r="G27" i="3" s="1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14" i="4" s="1"/>
  <c r="G28" i="4" s="1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F28" i="5" s="1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14" i="5" s="1"/>
  <c r="G28" i="5" s="1"/>
  <c r="G5" i="5"/>
  <c r="G4" i="5"/>
  <c r="G3" i="5"/>
  <c r="G2" i="5"/>
  <c r="E810" i="3"/>
  <c r="B800" i="3"/>
  <c r="B801" i="3" s="1"/>
  <c r="B802" i="3" s="1"/>
  <c r="B803" i="3" s="1"/>
  <c r="B804" i="3" s="1"/>
  <c r="B805" i="3" s="1"/>
  <c r="B806" i="3" s="1"/>
  <c r="B807" i="3" s="1"/>
  <c r="B808" i="3" s="1"/>
  <c r="B809" i="3" s="1"/>
  <c r="B799" i="3"/>
  <c r="E797" i="3"/>
  <c r="E811" i="3" s="1"/>
  <c r="B789" i="3"/>
  <c r="B790" i="3" s="1"/>
  <c r="B791" i="3" s="1"/>
  <c r="B792" i="3" s="1"/>
  <c r="B793" i="3" s="1"/>
  <c r="B794" i="3" s="1"/>
  <c r="B795" i="3" s="1"/>
  <c r="B796" i="3" s="1"/>
  <c r="B786" i="3"/>
  <c r="B787" i="3" s="1"/>
  <c r="B788" i="3" s="1"/>
  <c r="E783" i="3"/>
  <c r="E784" i="3" s="1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60" i="3"/>
  <c r="B761" i="3" s="1"/>
  <c r="B762" i="3" s="1"/>
  <c r="B763" i="3" s="1"/>
  <c r="B764" i="3" s="1"/>
  <c r="B765" i="3" s="1"/>
  <c r="B766" i="3" s="1"/>
  <c r="B767" i="3" s="1"/>
  <c r="B768" i="3" s="1"/>
  <c r="B769" i="3" s="1"/>
  <c r="B759" i="3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E730" i="3" s="1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6" i="3"/>
  <c r="B707" i="3" s="1"/>
  <c r="B708" i="3" s="1"/>
  <c r="B709" i="3" s="1"/>
  <c r="B710" i="3" s="1"/>
  <c r="B711" i="3" s="1"/>
  <c r="B712" i="3" s="1"/>
  <c r="B713" i="3" s="1"/>
  <c r="B714" i="3" s="1"/>
  <c r="B715" i="3" s="1"/>
  <c r="B705" i="3"/>
  <c r="E702" i="3"/>
  <c r="E703" i="3" s="1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E676" i="3" s="1"/>
  <c r="B670" i="3"/>
  <c r="B671" i="3" s="1"/>
  <c r="B672" i="3" s="1"/>
  <c r="B673" i="3" s="1"/>
  <c r="B674" i="3" s="1"/>
  <c r="B665" i="3"/>
  <c r="B666" i="3" s="1"/>
  <c r="B667" i="3" s="1"/>
  <c r="B668" i="3" s="1"/>
  <c r="B669" i="3" s="1"/>
  <c r="B664" i="3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9" i="3"/>
  <c r="E648" i="3"/>
  <c r="B641" i="3"/>
  <c r="B642" i="3" s="1"/>
  <c r="B643" i="3" s="1"/>
  <c r="B644" i="3" s="1"/>
  <c r="B645" i="3" s="1"/>
  <c r="B646" i="3" s="1"/>
  <c r="B647" i="3" s="1"/>
  <c r="B637" i="3"/>
  <c r="B638" i="3" s="1"/>
  <c r="B639" i="3" s="1"/>
  <c r="B640" i="3" s="1"/>
  <c r="E635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4" i="3"/>
  <c r="B585" i="3" s="1"/>
  <c r="B586" i="3" s="1"/>
  <c r="B587" i="3" s="1"/>
  <c r="B588" i="3" s="1"/>
  <c r="B589" i="3" s="1"/>
  <c r="B590" i="3" s="1"/>
  <c r="B591" i="3" s="1"/>
  <c r="B592" i="3" s="1"/>
  <c r="B593" i="3" s="1"/>
  <c r="B583" i="3"/>
  <c r="E581" i="3"/>
  <c r="E595" i="3" s="1"/>
  <c r="B576" i="3"/>
  <c r="B577" i="3" s="1"/>
  <c r="B578" i="3" s="1"/>
  <c r="B579" i="3" s="1"/>
  <c r="B580" i="3" s="1"/>
  <c r="B570" i="3"/>
  <c r="B571" i="3" s="1"/>
  <c r="B572" i="3" s="1"/>
  <c r="B573" i="3" s="1"/>
  <c r="B574" i="3" s="1"/>
  <c r="B575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4" i="3"/>
  <c r="B545" i="3" s="1"/>
  <c r="B546" i="3" s="1"/>
  <c r="B547" i="3" s="1"/>
  <c r="B548" i="3" s="1"/>
  <c r="B549" i="3" s="1"/>
  <c r="B550" i="3" s="1"/>
  <c r="B551" i="3" s="1"/>
  <c r="B552" i="3" s="1"/>
  <c r="B553" i="3" s="1"/>
  <c r="B543" i="3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E514" i="3" s="1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E487" i="3" s="1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3" i="3"/>
  <c r="B464" i="3" s="1"/>
  <c r="B465" i="3" s="1"/>
  <c r="B466" i="3" s="1"/>
  <c r="B467" i="3" s="1"/>
  <c r="B468" i="3" s="1"/>
  <c r="B469" i="3" s="1"/>
  <c r="B470" i="3" s="1"/>
  <c r="B471" i="3" s="1"/>
  <c r="B472" i="3" s="1"/>
  <c r="B462" i="3"/>
  <c r="E459" i="3"/>
  <c r="E460" i="3" s="1"/>
  <c r="B451" i="3"/>
  <c r="B452" i="3" s="1"/>
  <c r="B453" i="3" s="1"/>
  <c r="B454" i="3" s="1"/>
  <c r="B455" i="3" s="1"/>
  <c r="B456" i="3" s="1"/>
  <c r="B457" i="3" s="1"/>
  <c r="B458" i="3" s="1"/>
  <c r="B449" i="3"/>
  <c r="B450" i="3" s="1"/>
  <c r="B448" i="3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10" i="3"/>
  <c r="B411" i="3" s="1"/>
  <c r="B412" i="3" s="1"/>
  <c r="B413" i="3" s="1"/>
  <c r="B414" i="3" s="1"/>
  <c r="B415" i="3" s="1"/>
  <c r="B416" i="3" s="1"/>
  <c r="B417" i="3" s="1"/>
  <c r="B418" i="3" s="1"/>
  <c r="B409" i="3"/>
  <c r="B408" i="3"/>
  <c r="E405" i="3"/>
  <c r="B395" i="3"/>
  <c r="B396" i="3" s="1"/>
  <c r="B397" i="3" s="1"/>
  <c r="B398" i="3" s="1"/>
  <c r="B399" i="3" s="1"/>
  <c r="B400" i="3" s="1"/>
  <c r="B401" i="3" s="1"/>
  <c r="B402" i="3" s="1"/>
  <c r="B403" i="3" s="1"/>
  <c r="B404" i="3" s="1"/>
  <c r="B394" i="3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9" i="3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5" i="3"/>
  <c r="E324" i="3"/>
  <c r="B314" i="3"/>
  <c r="B315" i="3" s="1"/>
  <c r="B316" i="3" s="1"/>
  <c r="B317" i="3" s="1"/>
  <c r="B318" i="3" s="1"/>
  <c r="B319" i="3" s="1"/>
  <c r="B320" i="3" s="1"/>
  <c r="B321" i="3" s="1"/>
  <c r="B322" i="3" s="1"/>
  <c r="B323" i="3" s="1"/>
  <c r="B313" i="3"/>
  <c r="E311" i="3"/>
  <c r="B301" i="3"/>
  <c r="B302" i="3" s="1"/>
  <c r="B303" i="3" s="1"/>
  <c r="B304" i="3" s="1"/>
  <c r="B305" i="3" s="1"/>
  <c r="B306" i="3" s="1"/>
  <c r="B307" i="3" s="1"/>
  <c r="B308" i="3" s="1"/>
  <c r="B309" i="3" s="1"/>
  <c r="B310" i="3" s="1"/>
  <c r="B300" i="3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1" i="3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B165" i="3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E136" i="3" s="1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E109" i="3" s="1"/>
  <c r="B102" i="3"/>
  <c r="B103" i="3" s="1"/>
  <c r="B104" i="3" s="1"/>
  <c r="B105" i="3" s="1"/>
  <c r="B106" i="3" s="1"/>
  <c r="B107" i="3" s="1"/>
  <c r="B101" i="3"/>
  <c r="B97" i="3"/>
  <c r="B98" i="3" s="1"/>
  <c r="B99" i="3" s="1"/>
  <c r="B100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E82" i="3" s="1"/>
  <c r="B71" i="3"/>
  <c r="B72" i="3" s="1"/>
  <c r="B73" i="3" s="1"/>
  <c r="B74" i="3" s="1"/>
  <c r="B75" i="3" s="1"/>
  <c r="B76" i="3" s="1"/>
  <c r="B77" i="3" s="1"/>
  <c r="B78" i="3" s="1"/>
  <c r="B79" i="3" s="1"/>
  <c r="B80" i="3" s="1"/>
  <c r="B70" i="3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4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M2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3" l="1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M28" i="5" l="1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<sst xmlns="http://schemas.openxmlformats.org/spreadsheetml/2006/main" count="974" uniqueCount="191">
  <si>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</si>
  <si>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</si>
  <si>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</si>
  <si>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</si>
  <si>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</si>
  <si>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</si>
  <si>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</si>
  <si>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</si>
  <si>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</si>
  <si>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</si>
  <si>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</si>
  <si>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</si>
  <si>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</si>
  <si>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</si>
  <si>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</si>
  <si>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</si>
  <si>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</si>
  <si>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</si>
  <si>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</si>
  <si>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</si>
  <si>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</si>
  <si>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</si>
  <si>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</si>
  <si>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</si>
  <si>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</si>
  <si>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</si>
  <si>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</si>
  <si>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</si>
  <si>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</si>
  <si>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</si>
  <si>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</si>
  <si>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</si>
  <si>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</si>
  <si>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</si>
  <si>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</si>
  <si>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</si>
  <si>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</si>
  <si>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</si>
  <si>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</si>
  <si>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</si>
  <si>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</si>
  <si>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</si>
  <si>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</si>
  <si>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</si>
  <si>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</si>
  <si>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</si>
  <si>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</si>
  <si>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</si>
  <si>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</si>
  <si>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</si>
  <si>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</si>
  <si>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</si>
  <si>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</si>
  <si>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</si>
  <si>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</si>
  <si>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</si>
  <si>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</si>
  <si>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</si>
  <si>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</si>
  <si>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</si>
  <si>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</si>
  <si>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</si>
  <si>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</si>
  <si>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</si>
  <si>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</si>
  <si>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</si>
  <si>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</si>
  <si>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</si>
  <si>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</si>
  <si>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</si>
  <si>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</si>
  <si>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</si>
  <si>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</si>
  <si>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</si>
  <si>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</si>
  <si>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</si>
  <si>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</si>
  <si>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</si>
  <si>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</si>
  <si>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</si>
  <si>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</si>
  <si>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</si>
  <si>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</si>
  <si>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</si>
  <si>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</si>
  <si>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</si>
  <si>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</si>
  <si>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</si>
  <si>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</si>
  <si>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</si>
  <si>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</si>
  <si>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</si>
  <si>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</si>
  <si>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</si>
  <si>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</si>
  <si>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</si>
  <si>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</si>
  <si>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</si>
  <si>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</si>
  <si>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</si>
  <si>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</si>
  <si>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</si>
  <si>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</si>
  <si>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</si>
  <si>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</si>
  <si>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</si>
  <si>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</si>
  <si>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</si>
  <si>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</si>
  <si>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</si>
  <si>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</si>
  <si>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</si>
  <si>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</si>
  <si>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</si>
  <si>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</si>
  <si>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</si>
  <si>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</si>
  <si>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</si>
  <si>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</si>
  <si>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</si>
  <si>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</si>
  <si>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</si>
  <si>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</si>
  <si>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</si>
  <si>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</si>
  <si>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</si>
  <si>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</si>
  <si>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</si>
  <si>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</si>
  <si>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</si>
  <si>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</si>
  <si>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</si>
  <si>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</si>
  <si>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</si>
  <si>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</si>
  <si>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</si>
  <si>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</si>
  <si>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</si>
  <si>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</si>
  <si>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</si>
  <si>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</si>
  <si>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</si>
  <si>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</si>
  <si>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</si>
  <si>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</si>
  <si>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</si>
  <si>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</si>
  <si>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</si>
  <si>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</si>
  <si>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</si>
  <si>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</si>
  <si>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</si>
  <si>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</si>
  <si>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</si>
  <si>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</si>
  <si>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</si>
  <si>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</si>
  <si>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</si>
  <si>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</si>
  <si>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</si>
  <si>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</si>
  <si>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</si>
  <si>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</si>
  <si>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</si>
  <si>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</si>
  <si>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</si>
  <si>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</si>
  <si>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</si>
  <si>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</si>
  <si>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</si>
  <si>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</si>
  <si>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</si>
  <si>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</si>
  <si>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</si>
  <si>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</si>
  <si>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</si>
  <si>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</si>
  <si>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</si>
  <si>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</si>
  <si>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</si>
  <si>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</si>
  <si>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</si>
  <si>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</si>
  <si>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</si>
  <si>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☀  TURNO DIURNO</t>
  </si>
  <si>
    <t>Totalizador da balança  ➜</t>
  </si>
  <si>
    <t>🌙  TURNO NOTURNO</t>
  </si>
  <si>
    <t>TOTAL GLOBAL DO DIA</t>
  </si>
  <si>
    <t>Totalizador global  ➜</t>
  </si>
  <si>
    <t>Produção Linha 3
(Hora a Hora)</t>
  </si>
  <si>
    <t>PC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</si>
</sst>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83" t="s">
        <v>0</v>
      </c>
      <c r="B1" s="83"/>
      <c r="C1" s="83"/>
      <c r="D1" s="83"/>
      <c r="E1" s="83"/>
      <c r="F1" s="83"/>
      <c r="G1" s="83"/>
    </row>
    <row r="2" spans="1:7" ht="24.75" customHeight="1" x14ac:dyDescent="0.35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08984375" customWidth="1"/>
    <col min="10" max="10" width="45.36328125" customWidth="1"/>
    <col min="11" max="11" width="42.08984375" customWidth="1"/>
    <col min="12" max="12" width="36" customWidth="1"/>
    <col min="13" max="13" width="45.90625" customWidth="1"/>
  </cols>
  <sheetData>
    <row r="1" spans="1:13" ht="27.75" customHeight="1" x14ac:dyDescent="0.35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 x14ac:dyDescent="0.35">
      <c r="H2" s="87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5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5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5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5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5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5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5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5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5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5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5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5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5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5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5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5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5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5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5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5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5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5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5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5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5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5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 x14ac:dyDescent="0.35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 x14ac:dyDescent="0.35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 x14ac:dyDescent="0.35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 x14ac:dyDescent="0.35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 x14ac:dyDescent="0.35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 x14ac:dyDescent="0.35">
      <c r="H49" s="87"/>
      <c r="I49" s="17"/>
      <c r="J49" s="17"/>
      <c r="K49" s="17" t="s">
        <v>173</v>
      </c>
      <c r="L49" s="17"/>
      <c r="M49" s="17"/>
    </row>
    <row r="50" spans="1:13" ht="21" customHeight="1" x14ac:dyDescent="0.35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 x14ac:dyDescent="0.35">
      <c r="H51" s="87"/>
      <c r="I51" s="17"/>
      <c r="J51" s="17"/>
      <c r="K51" s="17"/>
      <c r="L51" s="17"/>
      <c r="M51" s="17"/>
    </row>
    <row r="52" spans="1:13" ht="24" customHeight="1" x14ac:dyDescent="0.35">
      <c r="H52" s="87"/>
      <c r="I52" s="16"/>
      <c r="J52" s="16"/>
      <c r="K52" s="16"/>
      <c r="L52" s="16"/>
      <c r="M52" s="16"/>
    </row>
    <row r="53" spans="1:13" ht="36" customHeight="1" x14ac:dyDescent="0.35">
      <c r="H53" s="87"/>
      <c r="I53" s="17"/>
      <c r="J53" s="17"/>
      <c r="K53" s="17"/>
      <c r="L53" s="17"/>
      <c r="M53" s="17"/>
    </row>
    <row r="54" spans="1:13" ht="15" customHeight="1" x14ac:dyDescent="0.35">
      <c r="H54" s="87"/>
      <c r="I54" s="16"/>
      <c r="J54" s="16"/>
      <c r="K54" s="16"/>
      <c r="L54" s="16"/>
      <c r="M54" s="16"/>
    </row>
    <row r="55" spans="1:13" ht="15" customHeight="1" x14ac:dyDescent="0.35">
      <c r="H55" s="87"/>
      <c r="I55" s="17"/>
      <c r="J55" s="17"/>
      <c r="K55" s="17"/>
      <c r="L55" s="17"/>
      <c r="M55" s="17"/>
    </row>
    <row r="56" spans="1:13" ht="15" customHeight="1" x14ac:dyDescent="0.35">
      <c r="H56" s="87"/>
      <c r="I56" s="16"/>
      <c r="J56" s="16"/>
      <c r="K56" s="16"/>
      <c r="L56" s="16"/>
      <c r="M56" s="16"/>
    </row>
    <row r="57" spans="1:13" ht="15" customHeight="1" x14ac:dyDescent="0.35">
      <c r="H57" s="87"/>
      <c r="I57" s="17"/>
      <c r="J57" s="17"/>
      <c r="K57" s="17"/>
      <c r="L57" s="17"/>
      <c r="M57" s="17"/>
    </row>
    <row r="58" spans="1:13" ht="15" customHeight="1" x14ac:dyDescent="0.35">
      <c r="H58" s="87"/>
      <c r="I58" s="16"/>
      <c r="J58" s="16"/>
      <c r="K58" s="16"/>
      <c r="L58" s="16"/>
      <c r="M58" s="16"/>
    </row>
    <row r="59" spans="1:13" ht="15" customHeight="1" x14ac:dyDescent="0.35">
      <c r="H59" s="87"/>
      <c r="I59" s="17"/>
      <c r="J59" s="17"/>
      <c r="K59" s="17"/>
      <c r="L59" s="17"/>
      <c r="M59" s="17"/>
    </row>
    <row r="60" spans="1:13" ht="15" customHeight="1" x14ac:dyDescent="0.35">
      <c r="H60" s="87"/>
      <c r="I60" s="16"/>
      <c r="J60" s="16"/>
      <c r="K60" s="16"/>
      <c r="L60" s="16"/>
      <c r="M60" s="16"/>
    </row>
    <row r="61" spans="1:13" ht="15" customHeight="1" x14ac:dyDescent="0.35">
      <c r="H61" s="87"/>
      <c r="I61" s="17"/>
      <c r="J61" s="17"/>
      <c r="K61" s="17"/>
      <c r="L61" s="17"/>
      <c r="M61" s="17"/>
    </row>
    <row r="62" spans="1:13" ht="15" customHeight="1" x14ac:dyDescent="0.35">
      <c r="H62" s="87"/>
      <c r="I62" s="16"/>
      <c r="J62" s="16"/>
      <c r="K62" s="16"/>
      <c r="L62" s="16"/>
      <c r="M62" s="16"/>
    </row>
    <row r="63" spans="1:13" ht="15" customHeight="1" x14ac:dyDescent="0.35">
      <c r="H63" s="87"/>
      <c r="I63" s="17"/>
      <c r="J63" s="17"/>
      <c r="K63" s="17"/>
      <c r="L63" s="17"/>
      <c r="M63" s="17"/>
    </row>
    <row r="64" spans="1:13" ht="15" customHeight="1" x14ac:dyDescent="0.35">
      <c r="H64" s="87"/>
      <c r="I64" s="16"/>
      <c r="J64" s="16"/>
      <c r="K64" s="16"/>
      <c r="L64" s="16"/>
      <c r="M64" s="16"/>
    </row>
    <row r="65" spans="8:13" ht="15" customHeight="1" x14ac:dyDescent="0.35">
      <c r="H65" s="87"/>
      <c r="I65" s="17"/>
      <c r="J65" s="17"/>
      <c r="K65" s="17"/>
      <c r="L65" s="17"/>
      <c r="M65" s="17"/>
    </row>
    <row r="66" spans="8:13" ht="15" customHeight="1" x14ac:dyDescent="0.35">
      <c r="H66" s="87"/>
      <c r="I66" s="16"/>
      <c r="J66" s="16"/>
      <c r="K66" s="16"/>
      <c r="L66" s="16"/>
      <c r="M66" s="16"/>
    </row>
    <row r="67" spans="8:13" ht="15" customHeight="1" x14ac:dyDescent="0.35">
      <c r="H67" s="87"/>
      <c r="I67" s="17"/>
      <c r="J67" s="17"/>
      <c r="K67" s="17"/>
      <c r="L67" s="17"/>
      <c r="M67" s="17"/>
    </row>
    <row r="68" spans="8:13" ht="15" customHeight="1" x14ac:dyDescent="0.35">
      <c r="H68" s="87"/>
      <c r="I68" s="16"/>
      <c r="J68" s="16"/>
      <c r="K68" s="16"/>
      <c r="L68" s="16"/>
      <c r="M68" s="16"/>
    </row>
    <row r="69" spans="8:13" ht="15" customHeight="1" x14ac:dyDescent="0.35">
      <c r="H69" s="87"/>
      <c r="I69" s="17"/>
      <c r="J69" s="17"/>
      <c r="K69" s="17"/>
      <c r="L69" s="17"/>
      <c r="M69" s="17"/>
    </row>
    <row r="70" spans="8:13" ht="15" customHeight="1" x14ac:dyDescent="0.35">
      <c r="H70" s="87"/>
      <c r="I70" s="16"/>
      <c r="J70" s="16"/>
      <c r="K70" s="16"/>
      <c r="L70" s="16"/>
      <c r="M70" s="16"/>
    </row>
    <row r="71" spans="8:13" ht="15" customHeight="1" x14ac:dyDescent="0.35">
      <c r="H71" s="87"/>
      <c r="I71" s="17"/>
      <c r="J71" s="17"/>
      <c r="K71" s="17"/>
      <c r="L71" s="17"/>
      <c r="M71" s="17"/>
    </row>
    <row r="72" spans="8:13" ht="15" customHeight="1" x14ac:dyDescent="0.35">
      <c r="H72" s="87"/>
      <c r="I72" s="16"/>
      <c r="J72" s="16"/>
      <c r="K72" s="16"/>
      <c r="L72" s="16"/>
      <c r="M72" s="16"/>
    </row>
    <row r="73" spans="8:13" ht="15" customHeight="1" x14ac:dyDescent="0.35">
      <c r="H73" s="87"/>
      <c r="I73" s="17"/>
      <c r="J73" s="17"/>
      <c r="K73" s="17"/>
      <c r="L73" s="17"/>
      <c r="M73" s="17"/>
    </row>
    <row r="74" spans="8:13" ht="15" customHeight="1" x14ac:dyDescent="0.35">
      <c r="H74" s="87"/>
      <c r="I74" s="16"/>
      <c r="J74" s="16"/>
      <c r="K74" s="16"/>
      <c r="L74" s="16"/>
      <c r="M74" s="16"/>
    </row>
    <row r="75" spans="8:13" ht="15" customHeight="1" x14ac:dyDescent="0.35">
      <c r="H75" s="87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D2" sqref="D2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08984375" style="20" customWidth="1"/>
    <col min="9" max="9" width="23.453125" style="20" customWidth="1"/>
    <col min="10" max="10" width="43.08984375" style="20" customWidth="1"/>
    <col min="11" max="11" width="14" style="20" customWidth="1"/>
    <col min="12" max="12" width="13.089843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 t="s">
        <v>21</v>
      </c>
      <c r="D2" s="59"/>
      <c r="E2" s="59" t="s">
        <v>190</v>
      </c>
      <c r="F2" s="27">
        <v>10</v>
      </c>
      <c r="G2" s="28">
        <f t="shared" ref="G2:G13" si="0">IF(F2="","",IF(E2="PC 17",F2*4.2,IF(E2="PC 19",F2*5,"")))</f>
        <v>42</v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77" t="s">
        <v>184</v>
      </c>
      <c r="B14" s="78"/>
      <c r="C14" s="78"/>
      <c r="D14" s="78"/>
      <c r="E14" s="79"/>
      <c r="F14" s="36">
        <f>SUM(F2:F13)</f>
        <v>10</v>
      </c>
      <c r="G14" s="36">
        <f>SUM(G2:G13)</f>
        <v>42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185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77" t="s">
        <v>186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185</v>
      </c>
      <c r="O27" s="39"/>
    </row>
    <row r="28" spans="1:15" ht="18" customHeight="1" x14ac:dyDescent="0.35">
      <c r="A28" s="80" t="s">
        <v>187</v>
      </c>
      <c r="B28" s="81"/>
      <c r="C28" s="81"/>
      <c r="D28" s="81"/>
      <c r="E28" s="82"/>
      <c r="F28" s="40">
        <f>F14+F27</f>
        <v>10</v>
      </c>
      <c r="G28" s="40">
        <f>G14+G27</f>
        <v>42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188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77" t="s">
        <v>184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185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77" t="s">
        <v>186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185</v>
      </c>
      <c r="O54" s="39"/>
    </row>
    <row r="55" spans="1:15" ht="18" customHeight="1" x14ac:dyDescent="0.35">
      <c r="A55" s="80" t="s">
        <v>187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188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77" t="s">
        <v>184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185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77" t="s">
        <v>186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185</v>
      </c>
      <c r="O81" s="39"/>
    </row>
    <row r="82" spans="1:15" ht="18" customHeight="1" x14ac:dyDescent="0.35">
      <c r="A82" s="80" t="s">
        <v>187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188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77" t="s">
        <v>184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185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77" t="s">
        <v>186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185</v>
      </c>
      <c r="O108" s="39"/>
    </row>
    <row r="109" spans="1:15" ht="18" customHeight="1" x14ac:dyDescent="0.35">
      <c r="A109" s="80" t="s">
        <v>187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188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77" t="s">
        <v>184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185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77" t="s">
        <v>186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185</v>
      </c>
      <c r="O135" s="39"/>
    </row>
    <row r="136" spans="1:15" ht="18" customHeight="1" x14ac:dyDescent="0.35">
      <c r="A136" s="80" t="s">
        <v>187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188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77" t="s">
        <v>184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185</v>
      </c>
      <c r="O149" s="4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77" t="s">
        <v>186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185</v>
      </c>
      <c r="O162" s="44"/>
    </row>
    <row r="163" spans="1:15" ht="18" customHeight="1" x14ac:dyDescent="0.35">
      <c r="A163" s="80" t="s">
        <v>187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77" t="s">
        <v>184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77" t="s">
        <v>186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80" t="s">
        <v>187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77" t="s">
        <v>184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185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77" t="s">
        <v>186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185</v>
      </c>
      <c r="O216" s="45"/>
    </row>
    <row r="217" spans="1:15" ht="18" customHeight="1" x14ac:dyDescent="0.35">
      <c r="A217" s="80" t="s">
        <v>187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77" t="s">
        <v>184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77" t="s">
        <v>186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80" t="s">
        <v>187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77" t="s">
        <v>184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77" t="s">
        <v>186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80" t="s">
        <v>187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77" t="s">
        <v>184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77" t="s">
        <v>186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80" t="s">
        <v>187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77" t="s">
        <v>184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77" t="s">
        <v>186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80" t="s">
        <v>187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77" t="s">
        <v>184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77" t="s">
        <v>186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80" t="s">
        <v>187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77" t="s">
        <v>184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77" t="s">
        <v>186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80" t="s">
        <v>187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77" t="s">
        <v>184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77" t="s">
        <v>186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80" t="s">
        <v>187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77" t="s">
        <v>184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77" t="s">
        <v>186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185</v>
      </c>
      <c r="O432" s="39"/>
    </row>
    <row r="433" spans="1:15" ht="18" customHeight="1" x14ac:dyDescent="0.35">
      <c r="A433" s="80" t="s">
        <v>187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77" t="s">
        <v>184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185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77" t="s">
        <v>186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80" t="s">
        <v>187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77" t="s">
        <v>184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77" t="s">
        <v>186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80" t="s">
        <v>187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77" t="s">
        <v>184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77" t="s">
        <v>186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80" t="s">
        <v>187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77" t="s">
        <v>184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77" t="s">
        <v>186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80" t="s">
        <v>187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77" t="s">
        <v>184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77" t="s">
        <v>186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80" t="s">
        <v>187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77" t="s">
        <v>184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77" t="s">
        <v>186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80" t="s">
        <v>187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77" t="s">
        <v>184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77" t="s">
        <v>186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80" t="s">
        <v>187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188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77" t="s">
        <v>184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185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77" t="s">
        <v>186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80" t="s">
        <v>187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188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77" t="s">
        <v>184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77" t="s">
        <v>186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80" t="s">
        <v>187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77" t="s">
        <v>184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77" t="s">
        <v>186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80" t="s">
        <v>187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77" t="s">
        <v>184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77" t="s">
        <v>186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80" t="s">
        <v>187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77" t="s">
        <v>184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77" t="s">
        <v>186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80" t="s">
        <v>187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77" t="s">
        <v>184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77" t="s">
        <v>186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80" t="s">
        <v>187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77" t="s">
        <v>184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77" t="s">
        <v>186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80" t="s">
        <v>187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" sqref="F2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089843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4" style="20" customWidth="1"/>
    <col min="14" max="14" width="99.45312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5">
      <c r="A14" s="77" t="s">
        <v>184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185</v>
      </c>
      <c r="O14" s="54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 x14ac:dyDescent="0.5">
      <c r="A27" s="77" t="s">
        <v>186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185</v>
      </c>
      <c r="O27" s="54"/>
    </row>
    <row r="28" spans="1:15" ht="18" customHeight="1" x14ac:dyDescent="0.35">
      <c r="A28" s="80" t="s">
        <v>187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188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5">
      <c r="A41" s="77" t="s">
        <v>184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185</v>
      </c>
      <c r="O41" s="54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5">
      <c r="A54" s="77" t="s">
        <v>186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185</v>
      </c>
      <c r="O54" s="54"/>
    </row>
    <row r="55" spans="1:15" ht="18" customHeight="1" x14ac:dyDescent="0.35">
      <c r="A55" s="80" t="s">
        <v>187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188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77" t="s">
        <v>184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185</v>
      </c>
      <c r="O68" s="54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77" t="s">
        <v>186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185</v>
      </c>
      <c r="O81" s="54"/>
    </row>
    <row r="82" spans="1:15" ht="18" customHeight="1" x14ac:dyDescent="0.35">
      <c r="A82" s="80" t="s">
        <v>187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188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77" t="s">
        <v>184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185</v>
      </c>
      <c r="O95" s="54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77" t="s">
        <v>186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185</v>
      </c>
      <c r="O108" s="54"/>
    </row>
    <row r="109" spans="1:15" ht="18" customHeight="1" x14ac:dyDescent="0.35">
      <c r="A109" s="80" t="s">
        <v>187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188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77" t="s">
        <v>184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185</v>
      </c>
      <c r="O122" s="54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77" t="s">
        <v>186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185</v>
      </c>
      <c r="O135" s="54"/>
    </row>
    <row r="136" spans="1:15" ht="18" customHeight="1" x14ac:dyDescent="0.35">
      <c r="A136" s="80" t="s">
        <v>187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188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77" t="s">
        <v>184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185</v>
      </c>
      <c r="O149" s="5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77" t="s">
        <v>186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185</v>
      </c>
      <c r="O162" s="54"/>
    </row>
    <row r="163" spans="1:15" ht="18" customHeight="1" x14ac:dyDescent="0.35">
      <c r="A163" s="80" t="s">
        <v>187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77" t="s">
        <v>184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77" t="s">
        <v>186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80" t="s">
        <v>187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77" t="s">
        <v>184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185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77" t="s">
        <v>186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185</v>
      </c>
      <c r="O216" s="45"/>
    </row>
    <row r="217" spans="1:15" ht="18" customHeight="1" x14ac:dyDescent="0.35">
      <c r="A217" s="80" t="s">
        <v>187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77" t="s">
        <v>184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77" t="s">
        <v>186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80" t="s">
        <v>187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77" t="s">
        <v>184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77" t="s">
        <v>186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80" t="s">
        <v>187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77" t="s">
        <v>184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77" t="s">
        <v>186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80" t="s">
        <v>187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77" t="s">
        <v>184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77" t="s">
        <v>186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80" t="s">
        <v>187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77" t="s">
        <v>184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77" t="s">
        <v>186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80" t="s">
        <v>187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77" t="s">
        <v>184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77" t="s">
        <v>186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80" t="s">
        <v>187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77" t="s">
        <v>184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77" t="s">
        <v>186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80" t="s">
        <v>187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77" t="s">
        <v>184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77" t="s">
        <v>186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185</v>
      </c>
      <c r="O432" s="39"/>
    </row>
    <row r="433" spans="1:15" ht="18" customHeight="1" x14ac:dyDescent="0.35">
      <c r="A433" s="80" t="s">
        <v>187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77" t="s">
        <v>184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185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77" t="s">
        <v>186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80" t="s">
        <v>187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77" t="s">
        <v>184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77" t="s">
        <v>186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80" t="s">
        <v>187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77" t="s">
        <v>184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77" t="s">
        <v>186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80" t="s">
        <v>187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77" t="s">
        <v>184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77" t="s">
        <v>186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80" t="s">
        <v>187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77" t="s">
        <v>184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77" t="s">
        <v>186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80" t="s">
        <v>187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77" t="s">
        <v>184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77" t="s">
        <v>186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80" t="s">
        <v>187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77" t="s">
        <v>184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77" t="s">
        <v>186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80" t="s">
        <v>187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188</v>
      </c>
      <c r="O622" s="48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77" t="s">
        <v>184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185</v>
      </c>
      <c r="O635" s="45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77" t="s">
        <v>186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80" t="s">
        <v>187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188</v>
      </c>
      <c r="O649" s="48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77" t="s">
        <v>184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77" t="s">
        <v>186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80" t="s">
        <v>187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77" t="s">
        <v>184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77" t="s">
        <v>186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80" t="s">
        <v>187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77" t="s">
        <v>184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77" t="s">
        <v>186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80" t="s">
        <v>187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77" t="s">
        <v>184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77" t="s">
        <v>186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80" t="s">
        <v>187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77" t="s">
        <v>184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77" t="s">
        <v>186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80" t="s">
        <v>187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77" t="s">
        <v>184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77" t="s">
        <v>186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80" t="s">
        <v>187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J811" sqref="H1:J811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632812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43.6328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77" t="s">
        <v>184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185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77" t="s">
        <v>186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185</v>
      </c>
      <c r="O27" s="39"/>
    </row>
    <row r="28" spans="1:15" ht="18" customHeight="1" x14ac:dyDescent="0.35">
      <c r="A28" s="80" t="s">
        <v>187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188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77" t="s">
        <v>184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185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77" t="s">
        <v>186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185</v>
      </c>
      <c r="O54" s="39"/>
    </row>
    <row r="55" spans="1:15" ht="18" customHeight="1" x14ac:dyDescent="0.35">
      <c r="A55" s="80" t="s">
        <v>187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188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77" t="s">
        <v>184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185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77" t="s">
        <v>186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185</v>
      </c>
      <c r="O81" s="39"/>
    </row>
    <row r="82" spans="1:15" ht="18" customHeight="1" x14ac:dyDescent="0.35">
      <c r="A82" s="80" t="s">
        <v>187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188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77" t="s">
        <v>184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185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77" t="s">
        <v>186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185</v>
      </c>
      <c r="O108" s="39"/>
    </row>
    <row r="109" spans="1:15" ht="18" customHeight="1" x14ac:dyDescent="0.35">
      <c r="A109" s="80" t="s">
        <v>187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188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77" t="s">
        <v>184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185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77" t="s">
        <v>186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185</v>
      </c>
      <c r="O135" s="39"/>
    </row>
    <row r="136" spans="1:15" ht="18" customHeight="1" x14ac:dyDescent="0.35">
      <c r="A136" s="80" t="s">
        <v>187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188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77" t="s">
        <v>184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185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77" t="s">
        <v>186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185</v>
      </c>
      <c r="O162" s="39"/>
    </row>
    <row r="163" spans="1:15" ht="18" customHeight="1" x14ac:dyDescent="0.35">
      <c r="A163" s="80" t="s">
        <v>187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77" t="s">
        <v>184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77" t="s">
        <v>186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80" t="s">
        <v>187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77" t="s">
        <v>184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185</v>
      </c>
      <c r="O203" s="39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77" t="s">
        <v>186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185</v>
      </c>
      <c r="O216" s="39"/>
    </row>
    <row r="217" spans="1:15" ht="18" customHeight="1" x14ac:dyDescent="0.35">
      <c r="A217" s="80" t="s">
        <v>187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77" t="s">
        <v>184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77" t="s">
        <v>186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80" t="s">
        <v>187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77" t="s">
        <v>184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77" t="s">
        <v>186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80" t="s">
        <v>187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77" t="s">
        <v>184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77" t="s">
        <v>186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80" t="s">
        <v>187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77" t="s">
        <v>184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77" t="s">
        <v>186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80" t="s">
        <v>187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77" t="s">
        <v>184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77" t="s">
        <v>186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80" t="s">
        <v>187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77" t="s">
        <v>184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77" t="s">
        <v>186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80" t="s">
        <v>187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77" t="s">
        <v>184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77" t="s">
        <v>186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80" t="s">
        <v>187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77" t="s">
        <v>184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77" t="s">
        <v>186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185</v>
      </c>
      <c r="O432" s="39"/>
    </row>
    <row r="433" spans="1:15" ht="18" customHeight="1" x14ac:dyDescent="0.35">
      <c r="A433" s="80" t="s">
        <v>187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77" t="s">
        <v>184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185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77" t="s">
        <v>186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80" t="s">
        <v>187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77" t="s">
        <v>184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77" t="s">
        <v>186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80" t="s">
        <v>187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77" t="s">
        <v>184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77" t="s">
        <v>186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80" t="s">
        <v>187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77" t="s">
        <v>184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77" t="s">
        <v>186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80" t="s">
        <v>187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77" t="s">
        <v>184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77" t="s">
        <v>186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80" t="s">
        <v>187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77" t="s">
        <v>184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77" t="s">
        <v>186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80" t="s">
        <v>187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77" t="s">
        <v>184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77" t="s">
        <v>186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80" t="s">
        <v>187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188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77" t="s">
        <v>184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185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77" t="s">
        <v>186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80" t="s">
        <v>187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188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77" t="s">
        <v>184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77" t="s">
        <v>186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80" t="s">
        <v>187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77" t="s">
        <v>184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77" t="s">
        <v>186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80" t="s">
        <v>187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77" t="s">
        <v>184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77" t="s">
        <v>186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80" t="s">
        <v>187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77" t="s">
        <v>184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77" t="s">
        <v>186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80" t="s">
        <v>187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77" t="s">
        <v>184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77" t="s">
        <v>186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80" t="s">
        <v>187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77" t="s">
        <v>184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77" t="s">
        <v>186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80" t="s">
        <v>187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5" activePane="bottomLeft" state="frozen"/>
      <selection pane="bottomLeft" activeCell="J35" sqref="J35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08984375" style="57" customWidth="1"/>
    <col min="10" max="10" width="52.08984375" style="57" customWidth="1"/>
    <col min="11" max="11" width="18.36328125" style="57" customWidth="1"/>
    <col min="12" max="12" width="14" style="58" customWidth="1"/>
    <col min="13" max="13" width="14" style="57" customWidth="1"/>
    <col min="14" max="14" width="126.3632812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77" t="s">
        <v>184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185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77" t="s">
        <v>186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185</v>
      </c>
      <c r="O27" s="39"/>
    </row>
    <row r="28" spans="1:15" ht="18" customHeight="1" x14ac:dyDescent="0.35">
      <c r="A28" s="80" t="s">
        <v>187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188</v>
      </c>
      <c r="O28" s="48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77" t="s">
        <v>184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185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35">
      <c r="A54" s="77" t="s">
        <v>186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185</v>
      </c>
      <c r="O54" s="39"/>
    </row>
    <row r="55" spans="1:15" ht="18" customHeight="1" x14ac:dyDescent="0.35">
      <c r="A55" s="80" t="s">
        <v>187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188</v>
      </c>
      <c r="O55" s="48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77" t="s">
        <v>184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185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77" t="s">
        <v>186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185</v>
      </c>
      <c r="O81" s="39"/>
    </row>
    <row r="82" spans="1:15" ht="18" customHeight="1" x14ac:dyDescent="0.35">
      <c r="A82" s="80" t="s">
        <v>187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188</v>
      </c>
      <c r="O82" s="48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77" t="s">
        <v>184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185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77" t="s">
        <v>186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185</v>
      </c>
      <c r="O108" s="39"/>
    </row>
    <row r="109" spans="1:15" ht="18" customHeight="1" x14ac:dyDescent="0.35">
      <c r="A109" s="80" t="s">
        <v>187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188</v>
      </c>
      <c r="O109" s="48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77" t="s">
        <v>184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185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5">
      <c r="A135" s="77" t="s">
        <v>186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185</v>
      </c>
      <c r="O135" s="39"/>
    </row>
    <row r="136" spans="1:15" ht="18" customHeight="1" x14ac:dyDescent="0.35">
      <c r="A136" s="80" t="s">
        <v>187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188</v>
      </c>
      <c r="O136" s="48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77" t="s">
        <v>184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185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77" t="s">
        <v>186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185</v>
      </c>
      <c r="O162" s="39"/>
    </row>
    <row r="163" spans="1:15" ht="18" customHeight="1" x14ac:dyDescent="0.35">
      <c r="A163" s="80" t="s">
        <v>187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77" t="s">
        <v>184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77" t="s">
        <v>186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80" t="s">
        <v>187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77" t="s">
        <v>184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185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77" t="s">
        <v>186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185</v>
      </c>
      <c r="O216" s="45"/>
    </row>
    <row r="217" spans="1:15" ht="18" customHeight="1" x14ac:dyDescent="0.35">
      <c r="A217" s="80" t="s">
        <v>187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77" t="s">
        <v>184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77" t="s">
        <v>186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80" t="s">
        <v>187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77" t="s">
        <v>184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77" t="s">
        <v>186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80" t="s">
        <v>187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77" t="s">
        <v>184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77" t="s">
        <v>186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80" t="s">
        <v>187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77" t="s">
        <v>184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77" t="s">
        <v>186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80" t="s">
        <v>187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77" t="s">
        <v>184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77" t="s">
        <v>186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80" t="s">
        <v>187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77" t="s">
        <v>184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77" t="s">
        <v>186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80" t="s">
        <v>187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77" t="s">
        <v>184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77" t="s">
        <v>186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80" t="s">
        <v>187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77" t="s">
        <v>184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77" t="s">
        <v>186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185</v>
      </c>
      <c r="O432" s="39"/>
    </row>
    <row r="433" spans="1:17" ht="18" customHeight="1" x14ac:dyDescent="0.35">
      <c r="A433" s="80" t="s">
        <v>187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77" t="s">
        <v>184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185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77" t="s">
        <v>186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80" t="s">
        <v>187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77" t="s">
        <v>184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77" t="s">
        <v>186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80" t="s">
        <v>187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77" t="s">
        <v>184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77" t="s">
        <v>186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80" t="s">
        <v>187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77" t="s">
        <v>184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77" t="s">
        <v>186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80" t="s">
        <v>187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77" t="s">
        <v>184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77" t="s">
        <v>186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80" t="s">
        <v>187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77" t="s">
        <v>184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77" t="s">
        <v>186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80" t="s">
        <v>187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77" t="s">
        <v>184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77" t="s">
        <v>186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80" t="s">
        <v>187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188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77" t="s">
        <v>184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185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77" t="s">
        <v>186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80" t="s">
        <v>187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188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77" t="s">
        <v>184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77" t="s">
        <v>186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80" t="s">
        <v>187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77" t="s">
        <v>184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77" t="s">
        <v>186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80" t="s">
        <v>187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77" t="s">
        <v>184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77" t="s">
        <v>186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80" t="s">
        <v>187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77" t="s">
        <v>184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77" t="s">
        <v>186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80" t="s">
        <v>187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77" t="s">
        <v>184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77" t="s">
        <v>186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80" t="s">
        <v>187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77" t="s">
        <v>184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77" t="s">
        <v>186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80" t="s">
        <v>187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2026-07-01T12:13:08Z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