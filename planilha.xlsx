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75" documentId="8_{AF585B22-221D-4780-BB9C-493D365A6A02}" xr6:coauthVersionLast="47" xr6:coauthVersionMax="47" xr10:uidLastSave="{F4119998-2A46-49E2-8899-6C3472042AF3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<sst xmlns="http://schemas.openxmlformats.org/spreadsheetml/2006/main" count="6523" uniqueCount="327">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</sst>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J394" sqref="J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17</v>
      </c>
      <c r="I394" s="26"/>
      <c r="J394" s="26" t="s">
        <v>25</v>
      </c>
      <c r="K394" s="29">
        <v>3.6805555555555557E-2</v>
      </c>
      <c r="L394" s="29"/>
      <c r="M394" s="30">
        <f t="shared" ca="1" si="88"/>
        <v>4.8746527754701674E-3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92</v>
      </c>
      <c r="G405" s="36">
        <f>SUM(G393:G404)</f>
        <v>460</v>
      </c>
      <c r="H405" s="37"/>
      <c r="I405" s="37"/>
      <c r="J405" s="37"/>
      <c r="K405" s="37"/>
      <c r="L405" s="37"/>
      <c r="M405" s="38">
        <f ca="1">IFERROR(SUM(M393:M404),"")</f>
        <v>1.3207986108803471E-2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352</v>
      </c>
      <c r="G406" s="40">
        <f>G392+G405</f>
        <v>1760</v>
      </c>
      <c r="H406" s="41"/>
      <c r="I406" s="41"/>
      <c r="J406" s="41"/>
      <c r="K406" s="41"/>
      <c r="L406" s="41"/>
      <c r="M406" s="42">
        <f ca="1">IFERROR(M392+M405,"")</f>
        <v>0.12848576388658123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J396" sqref="J3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0.80209687499882421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0.95973576388771309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1.0694579861099354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/>
      <c r="M396" s="30">
        <f t="shared" ca="1" si="88"/>
        <v>4.8746527754701674E-3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67</v>
      </c>
      <c r="G405" s="36">
        <f>SUM(G393:G404)</f>
        <v>281.39999999999998</v>
      </c>
      <c r="H405" s="37"/>
      <c r="I405" s="37"/>
      <c r="J405" s="37"/>
      <c r="K405" s="37"/>
      <c r="L405" s="37"/>
      <c r="M405" s="38">
        <f ca="1">IFERROR(SUM(M393:M404),"")</f>
        <v>0.13959687499769241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141</v>
      </c>
      <c r="G406" s="40">
        <f>G392+G405</f>
        <v>592.20000000000005</v>
      </c>
      <c r="H406" s="41"/>
      <c r="I406" s="41"/>
      <c r="J406" s="41"/>
      <c r="K406" s="41"/>
      <c r="L406" s="41"/>
      <c r="M406" s="42">
        <f ca="1">IFERROR(M392+M405,"")</f>
        <v>0.47987465277547015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88" zoomScale="50" zoomScaleNormal="50" workbookViewId="0">
      <selection activeCell="L394" sqref="L3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3.888888888888889E-2</v>
      </c>
      <c r="M393" s="35">
        <f t="shared" ref="M393:M404" ca="1" si="88">IFERROR(IF(K393="","",IF(L393="",MOD(NOW()-K393,1),IF(L393&gt;=K393,L393-K393,L393+1-K393))),"")</f>
        <v>2.0833333333333329E-3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39</v>
      </c>
      <c r="G405" s="36">
        <f>SUM(G393:G404)</f>
        <v>173.4</v>
      </c>
      <c r="H405" s="37"/>
      <c r="I405" s="37"/>
      <c r="J405" s="37"/>
      <c r="K405" s="37"/>
      <c r="L405" s="37"/>
      <c r="M405" s="38">
        <f ca="1">IFERROR(SUM(M393:M404),"")</f>
        <v>2.0833333333333329E-3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134</v>
      </c>
      <c r="G406" s="40">
        <f>G392+G405</f>
        <v>572.40000000000009</v>
      </c>
      <c r="H406" s="41"/>
      <c r="I406" s="41"/>
      <c r="J406" s="41"/>
      <c r="K406" s="41"/>
      <c r="L406" s="41"/>
      <c r="M406" s="42">
        <f ca="1">IFERROR(M392+M405,"")</f>
        <v>3.1944444444444393E-2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2" activePane="bottomLeft" state="frozen"/>
      <selection pane="bottomLeft" activeCell="L395" sqref="L39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0.79237465278129093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0.99168020833684656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1.3590413194479576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>
        <v>21</v>
      </c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>
        <v>11</v>
      </c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75</v>
      </c>
      <c r="G405" s="36">
        <f>SUM(G393:G404)</f>
        <v>200.6</v>
      </c>
      <c r="H405" s="37"/>
      <c r="I405" s="37"/>
      <c r="J405" s="37"/>
      <c r="K405" s="61"/>
      <c r="L405" s="61"/>
      <c r="M405" s="38">
        <f ca="1">IFERROR(SUM(M393:M404),"")</f>
        <v>5.2777777777777923E-2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218</v>
      </c>
      <c r="G406" s="40">
        <f>G392+G405</f>
        <v>801.2</v>
      </c>
      <c r="H406" s="41"/>
      <c r="I406" s="41"/>
      <c r="J406" s="41"/>
      <c r="K406" s="63"/>
      <c r="L406" s="63"/>
      <c r="M406" s="42">
        <f ca="1">IFERROR(M392+M405,"")</f>
        <v>0.23541666666666689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2026-07-16T05:00:33Z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