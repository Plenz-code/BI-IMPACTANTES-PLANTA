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493" documentId="8_{AF585B22-221D-4780-BB9C-493D365A6A02}" xr6:coauthVersionLast="47" xr6:coauthVersionMax="47" xr10:uidLastSave="{13FD35F8-72FA-4127-BAF7-5BFEAEE1FBD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<sst xmlns="http://schemas.openxmlformats.org/spreadsheetml/2006/main" count="2698" uniqueCount="236">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</sst>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E134" sqref="E1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1" activePane="bottomLeft" state="frozen"/>
      <selection pane="bottomLeft" activeCell="L126" sqref="L1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/>
      <c r="M123" s="30">
        <f t="shared" ref="M123:M134" ca="1" si="28">IFERROR(IF(K123="","",IF(L123="",MOD(NOW()-K123,1),IF(L123&gt;=K123,L123-K123,L123+1-K123))),"")</f>
        <v>3.0299768477561884E-3</v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3.0299768477561884E-3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135</v>
      </c>
      <c r="G136" s="40">
        <f>G122+G135</f>
        <v>567</v>
      </c>
      <c r="H136" s="41"/>
      <c r="I136" s="41"/>
      <c r="J136" s="41"/>
      <c r="K136" s="41"/>
      <c r="L136" s="41"/>
      <c r="M136" s="42">
        <f ca="1">IFERROR(M122+M135,"")</f>
        <v>0.14469664351442285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31" sqref="F1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</v>
      </c>
      <c r="G136" s="40">
        <f>G122+G135</f>
        <v>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K124" sqref="K1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/>
      <c r="M123" s="35">
        <f t="shared" ref="M123:M134" ca="1" si="28">IFERROR(IF(K123="","",IF(L123="",MOD(NOW()-K123,1),IF(L123&gt;=K123,L123-K123,L123+1-K123))),"")</f>
        <v>6.5021990740206093E-3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6.5021990740206093E-3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54</v>
      </c>
      <c r="G136" s="40">
        <f>G122+G135</f>
        <v>226.8</v>
      </c>
      <c r="H136" s="41"/>
      <c r="I136" s="41"/>
      <c r="J136" s="41"/>
      <c r="K136" s="63"/>
      <c r="L136" s="63"/>
      <c r="M136" s="42">
        <f ca="1">IFERROR(M122+M135,"")</f>
        <v>0.37386331018513169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2026-07-05T23:09:22Z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