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146" documentId="13_ncr:1_{0A10D8D4-8450-4366-8075-B53B08E6B7EA}" xr6:coauthVersionLast="47" xr6:coauthVersionMax="47" xr10:uidLastSave="{A28D122C-5FC2-4F39-97CD-A87EC0D4A7F5}"/>
  <bookViews>
    <workbookView xWindow="-120" yWindow="-120" windowWidth="29040" windowHeight="1572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3" i="3" l="1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8" i="6"/>
  <c r="J448" i="6" s="1"/>
  <c r="H449" i="6"/>
  <c r="J449" i="6" s="1"/>
  <c r="H450" i="6"/>
  <c r="J450" i="6" s="1"/>
  <c r="H451" i="6"/>
  <c r="J451" i="6" s="1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J457" i="6" s="1"/>
  <c r="H458" i="6"/>
  <c r="J458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8" i="5"/>
  <c r="J448" i="5" s="1"/>
  <c r="H449" i="5"/>
  <c r="J449" i="5" s="1"/>
  <c r="H450" i="5"/>
  <c r="J450" i="5" s="1"/>
  <c r="H451" i="5"/>
  <c r="J451" i="5" s="1"/>
  <c r="H452" i="5"/>
  <c r="J452" i="5" s="1"/>
  <c r="H453" i="5"/>
  <c r="J453" i="5" s="1"/>
  <c r="H454" i="5"/>
  <c r="J454" i="5" s="1"/>
  <c r="H455" i="5"/>
  <c r="J455" i="5" s="1"/>
  <c r="H456" i="5"/>
  <c r="J456" i="5" s="1"/>
  <c r="H457" i="5"/>
  <c r="J457" i="5" s="1"/>
  <c r="H458" i="5"/>
  <c r="J458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48" i="4"/>
  <c r="J448" i="4" s="1"/>
  <c r="H449" i="4"/>
  <c r="J449" i="4" s="1"/>
  <c r="H450" i="4"/>
  <c r="J450" i="4" s="1"/>
  <c r="H451" i="4"/>
  <c r="J451" i="4" s="1"/>
  <c r="H452" i="4"/>
  <c r="J452" i="4" s="1"/>
  <c r="H453" i="4"/>
  <c r="J453" i="4" s="1"/>
  <c r="H454" i="4"/>
  <c r="J454" i="4" s="1"/>
  <c r="H455" i="4"/>
  <c r="J455" i="4" s="1"/>
  <c r="H456" i="4"/>
  <c r="J456" i="4" s="1"/>
  <c r="H457" i="4"/>
  <c r="J457" i="4" s="1"/>
  <c r="H458" i="4"/>
  <c r="J458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H447" i="6" s="1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H447" i="5" s="1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H447" i="4" s="1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J447" i="6" l="1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<sst xmlns="http://schemas.openxmlformats.org/spreadsheetml/2006/main" count="7701" uniqueCount="367">
  <si>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</si>
  <si>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</si>
  <si>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</si>
  <si>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</si>
  <si>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</si>
  <si>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</si>
  <si>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</si>
  <si>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</si>
  <si>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</si>
  <si>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</si>
  <si>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</si>
  <si>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</si>
  <si>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</si>
  <si>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</si>
  <si>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</si>
  <si>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</si>
  <si>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</si>
  <si>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</si>
  <si>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</si>
  <si>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</si>
  <si>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</si>
  <si>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</si>
  <si>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</si>
  <si>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</si>
  <si>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</si>
  <si>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</si>
  <si>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</si>
  <si>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</si>
  <si>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</si>
  <si>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</si>
  <si>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</si>
  <si>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</si>
  <si>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</si>
  <si>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</si>
  <si>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</si>
  <si>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</si>
  <si>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</si>
  <si>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</si>
  <si>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</si>
  <si>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</si>
  <si>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</si>
  <si>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</si>
  <si>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</si>
  <si>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</si>
  <si>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</si>
  <si>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</si>
  <si>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</si>
  <si>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</si>
  <si>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</si>
  <si>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</si>
  <si>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</si>
  <si>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</si>
  <si>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</si>
  <si>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</si>
  <si>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</si>
  <si>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</si>
  <si>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</si>
  <si>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</si>
  <si>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</si>
  <si>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</si>
  <si>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</si>
  <si>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</si>
  <si>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</si>
  <si>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</si>
  <si>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</si>
  <si>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</si>
  <si>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</si>
  <si>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</si>
  <si>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</si>
  <si>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</si>
  <si>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</si>
  <si>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</si>
  <si>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</si>
  <si>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</si>
  <si>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</si>
  <si>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</si>
  <si>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</si>
  <si>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</si>
  <si>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</si>
  <si>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</si>
  <si>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</si>
  <si>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</si>
  <si>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</si>
  <si>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</si>
  <si>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</si>
  <si>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</si>
  <si>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</si>
  <si>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</si>
  <si>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</si>
  <si>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</si>
  <si>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</si>
  <si>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</si>
  <si>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</si>
  <si>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</si>
  <si>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</si>
  <si>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</si>
  <si>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</si>
  <si>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</si>
  <si>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</si>
  <si>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</si>
  <si>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</si>
  <si>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</si>
  <si>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</si>
  <si>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</si>
  <si>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</si>
  <si>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</si>
  <si>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</si>
  <si>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</si>
  <si>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</si>
  <si>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</si>
  <si>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</si>
  <si>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</si>
  <si>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</si>
  <si>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</si>
  <si>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</si>
  <si>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</si>
  <si>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</si>
  <si>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</si>
  <si>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</si>
  <si>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</si>
  <si>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</si>
  <si>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</si>
  <si>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</si>
  <si>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</si>
  <si>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</si>
  <si>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</si>
  <si>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</si>
  <si>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</si>
  <si>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</si>
  <si>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</si>
  <si>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</si>
  <si>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</si>
  <si>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</si>
  <si>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</si>
  <si>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</si>
  <si>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</si>
  <si>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</si>
  <si>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</si>
  <si>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</si>
  <si>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</si>
  <si>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</si>
  <si>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</si>
  <si>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</si>
  <si>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</si>
  <si>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</si>
  <si>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</si>
  <si>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</si>
  <si>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</si>
  <si>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</si>
  <si>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</si>
  <si>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</si>
  <si>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</si>
  <si>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</si>
  <si>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</si>
  <si>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</si>
  <si>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</si>
  <si>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</si>
  <si>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</si>
  <si>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</si>
  <si>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</si>
  <si>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</si>
  <si>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</si>
  <si>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</si>
  <si>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</si>
  <si>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</si>
  <si>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</si>
  <si>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</si>
  <si>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</si>
  <si>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</si>
  <si>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</si>
  <si>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</si>
  <si>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</si>
  <si>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</si>
  <si>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</si>
  <si>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</si>
  <si>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</si>
  <si>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</si>
  <si>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</si>
  <si>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</si>
  <si>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</si>
  <si>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</si>
  <si>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</si>
  <si>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</si>
  <si>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</si>
  <si>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</si>
  <si>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</si>
  <si>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</si>
  <si>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</si>
  <si>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</si>
  <si>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</si>
  <si>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</si>
  <si>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</si>
  <si>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</si>
  <si>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</si>
  <si>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</si>
  <si>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</si>
  <si>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</si>
  <si>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</si>
  <si>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</si>
  <si>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</si>
  <si>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</si>
  <si>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</si>
  <si>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</si>
  <si>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</si>
  <si>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</si>
  <si>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</si>
  <si>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</si>
  <si>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</si>
  <si>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</si>
  <si>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</si>
  <si>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</si>
  <si>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</si>
  <si>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</si>
  <si>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</si>
  <si>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</si>
  <si>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</si>
  <si>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</si>
  <si>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</si>
  <si>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</si>
  <si>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</si>
  <si>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</si>
  <si>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</si>
  <si>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</si>
  <si>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</si>
  <si>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</si>
  <si>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</si>
  <si>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</si>
  <si>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</si>
  <si>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</si>
  <si>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</si>
  <si>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</si>
  <si>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</si>
  <si>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</si>
  <si>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</si>
  <si>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</si>
  <si>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</si>
  <si>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</si>
  <si>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</si>
  <si>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</si>
  <si>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</si>
  <si>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</si>
  <si>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</si>
  <si>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</si>
  <si>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</si>
  <si>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</si>
  <si>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</si>
  <si>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</si>
  <si>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</si>
  <si>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</si>
  <si>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</si>
  <si>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</si>
  <si>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</si>
  <si>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</si>
  <si>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</si>
  <si>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</si>
  <si>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</si>
  <si>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</si>
  <si>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</si>
  <si>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</si>
  <si>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</si>
  <si>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</si>
  <si>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</si>
  <si>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</si>
  <si>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</si>
  <si>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</si>
  <si>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</si>
  <si>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</si>
  <si>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</si>
  <si>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</si>
  <si>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</si>
  <si>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</si>
  <si>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</si>
  <si>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PLANILHA CONSERTADA ! 19:44 CCO</t>
  </si>
  <si>
    <t>POR FAVOR! NÂO APAGAR AS FORMULAS!</t>
  </si>
  <si>
    <t>CASO APAGUE APERTE CTRL + Z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</si>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</sst>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9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67" t="s">
        <v>0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</row>
    <row r="2" spans="1:11" ht="30" customHeight="1">
      <c r="A2" s="165"/>
      <c r="B2" s="16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1619380</v>
      </c>
      <c r="D20" s="8">
        <f>IFERROR('Linha 1'!S460,"")</f>
        <v>449020</v>
      </c>
      <c r="E20" s="8">
        <f>IFERROR('Linha 2'!S460,"")</f>
        <v>389280</v>
      </c>
      <c r="F20" s="8">
        <f>IFERROR('Linha 3'!S460,"")</f>
        <v>833920</v>
      </c>
      <c r="G20" s="9">
        <f t="shared" si="0"/>
        <v>1672220</v>
      </c>
      <c r="H20" s="96">
        <f>IFERROR('Linha 1'!T460+'Linha 2'!T460+'Linha 3'!T460,0)</f>
        <v>345.75255540983602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6" t="s">
        <v>14</v>
      </c>
      <c r="B35" s="166"/>
      <c r="C35" s="13">
        <f t="shared" ref="C35:H35" si="2">IFERROR(SUM(C4:C34),"")</f>
        <v>61474110</v>
      </c>
      <c r="D35" s="13">
        <f t="shared" si="2"/>
        <v>19986290</v>
      </c>
      <c r="E35" s="13">
        <f t="shared" si="2"/>
        <v>10451720</v>
      </c>
      <c r="F35" s="13">
        <f t="shared" si="2"/>
        <v>25736290</v>
      </c>
      <c r="G35" s="13">
        <f t="shared" si="2"/>
        <v>56174300</v>
      </c>
      <c r="H35" s="97">
        <f t="shared" si="2"/>
        <v>4032.7540882005683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32" zoomScale="85" zoomScaleNormal="85" workbookViewId="0">
      <selection activeCell="R59" sqref="R59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9" t="s">
        <v>15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  <c r="M1" s="170"/>
      <c r="N1" s="171" t="s">
        <v>16</v>
      </c>
      <c r="O1" s="171"/>
      <c r="P1" s="171"/>
      <c r="Q1" s="171"/>
      <c r="R1" s="171"/>
    </row>
    <row r="2" spans="1:18" ht="4.5" customHeight="1">
      <c r="M2" s="170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0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0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0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0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0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0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0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0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0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0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0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0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0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0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0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0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0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0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70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70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70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70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70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70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70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70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70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70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70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70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70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70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70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70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70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70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70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70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70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70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70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70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70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70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70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70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70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0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70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70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70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70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70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70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70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70"/>
      <c r="N58" s="16"/>
      <c r="O58" s="16"/>
      <c r="P58" s="16" t="s">
        <v>216</v>
      </c>
      <c r="Q58" s="16"/>
      <c r="R58" s="16" t="s">
        <v>217</v>
      </c>
    </row>
    <row r="59" spans="1:18" ht="15" customHeight="1">
      <c r="M59" s="170"/>
      <c r="N59" s="17"/>
      <c r="O59" s="17"/>
      <c r="P59" s="17" t="s">
        <v>218</v>
      </c>
      <c r="Q59" s="17"/>
      <c r="R59" s="17"/>
    </row>
    <row r="60" spans="1:18" ht="15" customHeight="1">
      <c r="M60" s="170"/>
      <c r="N60" s="16"/>
      <c r="O60" s="16"/>
      <c r="P60" s="77" t="s">
        <v>112</v>
      </c>
      <c r="Q60" s="16"/>
      <c r="R60" s="16"/>
    </row>
    <row r="61" spans="1:18" ht="15" customHeight="1">
      <c r="M61" s="170"/>
      <c r="N61" s="17"/>
      <c r="O61" s="17"/>
      <c r="P61" s="17" t="s">
        <v>219</v>
      </c>
      <c r="Q61" s="17"/>
      <c r="R61" s="17"/>
    </row>
    <row r="62" spans="1:18" ht="15" customHeight="1">
      <c r="M62" s="170"/>
      <c r="N62" s="16"/>
      <c r="O62" s="16"/>
      <c r="P62" s="16" t="s">
        <v>220</v>
      </c>
      <c r="Q62" s="16"/>
      <c r="R62" s="16"/>
    </row>
    <row r="63" spans="1:18" ht="15" customHeight="1">
      <c r="M63" s="170"/>
      <c r="N63" s="17"/>
      <c r="O63" s="17"/>
      <c r="P63" s="17" t="s">
        <v>221</v>
      </c>
      <c r="Q63" s="17"/>
      <c r="R63" s="17"/>
    </row>
    <row r="64" spans="1:18" ht="15" customHeight="1">
      <c r="M64" s="170"/>
      <c r="N64" s="16"/>
      <c r="O64" s="16"/>
      <c r="P64" s="16" t="s">
        <v>222</v>
      </c>
      <c r="Q64" s="16"/>
      <c r="R64" s="16"/>
    </row>
    <row r="65" spans="13:18" ht="15" customHeight="1">
      <c r="M65" s="170"/>
      <c r="N65" s="17"/>
      <c r="O65" s="17"/>
      <c r="P65" s="17" t="s">
        <v>223</v>
      </c>
      <c r="Q65" s="17"/>
      <c r="R65" s="17"/>
    </row>
    <row r="66" spans="13:18" ht="15" customHeight="1">
      <c r="M66" s="170"/>
      <c r="N66" s="16"/>
      <c r="O66" s="16"/>
      <c r="P66" s="16" t="s">
        <v>224</v>
      </c>
      <c r="Q66" s="16"/>
      <c r="R66" s="16"/>
    </row>
    <row r="67" spans="13:18" ht="15" customHeight="1">
      <c r="M67" s="170"/>
      <c r="N67" s="17"/>
      <c r="O67" s="17"/>
      <c r="P67" s="17" t="s">
        <v>225</v>
      </c>
      <c r="Q67" s="17"/>
      <c r="R67" s="17"/>
    </row>
    <row r="68" spans="13:18" ht="15" customHeight="1">
      <c r="M68" s="170"/>
      <c r="N68" s="16"/>
      <c r="O68" s="16"/>
      <c r="P68" s="16" t="s">
        <v>226</v>
      </c>
      <c r="Q68" s="16"/>
      <c r="R68" s="16"/>
    </row>
    <row r="69" spans="13:18" ht="15" customHeight="1">
      <c r="M69" s="170"/>
      <c r="N69" s="17"/>
      <c r="O69" s="17"/>
      <c r="P69" s="17" t="s">
        <v>227</v>
      </c>
      <c r="Q69" s="17"/>
      <c r="R69" s="17"/>
    </row>
    <row r="70" spans="13:18" ht="15" customHeight="1">
      <c r="M70" s="170"/>
      <c r="N70" s="16"/>
      <c r="O70" s="16"/>
      <c r="P70" s="16" t="s">
        <v>228</v>
      </c>
      <c r="Q70" s="16"/>
      <c r="R70" s="16"/>
    </row>
    <row r="71" spans="13:18" ht="15" customHeight="1">
      <c r="M71" s="170"/>
      <c r="N71" s="17"/>
      <c r="O71" s="17"/>
      <c r="P71" s="17" t="s">
        <v>229</v>
      </c>
      <c r="Q71" s="17"/>
      <c r="R71" s="17"/>
    </row>
    <row r="72" spans="13:18" ht="15" customHeight="1">
      <c r="M72" s="170"/>
      <c r="N72" s="16"/>
      <c r="O72" s="16"/>
      <c r="P72" s="16" t="s">
        <v>230</v>
      </c>
      <c r="Q72" s="16"/>
      <c r="R72" s="16"/>
    </row>
    <row r="73" spans="13:18" ht="15" customHeight="1">
      <c r="M73" s="170"/>
      <c r="N73" s="17"/>
      <c r="O73" s="17"/>
      <c r="P73" s="17" t="s">
        <v>231</v>
      </c>
      <c r="Q73" s="17"/>
      <c r="R73" s="17"/>
    </row>
    <row r="74" spans="13:18" ht="15" customHeight="1">
      <c r="M74" s="170"/>
      <c r="N74" s="16"/>
      <c r="O74" s="16"/>
      <c r="P74" s="16" t="s">
        <v>232</v>
      </c>
      <c r="Q74" s="16"/>
      <c r="R74" s="16"/>
    </row>
    <row r="75" spans="13:18" ht="15" customHeight="1">
      <c r="M75" s="170"/>
      <c r="N75" s="17"/>
      <c r="O75" s="17"/>
      <c r="P75" s="17" t="s">
        <v>233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26" activePane="bottomLeft" state="frozen"/>
      <selection pane="bottomLeft" activeCell="H457" sqref="H457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234</v>
      </c>
      <c r="C1" s="23" t="s">
        <v>17</v>
      </c>
      <c r="D1" s="22" t="s">
        <v>18</v>
      </c>
      <c r="E1" s="22" t="s">
        <v>235</v>
      </c>
      <c r="F1" s="23" t="s">
        <v>236</v>
      </c>
      <c r="G1" s="23" t="s">
        <v>237</v>
      </c>
      <c r="H1" s="23" t="s">
        <v>21</v>
      </c>
      <c r="I1" s="23" t="s">
        <v>22</v>
      </c>
      <c r="J1" s="23" t="s">
        <v>238</v>
      </c>
      <c r="K1" s="23" t="s">
        <v>239</v>
      </c>
      <c r="L1" s="23" t="s">
        <v>240</v>
      </c>
      <c r="M1" s="24" t="s">
        <v>241</v>
      </c>
      <c r="N1" s="23" t="s">
        <v>242</v>
      </c>
      <c r="O1" s="23" t="s">
        <v>243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9" t="s">
        <v>245</v>
      </c>
      <c r="B14" s="160"/>
      <c r="C14" s="160"/>
      <c r="D14" s="160"/>
      <c r="E14" s="17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246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244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244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247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9" t="s">
        <v>248</v>
      </c>
      <c r="B27" s="160"/>
      <c r="C27" s="160"/>
      <c r="D27" s="160"/>
      <c r="E27" s="17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246</v>
      </c>
      <c r="O27" s="39">
        <v>997910</v>
      </c>
    </row>
    <row r="28" spans="1:15" ht="18" customHeight="1">
      <c r="A28" s="161" t="s">
        <v>249</v>
      </c>
      <c r="B28" s="162"/>
      <c r="C28" s="162"/>
      <c r="D28" s="162"/>
      <c r="E28" s="17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250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244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251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244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247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9" t="s">
        <v>245</v>
      </c>
      <c r="B41" s="160"/>
      <c r="C41" s="160"/>
      <c r="D41" s="160"/>
      <c r="E41" s="17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246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252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244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244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244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244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244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9" t="s">
        <v>248</v>
      </c>
      <c r="B54" s="160"/>
      <c r="C54" s="160"/>
      <c r="D54" s="160"/>
      <c r="E54" s="17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246</v>
      </c>
      <c r="O54" s="39">
        <v>981310</v>
      </c>
    </row>
    <row r="55" spans="1:15" ht="18" customHeight="1">
      <c r="A55" s="161" t="s">
        <v>249</v>
      </c>
      <c r="B55" s="162"/>
      <c r="C55" s="162"/>
      <c r="D55" s="162"/>
      <c r="E55" s="17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250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244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9" t="s">
        <v>245</v>
      </c>
      <c r="B68" s="160"/>
      <c r="C68" s="160"/>
      <c r="D68" s="160"/>
      <c r="E68" s="17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246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244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253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9" t="s">
        <v>248</v>
      </c>
      <c r="B81" s="160"/>
      <c r="C81" s="160"/>
      <c r="D81" s="160"/>
      <c r="E81" s="17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246</v>
      </c>
      <c r="O81" s="39">
        <v>1547910</v>
      </c>
    </row>
    <row r="82" spans="1:15" ht="18" customHeight="1">
      <c r="A82" s="161" t="s">
        <v>249</v>
      </c>
      <c r="B82" s="162"/>
      <c r="C82" s="162"/>
      <c r="D82" s="162"/>
      <c r="E82" s="17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250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244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244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254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9" t="s">
        <v>245</v>
      </c>
      <c r="B95" s="160"/>
      <c r="C95" s="160"/>
      <c r="D95" s="160"/>
      <c r="E95" s="17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246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255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9" t="s">
        <v>248</v>
      </c>
      <c r="B108" s="160"/>
      <c r="C108" s="160"/>
      <c r="D108" s="160"/>
      <c r="E108" s="17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246</v>
      </c>
      <c r="O108" s="39">
        <v>3156240</v>
      </c>
    </row>
    <row r="109" spans="1:15" ht="18" customHeight="1">
      <c r="A109" s="161" t="s">
        <v>249</v>
      </c>
      <c r="B109" s="162"/>
      <c r="C109" s="162"/>
      <c r="D109" s="162"/>
      <c r="E109" s="17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250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9" t="s">
        <v>245</v>
      </c>
      <c r="B122" s="160"/>
      <c r="C122" s="160"/>
      <c r="D122" s="160"/>
      <c r="E122" s="17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246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9" t="s">
        <v>248</v>
      </c>
      <c r="B135" s="160"/>
      <c r="C135" s="160"/>
      <c r="D135" s="160"/>
      <c r="E135" s="17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246</v>
      </c>
      <c r="O135" s="39">
        <v>2875180</v>
      </c>
    </row>
    <row r="136" spans="1:15" ht="18" customHeight="1">
      <c r="A136" s="161" t="s">
        <v>249</v>
      </c>
      <c r="B136" s="162"/>
      <c r="C136" s="162"/>
      <c r="D136" s="162"/>
      <c r="E136" s="17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250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256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244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244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244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9" t="s">
        <v>245</v>
      </c>
      <c r="B149" s="160"/>
      <c r="C149" s="160"/>
      <c r="D149" s="160"/>
      <c r="E149" s="17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246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244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257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244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244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244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9" t="s">
        <v>248</v>
      </c>
      <c r="B162" s="160"/>
      <c r="C162" s="160"/>
      <c r="D162" s="160"/>
      <c r="E162" s="17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246</v>
      </c>
      <c r="O162" s="44">
        <v>842000</v>
      </c>
    </row>
    <row r="163" spans="1:15" ht="18" customHeight="1">
      <c r="A163" s="161" t="s">
        <v>249</v>
      </c>
      <c r="B163" s="162"/>
      <c r="C163" s="162"/>
      <c r="D163" s="162"/>
      <c r="E163" s="17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250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258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244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9" t="s">
        <v>245</v>
      </c>
      <c r="B176" s="160"/>
      <c r="C176" s="160"/>
      <c r="D176" s="160"/>
      <c r="E176" s="17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246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259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9" t="s">
        <v>248</v>
      </c>
      <c r="B189" s="160"/>
      <c r="C189" s="160"/>
      <c r="D189" s="160"/>
      <c r="E189" s="17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246</v>
      </c>
      <c r="O189" s="39">
        <v>1901630</v>
      </c>
    </row>
    <row r="190" spans="1:15" ht="18" customHeight="1">
      <c r="A190" s="161" t="s">
        <v>249</v>
      </c>
      <c r="B190" s="162"/>
      <c r="C190" s="162"/>
      <c r="D190" s="162"/>
      <c r="E190" s="17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250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244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244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261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9" t="s">
        <v>245</v>
      </c>
      <c r="B203" s="160"/>
      <c r="C203" s="160"/>
      <c r="D203" s="160"/>
      <c r="E203" s="17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246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9" t="s">
        <v>248</v>
      </c>
      <c r="B216" s="160"/>
      <c r="C216" s="160"/>
      <c r="D216" s="160"/>
      <c r="E216" s="17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246</v>
      </c>
      <c r="O216" s="45">
        <v>1852295</v>
      </c>
    </row>
    <row r="217" spans="1:15" ht="18" customHeight="1">
      <c r="A217" s="161" t="s">
        <v>249</v>
      </c>
      <c r="B217" s="162"/>
      <c r="C217" s="162"/>
      <c r="D217" s="162"/>
      <c r="E217" s="173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250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244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244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262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3" t="s">
        <v>245</v>
      </c>
      <c r="B230" s="164"/>
      <c r="C230" s="164"/>
      <c r="D230" s="164"/>
      <c r="E230" s="174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246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244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244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9" t="s">
        <v>248</v>
      </c>
      <c r="B243" s="160"/>
      <c r="C243" s="160"/>
      <c r="D243" s="160"/>
      <c r="E243" s="17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246</v>
      </c>
      <c r="O243" s="39">
        <v>991010</v>
      </c>
    </row>
    <row r="244" spans="1:15" ht="18" customHeight="1">
      <c r="A244" s="161" t="s">
        <v>249</v>
      </c>
      <c r="B244" s="162"/>
      <c r="C244" s="162"/>
      <c r="D244" s="162"/>
      <c r="E244" s="173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250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244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244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244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264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244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244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244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244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244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9" t="s">
        <v>245</v>
      </c>
      <c r="B257" s="160"/>
      <c r="C257" s="160"/>
      <c r="D257" s="160"/>
      <c r="E257" s="17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246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265</v>
      </c>
      <c r="E258" s="62" t="s">
        <v>244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265</v>
      </c>
      <c r="E259" s="62" t="s">
        <v>244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265</v>
      </c>
      <c r="E260" s="62" t="s">
        <v>244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265</v>
      </c>
      <c r="E261" s="62" t="s">
        <v>244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265</v>
      </c>
      <c r="E262" s="62" t="s">
        <v>244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265</v>
      </c>
      <c r="E263" s="62" t="s">
        <v>244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265</v>
      </c>
      <c r="E264" s="62" t="s">
        <v>244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265</v>
      </c>
      <c r="E265" s="62" t="s">
        <v>244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265</v>
      </c>
      <c r="E266" s="62" t="s">
        <v>244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265</v>
      </c>
      <c r="E267" s="62" t="s">
        <v>244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265</v>
      </c>
      <c r="E268" s="62" t="s">
        <v>244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265</v>
      </c>
      <c r="E269" s="62" t="s">
        <v>244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9" t="s">
        <v>248</v>
      </c>
      <c r="B270" s="160"/>
      <c r="C270" s="160"/>
      <c r="D270" s="160"/>
      <c r="E270" s="17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246</v>
      </c>
      <c r="O270" s="39">
        <v>1544700</v>
      </c>
    </row>
    <row r="271" spans="1:15" ht="18" customHeight="1">
      <c r="A271" s="161" t="s">
        <v>249</v>
      </c>
      <c r="B271" s="162"/>
      <c r="C271" s="162"/>
      <c r="D271" s="162"/>
      <c r="E271" s="173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250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265</v>
      </c>
      <c r="E272" s="59" t="s">
        <v>244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265</v>
      </c>
      <c r="E273" s="59" t="s">
        <v>244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265</v>
      </c>
      <c r="E274" s="59" t="s">
        <v>244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265</v>
      </c>
      <c r="E275" s="59" t="s">
        <v>244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265</v>
      </c>
      <c r="E276" s="59" t="s">
        <v>244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265</v>
      </c>
      <c r="E277" s="59" t="s">
        <v>244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266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265</v>
      </c>
      <c r="E278" s="59" t="s">
        <v>244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265</v>
      </c>
      <c r="E279" s="59" t="s">
        <v>244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265</v>
      </c>
      <c r="E280" s="59" t="s">
        <v>244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265</v>
      </c>
      <c r="E281" s="59" t="s">
        <v>244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265</v>
      </c>
      <c r="E282" s="59" t="s">
        <v>244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265</v>
      </c>
      <c r="E283" s="59" t="s">
        <v>244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9" t="s">
        <v>245</v>
      </c>
      <c r="B284" s="160"/>
      <c r="C284" s="160"/>
      <c r="D284" s="160"/>
      <c r="E284" s="17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246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265</v>
      </c>
      <c r="E285" s="62" t="s">
        <v>260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265</v>
      </c>
      <c r="E286" s="62" t="s">
        <v>260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265</v>
      </c>
      <c r="E287" s="62" t="s">
        <v>260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265</v>
      </c>
      <c r="E288" s="62" t="s">
        <v>260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265</v>
      </c>
      <c r="E289" s="62" t="s">
        <v>260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265</v>
      </c>
      <c r="E290" s="62" t="s">
        <v>260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265</v>
      </c>
      <c r="E291" s="62" t="s">
        <v>260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265</v>
      </c>
      <c r="E292" s="62" t="s">
        <v>260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265</v>
      </c>
      <c r="E293" s="62" t="s">
        <v>260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265</v>
      </c>
      <c r="E294" s="62" t="s">
        <v>260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265</v>
      </c>
      <c r="E295" s="62" t="s">
        <v>260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265</v>
      </c>
      <c r="E296" s="62" t="s">
        <v>260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9" t="s">
        <v>248</v>
      </c>
      <c r="B297" s="160"/>
      <c r="C297" s="160"/>
      <c r="D297" s="160"/>
      <c r="E297" s="17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246</v>
      </c>
      <c r="O297" s="39">
        <v>1715230</v>
      </c>
    </row>
    <row r="298" spans="1:15" ht="18" customHeight="1">
      <c r="A298" s="161" t="s">
        <v>249</v>
      </c>
      <c r="B298" s="162"/>
      <c r="C298" s="162"/>
      <c r="D298" s="162"/>
      <c r="E298" s="173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250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244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244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244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244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267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244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244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244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244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244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244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244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244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9" t="s">
        <v>245</v>
      </c>
      <c r="B311" s="160"/>
      <c r="C311" s="160"/>
      <c r="D311" s="160"/>
      <c r="E311" s="17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246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244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244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244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244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244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244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244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244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244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244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244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244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9" t="s">
        <v>248</v>
      </c>
      <c r="B324" s="160"/>
      <c r="C324" s="160"/>
      <c r="D324" s="160"/>
      <c r="E324" s="17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246</v>
      </c>
      <c r="O324" s="39">
        <v>2216340</v>
      </c>
    </row>
    <row r="325" spans="1:15" ht="18" customHeight="1">
      <c r="A325" s="161" t="s">
        <v>249</v>
      </c>
      <c r="B325" s="162"/>
      <c r="C325" s="162"/>
      <c r="D325" s="162"/>
      <c r="E325" s="173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250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268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244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244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244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269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244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244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244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244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9" t="s">
        <v>245</v>
      </c>
      <c r="B338" s="160"/>
      <c r="C338" s="160"/>
      <c r="D338" s="160"/>
      <c r="E338" s="17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246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244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244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244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244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244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244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244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244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244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244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244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244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9" t="s">
        <v>248</v>
      </c>
      <c r="B351" s="160"/>
      <c r="C351" s="160"/>
      <c r="D351" s="160"/>
      <c r="E351" s="17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246</v>
      </c>
      <c r="O351" s="39">
        <v>2154990</v>
      </c>
    </row>
    <row r="352" spans="1:15" ht="18" customHeight="1">
      <c r="A352" s="161" t="s">
        <v>249</v>
      </c>
      <c r="B352" s="162"/>
      <c r="C352" s="162"/>
      <c r="D352" s="162"/>
      <c r="E352" s="173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250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244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244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244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244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244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244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260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244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244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244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244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244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9" t="s">
        <v>245</v>
      </c>
      <c r="B365" s="160"/>
      <c r="C365" s="160"/>
      <c r="D365" s="160"/>
      <c r="E365" s="17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246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244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244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244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244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244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244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244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244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244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244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244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244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9" t="s">
        <v>248</v>
      </c>
      <c r="B378" s="160"/>
      <c r="C378" s="160"/>
      <c r="D378" s="160"/>
      <c r="E378" s="17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246</v>
      </c>
      <c r="O378" s="39">
        <v>2614830</v>
      </c>
    </row>
    <row r="379" spans="1:15" ht="18" customHeight="1">
      <c r="A379" s="161" t="s">
        <v>249</v>
      </c>
      <c r="B379" s="162"/>
      <c r="C379" s="162"/>
      <c r="D379" s="162"/>
      <c r="E379" s="173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250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244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244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244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244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244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244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244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244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244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244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244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244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9" t="s">
        <v>245</v>
      </c>
      <c r="B392" s="160"/>
      <c r="C392" s="160"/>
      <c r="D392" s="160"/>
      <c r="E392" s="17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246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244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270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244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244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244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244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244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244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244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244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244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244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244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9" t="s">
        <v>248</v>
      </c>
      <c r="B405" s="160"/>
      <c r="C405" s="160"/>
      <c r="D405" s="160"/>
      <c r="E405" s="17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246</v>
      </c>
      <c r="O405" s="39">
        <v>2612000</v>
      </c>
    </row>
    <row r="406" spans="1:15" ht="18" customHeight="1">
      <c r="A406" s="161" t="s">
        <v>249</v>
      </c>
      <c r="B406" s="162"/>
      <c r="C406" s="162"/>
      <c r="D406" s="162"/>
      <c r="E406" s="173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250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244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244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244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244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244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244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244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244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244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244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244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244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9" t="s">
        <v>245</v>
      </c>
      <c r="B419" s="160"/>
      <c r="C419" s="160"/>
      <c r="D419" s="160"/>
      <c r="E419" s="17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246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244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226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244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141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271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244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141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271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244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244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244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244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244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244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244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244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244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9" t="s">
        <v>248</v>
      </c>
      <c r="B432" s="160"/>
      <c r="C432" s="160"/>
      <c r="D432" s="160"/>
      <c r="E432" s="17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246</v>
      </c>
      <c r="O432" s="39">
        <v>2266710</v>
      </c>
    </row>
    <row r="433" spans="1:15" ht="18" customHeight="1">
      <c r="A433" s="161" t="s">
        <v>249</v>
      </c>
      <c r="B433" s="162"/>
      <c r="C433" s="162"/>
      <c r="D433" s="162"/>
      <c r="E433" s="173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250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244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164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244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244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244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244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244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244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244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244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244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244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244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9" t="s">
        <v>245</v>
      </c>
      <c r="B446" s="160"/>
      <c r="C446" s="160"/>
      <c r="D446" s="160"/>
      <c r="E446" s="17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246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244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244</v>
      </c>
      <c r="F448" s="27">
        <v>60</v>
      </c>
      <c r="G448" s="28">
        <f t="shared" si="94"/>
        <v>300</v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244</v>
      </c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244</v>
      </c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244</v>
      </c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244</v>
      </c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272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244</v>
      </c>
      <c r="F453" s="27"/>
      <c r="G453" s="151" t="str">
        <f>IF(F453="","",IF(E453="PC 17",F453*4.2,IF(E453="PC 19",F453*5,IF(E453="CB",F453*35,""))))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273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244</v>
      </c>
      <c r="F454" s="27"/>
      <c r="G454" s="28" t="str">
        <f>IF(F454="","",IF(E454="PC 17",F454*4.2,IF(E454="PC 19",F454*5,IF(E454="CB",F454*35,""))))</f>
        <v/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274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244</v>
      </c>
      <c r="F455" s="27"/>
      <c r="G455" s="151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244</v>
      </c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244</v>
      </c>
      <c r="F457" s="27"/>
      <c r="G457" s="151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244</v>
      </c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9" t="s">
        <v>248</v>
      </c>
      <c r="B459" s="160"/>
      <c r="C459" s="160"/>
      <c r="D459" s="160"/>
      <c r="E459" s="172">
        <f>SUM(E447:E458)</f>
        <v>0</v>
      </c>
      <c r="F459" s="36">
        <f>SUM(F447:F458)</f>
        <v>110</v>
      </c>
      <c r="G459" s="36">
        <f>SUM(G447:G458)</f>
        <v>550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246</v>
      </c>
      <c r="O459" s="39"/>
    </row>
    <row r="460" spans="1:15" ht="18" customHeight="1">
      <c r="A460" s="161" t="s">
        <v>249</v>
      </c>
      <c r="B460" s="162"/>
      <c r="C460" s="162"/>
      <c r="D460" s="162"/>
      <c r="E460" s="173">
        <f>E446+E459</f>
        <v>0</v>
      </c>
      <c r="F460" s="40">
        <f>F446+F459</f>
        <v>278</v>
      </c>
      <c r="G460" s="40">
        <f>G446+G459</f>
        <v>1390</v>
      </c>
      <c r="H460" s="41"/>
      <c r="I460" s="41"/>
      <c r="J460" s="41"/>
      <c r="K460" s="41"/>
      <c r="L460" s="41"/>
      <c r="M460" s="42">
        <f ca="1">IFERROR(M446+M459,"")</f>
        <v>0.12847222222222232</v>
      </c>
      <c r="N460" s="40" t="s">
        <v>250</v>
      </c>
      <c r="O460" s="48">
        <f>IFERROR(O446+O459,"")</f>
        <v>1619380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9" t="s">
        <v>245</v>
      </c>
      <c r="B473" s="160"/>
      <c r="C473" s="160"/>
      <c r="D473" s="160"/>
      <c r="E473" s="17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246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9" t="s">
        <v>248</v>
      </c>
      <c r="B486" s="160"/>
      <c r="C486" s="160"/>
      <c r="D486" s="160"/>
      <c r="E486" s="17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246</v>
      </c>
      <c r="O486" s="39"/>
    </row>
    <row r="487" spans="1:15" ht="18" customHeight="1">
      <c r="A487" s="161" t="s">
        <v>249</v>
      </c>
      <c r="B487" s="162"/>
      <c r="C487" s="162"/>
      <c r="D487" s="162"/>
      <c r="E487" s="17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250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9" t="s">
        <v>245</v>
      </c>
      <c r="B500" s="160"/>
      <c r="C500" s="160"/>
      <c r="D500" s="160"/>
      <c r="E500" s="17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246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9" t="s">
        <v>248</v>
      </c>
      <c r="B513" s="160"/>
      <c r="C513" s="160"/>
      <c r="D513" s="160"/>
      <c r="E513" s="17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246</v>
      </c>
      <c r="O513" s="39"/>
    </row>
    <row r="514" spans="1:15" ht="18" customHeight="1">
      <c r="A514" s="161" t="s">
        <v>249</v>
      </c>
      <c r="B514" s="162"/>
      <c r="C514" s="162"/>
      <c r="D514" s="162"/>
      <c r="E514" s="17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250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9" t="s">
        <v>245</v>
      </c>
      <c r="B527" s="160"/>
      <c r="C527" s="160"/>
      <c r="D527" s="160"/>
      <c r="E527" s="17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246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9" t="s">
        <v>248</v>
      </c>
      <c r="B540" s="160"/>
      <c r="C540" s="160"/>
      <c r="D540" s="160"/>
      <c r="E540" s="17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246</v>
      </c>
      <c r="O540" s="39"/>
    </row>
    <row r="541" spans="1:15" ht="18" customHeight="1">
      <c r="A541" s="161" t="s">
        <v>249</v>
      </c>
      <c r="B541" s="162"/>
      <c r="C541" s="162"/>
      <c r="D541" s="162"/>
      <c r="E541" s="17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250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9" t="s">
        <v>245</v>
      </c>
      <c r="B554" s="160"/>
      <c r="C554" s="160"/>
      <c r="D554" s="160"/>
      <c r="E554" s="17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246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9" t="s">
        <v>248</v>
      </c>
      <c r="B567" s="160"/>
      <c r="C567" s="160"/>
      <c r="D567" s="160"/>
      <c r="E567" s="17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246</v>
      </c>
      <c r="O567" s="39"/>
    </row>
    <row r="568" spans="1:15" ht="18" customHeight="1">
      <c r="A568" s="161" t="s">
        <v>249</v>
      </c>
      <c r="B568" s="162"/>
      <c r="C568" s="162"/>
      <c r="D568" s="162"/>
      <c r="E568" s="17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250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9" t="s">
        <v>245</v>
      </c>
      <c r="B581" s="160"/>
      <c r="C581" s="160"/>
      <c r="D581" s="160"/>
      <c r="E581" s="17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246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9" t="s">
        <v>248</v>
      </c>
      <c r="B594" s="160"/>
      <c r="C594" s="160"/>
      <c r="D594" s="160"/>
      <c r="E594" s="17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246</v>
      </c>
      <c r="O594" s="39"/>
    </row>
    <row r="595" spans="1:15" ht="18" customHeight="1">
      <c r="A595" s="161" t="s">
        <v>249</v>
      </c>
      <c r="B595" s="162"/>
      <c r="C595" s="162"/>
      <c r="D595" s="162"/>
      <c r="E595" s="17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250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9" t="s">
        <v>245</v>
      </c>
      <c r="B608" s="160"/>
      <c r="C608" s="160"/>
      <c r="D608" s="160"/>
      <c r="E608" s="17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246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9" t="s">
        <v>248</v>
      </c>
      <c r="B621" s="160"/>
      <c r="C621" s="160"/>
      <c r="D621" s="160"/>
      <c r="E621" s="17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246</v>
      </c>
      <c r="O621" s="39"/>
    </row>
    <row r="622" spans="1:15" ht="18" customHeight="1">
      <c r="A622" s="161" t="s">
        <v>249</v>
      </c>
      <c r="B622" s="162"/>
      <c r="C622" s="162"/>
      <c r="D622" s="162"/>
      <c r="E622" s="17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250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9" t="s">
        <v>245</v>
      </c>
      <c r="B635" s="160"/>
      <c r="C635" s="160"/>
      <c r="D635" s="160"/>
      <c r="E635" s="17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246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9" t="s">
        <v>248</v>
      </c>
      <c r="B648" s="160"/>
      <c r="C648" s="160"/>
      <c r="D648" s="160"/>
      <c r="E648" s="17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246</v>
      </c>
      <c r="O648" s="39"/>
    </row>
    <row r="649" spans="1:15" ht="18" customHeight="1">
      <c r="A649" s="161" t="s">
        <v>249</v>
      </c>
      <c r="B649" s="162"/>
      <c r="C649" s="162"/>
      <c r="D649" s="162"/>
      <c r="E649" s="17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250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9" t="s">
        <v>245</v>
      </c>
      <c r="B662" s="160"/>
      <c r="C662" s="160"/>
      <c r="D662" s="160"/>
      <c r="E662" s="17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246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9" t="s">
        <v>248</v>
      </c>
      <c r="B675" s="160"/>
      <c r="C675" s="160"/>
      <c r="D675" s="160"/>
      <c r="E675" s="17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246</v>
      </c>
      <c r="O675" s="39"/>
    </row>
    <row r="676" spans="1:15" ht="18" customHeight="1">
      <c r="A676" s="161" t="s">
        <v>249</v>
      </c>
      <c r="B676" s="162"/>
      <c r="C676" s="162"/>
      <c r="D676" s="162"/>
      <c r="E676" s="17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250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9" t="s">
        <v>245</v>
      </c>
      <c r="B689" s="160"/>
      <c r="C689" s="160"/>
      <c r="D689" s="160"/>
      <c r="E689" s="17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246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9" t="s">
        <v>248</v>
      </c>
      <c r="B702" s="160"/>
      <c r="C702" s="160"/>
      <c r="D702" s="160"/>
      <c r="E702" s="17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246</v>
      </c>
      <c r="O702" s="39"/>
    </row>
    <row r="703" spans="1:15" ht="18" customHeight="1">
      <c r="A703" s="161" t="s">
        <v>249</v>
      </c>
      <c r="B703" s="162"/>
      <c r="C703" s="162"/>
      <c r="D703" s="162"/>
      <c r="E703" s="17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250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9" t="s">
        <v>245</v>
      </c>
      <c r="B716" s="160"/>
      <c r="C716" s="160"/>
      <c r="D716" s="160"/>
      <c r="E716" s="17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246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9" t="s">
        <v>248</v>
      </c>
      <c r="B729" s="160"/>
      <c r="C729" s="160"/>
      <c r="D729" s="160"/>
      <c r="E729" s="17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246</v>
      </c>
      <c r="O729" s="39"/>
    </row>
    <row r="730" spans="1:15" ht="18" customHeight="1">
      <c r="A730" s="161" t="s">
        <v>249</v>
      </c>
      <c r="B730" s="162"/>
      <c r="C730" s="162"/>
      <c r="D730" s="162"/>
      <c r="E730" s="17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250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9" t="s">
        <v>245</v>
      </c>
      <c r="B743" s="160"/>
      <c r="C743" s="160"/>
      <c r="D743" s="160"/>
      <c r="E743" s="17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246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9" t="s">
        <v>248</v>
      </c>
      <c r="B756" s="160"/>
      <c r="C756" s="160"/>
      <c r="D756" s="160"/>
      <c r="E756" s="17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246</v>
      </c>
      <c r="O756" s="39"/>
    </row>
    <row r="757" spans="1:15" ht="18" customHeight="1">
      <c r="A757" s="161" t="s">
        <v>249</v>
      </c>
      <c r="B757" s="162"/>
      <c r="C757" s="162"/>
      <c r="D757" s="162"/>
      <c r="E757" s="17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250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9" t="s">
        <v>245</v>
      </c>
      <c r="B770" s="160"/>
      <c r="C770" s="160"/>
      <c r="D770" s="160"/>
      <c r="E770" s="17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246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9" t="s">
        <v>248</v>
      </c>
      <c r="B783" s="160"/>
      <c r="C783" s="160"/>
      <c r="D783" s="160"/>
      <c r="E783" s="17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246</v>
      </c>
      <c r="O783" s="39"/>
    </row>
    <row r="784" spans="1:15" ht="18" customHeight="1">
      <c r="A784" s="161" t="s">
        <v>249</v>
      </c>
      <c r="B784" s="162"/>
      <c r="C784" s="162"/>
      <c r="D784" s="162"/>
      <c r="E784" s="17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250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9" t="s">
        <v>245</v>
      </c>
      <c r="B797" s="160"/>
      <c r="C797" s="160"/>
      <c r="D797" s="160"/>
      <c r="E797" s="17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246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9" t="s">
        <v>248</v>
      </c>
      <c r="B810" s="160"/>
      <c r="C810" s="160"/>
      <c r="D810" s="160"/>
      <c r="E810" s="17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246</v>
      </c>
      <c r="O810" s="39"/>
    </row>
    <row r="811" spans="1:15" ht="18" customHeight="1">
      <c r="A811" s="175" t="s">
        <v>249</v>
      </c>
      <c r="B811" s="176"/>
      <c r="C811" s="176"/>
      <c r="D811" s="176"/>
      <c r="E811" s="177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250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9" t="s">
        <v>245</v>
      </c>
      <c r="B824" s="160"/>
      <c r="C824" s="160"/>
      <c r="D824" s="160"/>
      <c r="E824" s="17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246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9" t="s">
        <v>248</v>
      </c>
      <c r="B837" s="160"/>
      <c r="C837" s="160"/>
      <c r="D837" s="160"/>
      <c r="E837" s="17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246</v>
      </c>
      <c r="O837" s="39"/>
    </row>
    <row r="838" spans="1:15" ht="18" customHeight="1">
      <c r="A838" s="161" t="s">
        <v>249</v>
      </c>
      <c r="B838" s="162"/>
      <c r="C838" s="162"/>
      <c r="D838" s="162"/>
      <c r="E838" s="17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27" activePane="bottomLeft" state="frozen"/>
      <selection pane="bottomLeft" activeCell="N448" sqref="N448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234</v>
      </c>
      <c r="C1" s="23" t="s">
        <v>17</v>
      </c>
      <c r="D1" s="22" t="s">
        <v>18</v>
      </c>
      <c r="E1" s="22" t="s">
        <v>235</v>
      </c>
      <c r="F1" s="133" t="s">
        <v>19</v>
      </c>
      <c r="G1" s="23" t="s">
        <v>236</v>
      </c>
      <c r="H1" s="133" t="s">
        <v>275</v>
      </c>
      <c r="I1" s="133" t="s">
        <v>20</v>
      </c>
      <c r="J1" s="133" t="s">
        <v>276</v>
      </c>
      <c r="K1" s="23" t="s">
        <v>237</v>
      </c>
      <c r="L1" s="23" t="s">
        <v>21</v>
      </c>
      <c r="M1" s="23" t="s">
        <v>22</v>
      </c>
      <c r="N1" s="23" t="s">
        <v>238</v>
      </c>
      <c r="O1" s="23" t="s">
        <v>239</v>
      </c>
      <c r="P1" s="23" t="s">
        <v>240</v>
      </c>
      <c r="Q1" s="24" t="s">
        <v>241</v>
      </c>
      <c r="R1" s="23" t="s">
        <v>242</v>
      </c>
      <c r="S1" s="23" t="s">
        <v>243</v>
      </c>
      <c r="T1" s="23" t="s">
        <v>276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260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277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260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260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260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278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260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279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260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260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260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260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260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260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260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9" t="s">
        <v>245</v>
      </c>
      <c r="B14" s="160"/>
      <c r="C14" s="160"/>
      <c r="D14" s="160"/>
      <c r="E14" s="160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246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260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260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260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260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260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280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260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281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260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260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260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260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260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260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9" t="s">
        <v>248</v>
      </c>
      <c r="B27" s="160"/>
      <c r="C27" s="160"/>
      <c r="D27" s="160"/>
      <c r="E27" s="160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246</v>
      </c>
      <c r="S27" s="45">
        <v>549860</v>
      </c>
      <c r="T27" s="122"/>
    </row>
    <row r="28" spans="1:20" ht="18" customHeight="1">
      <c r="A28" s="161" t="s">
        <v>249</v>
      </c>
      <c r="B28" s="162"/>
      <c r="C28" s="162"/>
      <c r="D28" s="162"/>
      <c r="E28" s="162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250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260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260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260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260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260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260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260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260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260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260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260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260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9" t="s">
        <v>245</v>
      </c>
      <c r="B41" s="160"/>
      <c r="C41" s="160"/>
      <c r="D41" s="160"/>
      <c r="E41" s="160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246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260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260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260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260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260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260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260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282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260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283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260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260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260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284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260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0.76354814814840211</v>
      </c>
      <c r="R53" s="46" t="s">
        <v>285</v>
      </c>
      <c r="S53" s="31"/>
    </row>
    <row r="54" spans="1:20" ht="15.75" customHeight="1" thickBot="1">
      <c r="A54" s="159" t="s">
        <v>248</v>
      </c>
      <c r="B54" s="160"/>
      <c r="C54" s="160"/>
      <c r="D54" s="160"/>
      <c r="E54" s="160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0.90243703703729095</v>
      </c>
      <c r="R54" s="36" t="s">
        <v>246</v>
      </c>
      <c r="S54" s="75">
        <v>352430</v>
      </c>
      <c r="T54" s="117"/>
    </row>
    <row r="55" spans="1:20" ht="18" customHeight="1">
      <c r="A55" s="161" t="s">
        <v>249</v>
      </c>
      <c r="B55" s="162"/>
      <c r="C55" s="162"/>
      <c r="D55" s="162"/>
      <c r="E55" s="162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0.98715925925951331</v>
      </c>
      <c r="R55" s="40" t="s">
        <v>250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260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260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260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260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260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260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260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260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277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260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260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260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260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9" t="s">
        <v>245</v>
      </c>
      <c r="B68" s="160"/>
      <c r="C68" s="160"/>
      <c r="D68" s="160"/>
      <c r="E68" s="160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246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260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260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260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260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260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260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260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260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286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260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260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260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260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9" t="s">
        <v>248</v>
      </c>
      <c r="B81" s="160"/>
      <c r="C81" s="160"/>
      <c r="D81" s="160"/>
      <c r="E81" s="160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246</v>
      </c>
      <c r="S81" s="54">
        <v>634210</v>
      </c>
      <c r="T81" s="118"/>
    </row>
    <row r="82" spans="1:20" ht="18" customHeight="1">
      <c r="A82" s="161" t="s">
        <v>249</v>
      </c>
      <c r="B82" s="162"/>
      <c r="C82" s="162"/>
      <c r="D82" s="162"/>
      <c r="E82" s="162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250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260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260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260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260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260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260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260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260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260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260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260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260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9" t="s">
        <v>245</v>
      </c>
      <c r="B95" s="160"/>
      <c r="C95" s="160"/>
      <c r="D95" s="160"/>
      <c r="E95" s="160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246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260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287</v>
      </c>
      <c r="Q96" s="30" t="str">
        <f t="shared" ref="Q96:Q107" ca="1" si="22">IFERROR(IF(O96="","",IF(P96="",MOD(NOW()-O96,1),IF(P96&gt;=O96,P96-O96,P96+1-O96))),"")</f>
        <v/>
      </c>
      <c r="R96" s="46" t="s">
        <v>288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260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247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260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289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260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290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260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247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260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260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260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260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260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260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260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9" t="s">
        <v>248</v>
      </c>
      <c r="B108" s="160"/>
      <c r="C108" s="160"/>
      <c r="D108" s="160"/>
      <c r="E108" s="160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246</v>
      </c>
      <c r="S108" s="54">
        <v>456830</v>
      </c>
      <c r="T108" s="118"/>
    </row>
    <row r="109" spans="1:20" ht="18" customHeight="1">
      <c r="A109" s="161" t="s">
        <v>249</v>
      </c>
      <c r="B109" s="162"/>
      <c r="C109" s="162"/>
      <c r="D109" s="162"/>
      <c r="E109" s="162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250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260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260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291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260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260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260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260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260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260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260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260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260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260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9" t="s">
        <v>245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246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260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260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260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260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260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260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260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260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260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260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260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260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9" t="s">
        <v>248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246</v>
      </c>
      <c r="S135" s="54">
        <v>756720</v>
      </c>
      <c r="T135" s="118"/>
    </row>
    <row r="136" spans="1:20" ht="18" customHeight="1">
      <c r="A136" s="161" t="s">
        <v>249</v>
      </c>
      <c r="B136" s="162"/>
      <c r="C136" s="162"/>
      <c r="D136" s="162"/>
      <c r="E136" s="162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250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260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260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260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292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260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260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293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260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260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260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260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294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260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260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260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9" t="s">
        <v>245</v>
      </c>
      <c r="B149" s="160"/>
      <c r="C149" s="160"/>
      <c r="D149" s="160"/>
      <c r="E149" s="160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246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260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260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295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260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260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260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260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260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260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260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260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260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260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9" t="s">
        <v>248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246</v>
      </c>
      <c r="S162" s="54">
        <v>501750</v>
      </c>
      <c r="T162" s="118"/>
    </row>
    <row r="163" spans="1:20" ht="18" customHeight="1">
      <c r="A163" s="161" t="s">
        <v>249</v>
      </c>
      <c r="B163" s="162"/>
      <c r="C163" s="162"/>
      <c r="D163" s="162"/>
      <c r="E163" s="162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250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260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260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260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260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260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260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260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260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260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260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260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260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9" t="s">
        <v>245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246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260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260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260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260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260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296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260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260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297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260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260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260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260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260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9" t="s">
        <v>248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246</v>
      </c>
      <c r="S189" s="45">
        <v>362530</v>
      </c>
      <c r="T189" s="122"/>
    </row>
    <row r="190" spans="1:20" ht="18" customHeight="1">
      <c r="A190" s="161" t="s">
        <v>249</v>
      </c>
      <c r="B190" s="162"/>
      <c r="C190" s="162"/>
      <c r="D190" s="162"/>
      <c r="E190" s="162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250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260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298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260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260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260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260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291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260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260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260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260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260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260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260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9" t="s">
        <v>245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246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260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260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260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260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260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260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260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260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260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260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260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260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9" t="s">
        <v>248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246</v>
      </c>
      <c r="S216" s="45">
        <v>609740</v>
      </c>
      <c r="T216" s="122"/>
    </row>
    <row r="217" spans="1:20" ht="18" customHeight="1">
      <c r="A217" s="161" t="s">
        <v>249</v>
      </c>
      <c r="B217" s="162"/>
      <c r="C217" s="162"/>
      <c r="D217" s="162"/>
      <c r="E217" s="162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250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260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286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260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260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247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260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299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244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260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300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260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301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260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260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260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260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260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3" t="s">
        <v>245</v>
      </c>
      <c r="B230" s="164"/>
      <c r="C230" s="164"/>
      <c r="D230" s="164"/>
      <c r="E230" s="164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246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260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247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244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260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244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244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244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244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244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244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244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244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244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9" t="s">
        <v>248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246</v>
      </c>
      <c r="S243" s="45">
        <v>825930</v>
      </c>
      <c r="T243" s="122"/>
    </row>
    <row r="244" spans="1:20" ht="18" customHeight="1">
      <c r="A244" s="161" t="s">
        <v>249</v>
      </c>
      <c r="B244" s="162"/>
      <c r="C244" s="162"/>
      <c r="D244" s="162"/>
      <c r="E244" s="162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250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244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244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244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244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260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260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260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260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260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260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260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260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9" t="s">
        <v>245</v>
      </c>
      <c r="B257" s="160"/>
      <c r="C257" s="160"/>
      <c r="D257" s="160"/>
      <c r="E257" s="160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246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260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260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260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260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260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260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260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260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260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260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260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260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9" t="s">
        <v>248</v>
      </c>
      <c r="B270" s="160"/>
      <c r="C270" s="160"/>
      <c r="D270" s="160"/>
      <c r="E270" s="160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246</v>
      </c>
      <c r="S270" s="45">
        <v>732130</v>
      </c>
      <c r="T270" s="122"/>
    </row>
    <row r="271" spans="1:20" ht="18" customHeight="1">
      <c r="A271" s="161" t="s">
        <v>249</v>
      </c>
      <c r="B271" s="162"/>
      <c r="C271" s="162"/>
      <c r="D271" s="162"/>
      <c r="E271" s="162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250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260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260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260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260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260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260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260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260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260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260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244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260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9" t="s">
        <v>245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246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244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244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260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260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244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244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244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244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244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244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244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244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9" t="s">
        <v>248</v>
      </c>
      <c r="B297" s="160"/>
      <c r="C297" s="160"/>
      <c r="D297" s="160"/>
      <c r="E297" s="160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246</v>
      </c>
      <c r="S297" s="45">
        <v>990260</v>
      </c>
      <c r="T297" s="122"/>
    </row>
    <row r="298" spans="1:20" ht="18" customHeight="1">
      <c r="A298" s="161" t="s">
        <v>249</v>
      </c>
      <c r="B298" s="162"/>
      <c r="C298" s="162"/>
      <c r="D298" s="162"/>
      <c r="E298" s="162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250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260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260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260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260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260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260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260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260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260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260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260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260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9" t="s">
        <v>245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246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260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260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260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260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260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260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260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260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260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260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260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260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9" t="s">
        <v>248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246</v>
      </c>
      <c r="S324" s="149">
        <v>725030</v>
      </c>
      <c r="T324" s="122">
        <f>IFERROR(J324,"")</f>
        <v>104.40432</v>
      </c>
    </row>
    <row r="325" spans="1:20" ht="18" customHeight="1">
      <c r="A325" s="161" t="s">
        <v>249</v>
      </c>
      <c r="B325" s="162"/>
      <c r="C325" s="162"/>
      <c r="D325" s="162"/>
      <c r="E325" s="162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250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244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302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244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244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303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244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304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244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244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305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260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306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260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260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260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260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260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9" t="s">
        <v>245</v>
      </c>
      <c r="B338" s="160"/>
      <c r="C338" s="160"/>
      <c r="D338" s="160"/>
      <c r="E338" s="160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246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260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260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260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298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260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260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293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260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260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260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260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260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260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260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9" t="s">
        <v>248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246</v>
      </c>
      <c r="S351" s="45">
        <v>712170</v>
      </c>
      <c r="T351" s="122">
        <f>IFERROR(J351,"")</f>
        <v>149.5557</v>
      </c>
    </row>
    <row r="352" spans="1:20" ht="18" customHeight="1">
      <c r="A352" s="161" t="s">
        <v>249</v>
      </c>
      <c r="B352" s="162"/>
      <c r="C352" s="162"/>
      <c r="D352" s="162"/>
      <c r="E352" s="162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250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260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286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260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260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260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260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260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260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260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260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260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260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260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9" t="s">
        <v>245</v>
      </c>
      <c r="B365" s="160"/>
      <c r="C365" s="160"/>
      <c r="D365" s="160"/>
      <c r="E365" s="160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246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260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260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307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260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260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260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260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260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260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260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260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260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260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9" t="s">
        <v>248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246</v>
      </c>
      <c r="S378" s="45">
        <v>806300</v>
      </c>
      <c r="T378" s="122">
        <f>IFERROR(J378,"")</f>
        <v>169.32299999999998</v>
      </c>
    </row>
    <row r="379" spans="1:20" ht="18" customHeight="1">
      <c r="A379" s="161" t="s">
        <v>249</v>
      </c>
      <c r="B379" s="162"/>
      <c r="C379" s="162"/>
      <c r="D379" s="162"/>
      <c r="E379" s="162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250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260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260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260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260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260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260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308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260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260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260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260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260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260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9" t="s">
        <v>245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246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260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260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260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260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309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260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260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260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260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260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260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260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260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9" t="s">
        <v>248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246</v>
      </c>
      <c r="S405" s="45">
        <v>774540</v>
      </c>
      <c r="T405" s="122">
        <f>IFERROR(J405,"")</f>
        <v>156.22852721311477</v>
      </c>
    </row>
    <row r="406" spans="1:20" ht="18" customHeight="1">
      <c r="A406" s="161" t="s">
        <v>249</v>
      </c>
      <c r="B406" s="162"/>
      <c r="C406" s="162"/>
      <c r="D406" s="162"/>
      <c r="E406" s="162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250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260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260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260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260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260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260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260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260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260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260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260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260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9" t="s">
        <v>245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246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260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310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260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260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260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260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260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260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167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260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260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260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260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260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248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246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249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250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260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311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260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145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260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260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260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260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312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260</v>
      </c>
      <c r="F441" s="134">
        <f>IFERROR(IF($D441="","",VLOOKUP($D441,Cadastro!$C$4:$E$7,3,FALSE)),"")</f>
        <v>0.35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2.5257374999999995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260</v>
      </c>
      <c r="F442" s="134">
        <f>IFERROR(IF($D442="","",VLOOKUP($D442,Cadastro!$C$4:$E$7,3,FALSE)),"")</f>
        <v>0.35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7.5772124999999999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260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260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260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9" t="s">
        <v>245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94.294199999999989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246</v>
      </c>
      <c r="S446" s="45">
        <v>449020</v>
      </c>
      <c r="T446" s="122">
        <f>IFERROR(J446,"")</f>
        <v>94.294199999999989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260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260</v>
      </c>
      <c r="F448" s="134">
        <f>IFERROR(IF($D448="","",VLOOKUP($D448,Cadastro!$C$4:$E$7,3,FALSE)),"")</f>
        <v>0.35</v>
      </c>
      <c r="G448" s="105"/>
      <c r="H448" s="134" t="str">
        <f>IFERROR(IF($G448="","",$G448*$S$459/$G$459/Cadastro!$E$33),"")</f>
        <v/>
      </c>
      <c r="I448" s="135">
        <f>IFERROR(IF($D448="","",VLOOKUP($D448,Cadastro!$C$4:$G$7,5,FALSE)),"")</f>
        <v>0.6</v>
      </c>
      <c r="J448" s="136" t="str">
        <f t="shared" si="110"/>
        <v/>
      </c>
      <c r="K448" s="28" t="str">
        <f t="shared" si="111"/>
        <v/>
      </c>
      <c r="L448" s="26" t="s">
        <v>27</v>
      </c>
      <c r="M448" s="26" t="s">
        <v>130</v>
      </c>
      <c r="N448" s="26" t="s">
        <v>217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260</v>
      </c>
      <c r="F449" s="134">
        <f>IFERROR(IF($D449="","",VLOOKUP($D449,Cadastro!$C$4:$E$7,3,FALSE)),"")</f>
        <v>0.35</v>
      </c>
      <c r="G449" s="105"/>
      <c r="H449" s="134" t="str">
        <f>IFERROR(IF($G449="","",$G449*$S$459/$G$459/Cadastro!$E$33),"")</f>
        <v/>
      </c>
      <c r="I449" s="135">
        <f>IFERROR(IF($D449="","",VLOOKUP($D449,Cadastro!$C$4:$G$7,5,FALSE)),"")</f>
        <v>0.6</v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09" t="s">
        <v>260</v>
      </c>
      <c r="F450" s="134">
        <f>IFERROR(IF($D450="","",VLOOKUP($D450,Cadastro!$C$4:$E$7,3,FALSE)),"")</f>
        <v>0.35</v>
      </c>
      <c r="G450" s="105"/>
      <c r="H450" s="134" t="str">
        <f>IFERROR(IF($G450="","",$G450*$S$459/$G$459/Cadastro!$E$33),"")</f>
        <v/>
      </c>
      <c r="I450" s="135">
        <f>IFERROR(IF($D450="","",VLOOKUP($D450,Cadastro!$C$4:$G$7,5,FALSE)),"")</f>
        <v>0.6</v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260</v>
      </c>
      <c r="F451" s="134">
        <f>IFERROR(IF($D451="","",VLOOKUP($D451,Cadastro!$C$4:$E$7,3,FALSE)),"")</f>
        <v>0.35</v>
      </c>
      <c r="G451" s="105"/>
      <c r="H451" s="134" t="str">
        <f>IFERROR(IF($G451="","",$G451*$S$459/$G$459/Cadastro!$E$33),"")</f>
        <v/>
      </c>
      <c r="I451" s="135">
        <f>IFERROR(IF($D451="","",VLOOKUP($D451,Cadastro!$C$4:$G$7,5,FALSE)),"")</f>
        <v>0.6</v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260</v>
      </c>
      <c r="F452" s="134">
        <f>IFERROR(IF($D452="","",VLOOKUP($D452,Cadastro!$C$4:$E$7,3,FALSE)),"")</f>
        <v>0.35</v>
      </c>
      <c r="G452" s="105"/>
      <c r="H452" s="134" t="str">
        <f>IFERROR(IF($G452="","",$G452*$S$459/$G$459/Cadastro!$E$33),"")</f>
        <v/>
      </c>
      <c r="I452" s="135">
        <f>IFERROR(IF($D452="","",VLOOKUP($D452,Cadastro!$C$4:$G$7,5,FALSE)),"")</f>
        <v>0.6</v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260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260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260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260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260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260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9" t="s">
        <v>248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8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33.6</v>
      </c>
      <c r="L459" s="37"/>
      <c r="M459" s="37"/>
      <c r="N459" s="37"/>
      <c r="O459" s="37"/>
      <c r="P459" s="37"/>
      <c r="Q459" s="38">
        <f ca="1">IFERROR(SUM(Q447:Q458),"")</f>
        <v>6.9444444444444198E-3</v>
      </c>
      <c r="R459" s="36" t="s">
        <v>246</v>
      </c>
      <c r="S459" s="45"/>
      <c r="T459" s="122">
        <f>IFERROR(J459,"")</f>
        <v>0</v>
      </c>
    </row>
    <row r="460" spans="1:20" ht="18" customHeight="1">
      <c r="A460" s="161" t="s">
        <v>249</v>
      </c>
      <c r="B460" s="162"/>
      <c r="C460" s="162"/>
      <c r="D460" s="162"/>
      <c r="E460" s="162">
        <f>E446+E459</f>
        <v>0</v>
      </c>
      <c r="F460" s="112"/>
      <c r="G460" s="91">
        <f>G446+G459</f>
        <v>120</v>
      </c>
      <c r="H460" s="112">
        <f>IFERROR(H446+H459,"")</f>
        <v>449.02</v>
      </c>
      <c r="I460" s="116"/>
      <c r="J460" s="125">
        <f>IFERROR(J446+J459,"")</f>
        <v>94.294199999999989</v>
      </c>
      <c r="K460" s="40">
        <f>K446+K459</f>
        <v>504.00000000000006</v>
      </c>
      <c r="L460" s="41"/>
      <c r="M460" s="41"/>
      <c r="N460" s="41"/>
      <c r="O460" s="41"/>
      <c r="P460" s="41"/>
      <c r="Q460" s="42">
        <f ca="1">IFERROR(Q446+Q459,"")</f>
        <v>7.4305555555555625E-2</v>
      </c>
      <c r="R460" s="40" t="s">
        <v>250</v>
      </c>
      <c r="S460" s="143">
        <f>IFERROR(S446+S459,"")</f>
        <v>449020</v>
      </c>
      <c r="T460" s="144">
        <f>IFERROR(J460,"")</f>
        <v>94.294199999999989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9" t="s">
        <v>245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246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9" t="s">
        <v>248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246</v>
      </c>
      <c r="S486" s="45"/>
      <c r="T486" s="122">
        <f>IFERROR(J486,"")</f>
        <v>0</v>
      </c>
    </row>
    <row r="487" spans="1:20" ht="18" customHeight="1">
      <c r="A487" s="161" t="s">
        <v>249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250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9" t="s">
        <v>245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246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248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246</v>
      </c>
      <c r="S513" s="45"/>
      <c r="T513" s="122">
        <f>IFERROR(J513,"")</f>
        <v>0</v>
      </c>
    </row>
    <row r="514" spans="1:20" ht="18" customHeight="1">
      <c r="A514" s="83" t="s">
        <v>249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250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9" t="s">
        <v>245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246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9" t="s">
        <v>248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246</v>
      </c>
      <c r="S540" s="45"/>
      <c r="T540" s="122">
        <f>IFERROR(J540,"")</f>
        <v>0</v>
      </c>
    </row>
    <row r="541" spans="1:20" ht="18" customHeight="1">
      <c r="A541" s="161" t="s">
        <v>249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250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9" t="s">
        <v>245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246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9" t="s">
        <v>248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246</v>
      </c>
      <c r="S567" s="45"/>
      <c r="T567" s="122">
        <f>IFERROR(J567,"")</f>
        <v>0</v>
      </c>
    </row>
    <row r="568" spans="1:20" ht="18" customHeight="1">
      <c r="A568" s="161" t="s">
        <v>249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250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9" t="s">
        <v>245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246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9" t="s">
        <v>248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246</v>
      </c>
      <c r="S594" s="45"/>
      <c r="T594" s="122">
        <f>IFERROR(J594,"")</f>
        <v>0</v>
      </c>
    </row>
    <row r="595" spans="1:20" ht="18" customHeight="1">
      <c r="A595" s="161" t="s">
        <v>249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250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9" t="s">
        <v>245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246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9" t="s">
        <v>248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246</v>
      </c>
      <c r="S621" s="45"/>
      <c r="T621" s="122">
        <f>IFERROR(J621,"")</f>
        <v>0</v>
      </c>
    </row>
    <row r="622" spans="1:20" ht="18" customHeight="1">
      <c r="A622" s="161" t="s">
        <v>249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250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9" t="s">
        <v>245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246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9" t="s">
        <v>248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246</v>
      </c>
      <c r="S648" s="45"/>
      <c r="T648" s="122">
        <f>IFERROR(J648,"")</f>
        <v>0</v>
      </c>
    </row>
    <row r="649" spans="1:20" ht="18" customHeight="1">
      <c r="A649" s="161" t="s">
        <v>249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250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9" t="s">
        <v>245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246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9" t="s">
        <v>248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246</v>
      </c>
      <c r="S675" s="45"/>
      <c r="T675" s="122">
        <f>IFERROR(J675,"")</f>
        <v>0</v>
      </c>
    </row>
    <row r="676" spans="1:20" ht="18" customHeight="1">
      <c r="A676" s="161" t="s">
        <v>249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250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9" t="s">
        <v>245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246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9" t="s">
        <v>248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246</v>
      </c>
      <c r="S702" s="45"/>
      <c r="T702" s="122">
        <f>IFERROR(J702,"")</f>
        <v>0</v>
      </c>
    </row>
    <row r="703" spans="1:20" ht="18" customHeight="1">
      <c r="A703" s="161" t="s">
        <v>249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250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9" t="s">
        <v>245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246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9" t="s">
        <v>248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246</v>
      </c>
      <c r="S729" s="45"/>
      <c r="T729" s="122">
        <f>IFERROR(J729,"")</f>
        <v>0</v>
      </c>
    </row>
    <row r="730" spans="1:20" ht="18" customHeight="1">
      <c r="A730" s="161" t="s">
        <v>249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250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9" t="s">
        <v>245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246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9" t="s">
        <v>248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246</v>
      </c>
      <c r="S756" s="39"/>
      <c r="T756" s="119">
        <f>IFERROR(J756,"")</f>
        <v>0</v>
      </c>
    </row>
    <row r="757" spans="1:20" ht="18" customHeight="1">
      <c r="A757" s="161" t="s">
        <v>249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250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9" t="s">
        <v>245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246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9" t="s">
        <v>248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246</v>
      </c>
      <c r="S783" s="39"/>
      <c r="T783" s="119">
        <f>IFERROR(J783,"")</f>
        <v>0</v>
      </c>
    </row>
    <row r="784" spans="1:20" ht="18" customHeight="1">
      <c r="A784" s="161" t="s">
        <v>249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250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9" t="s">
        <v>245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246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9" t="s">
        <v>248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246</v>
      </c>
      <c r="S810" s="39"/>
      <c r="T810" s="119">
        <f>IFERROR(J810,"")</f>
        <v>0</v>
      </c>
    </row>
    <row r="811" spans="1:20" ht="18" customHeight="1">
      <c r="A811" s="161" t="s">
        <v>249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250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9" t="s">
        <v>245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246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9" t="s">
        <v>248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246</v>
      </c>
      <c r="S837" s="75"/>
      <c r="T837" s="117">
        <f>IFERROR(J837,"")</f>
        <v>0</v>
      </c>
    </row>
    <row r="838" spans="1:20" ht="18" customHeight="1">
      <c r="A838" s="161" t="s">
        <v>249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250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427" activePane="bottomLeft" state="frozen"/>
      <selection pane="bottomLeft" activeCell="L447" sqref="L44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234</v>
      </c>
      <c r="C1" s="23" t="s">
        <v>17</v>
      </c>
      <c r="D1" s="22" t="s">
        <v>18</v>
      </c>
      <c r="E1" s="22" t="s">
        <v>235</v>
      </c>
      <c r="F1" s="133" t="s">
        <v>19</v>
      </c>
      <c r="G1" s="23" t="s">
        <v>236</v>
      </c>
      <c r="H1" s="133" t="s">
        <v>275</v>
      </c>
      <c r="I1" s="133" t="s">
        <v>20</v>
      </c>
      <c r="J1" s="133" t="s">
        <v>276</v>
      </c>
      <c r="K1" s="23" t="s">
        <v>237</v>
      </c>
      <c r="L1" s="23" t="s">
        <v>21</v>
      </c>
      <c r="M1" s="23" t="s">
        <v>22</v>
      </c>
      <c r="N1" s="23" t="s">
        <v>238</v>
      </c>
      <c r="O1" s="23" t="s">
        <v>239</v>
      </c>
      <c r="P1" s="23" t="s">
        <v>240</v>
      </c>
      <c r="Q1" s="24" t="s">
        <v>241</v>
      </c>
      <c r="R1" s="23" t="s">
        <v>242</v>
      </c>
      <c r="S1" s="23" t="s">
        <v>243</v>
      </c>
      <c r="T1" s="23" t="s">
        <v>276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260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260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260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260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260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260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260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260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260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260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260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260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9" t="s">
        <v>245</v>
      </c>
      <c r="B14" s="160"/>
      <c r="C14" s="160"/>
      <c r="D14" s="160"/>
      <c r="E14" s="160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246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260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313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260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260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260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280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260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314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260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260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260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260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260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260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260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9" t="s">
        <v>248</v>
      </c>
      <c r="B27" s="160"/>
      <c r="C27" s="160"/>
      <c r="D27" s="160"/>
      <c r="E27" s="160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246</v>
      </c>
      <c r="S27" s="39">
        <v>358000</v>
      </c>
      <c r="T27" s="119">
        <f>IFERROR(J27,"")</f>
        <v>0</v>
      </c>
    </row>
    <row r="28" spans="1:20" ht="18" customHeight="1">
      <c r="A28" s="161" t="s">
        <v>249</v>
      </c>
      <c r="B28" s="162"/>
      <c r="C28" s="162"/>
      <c r="D28" s="162"/>
      <c r="E28" s="162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250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260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260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260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260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260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260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260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260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260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260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260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260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9" t="s">
        <v>245</v>
      </c>
      <c r="B41" s="160"/>
      <c r="C41" s="160"/>
      <c r="D41" s="160"/>
      <c r="E41" s="160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246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260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286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260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313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260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260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260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260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260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260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260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313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260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260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260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9" t="s">
        <v>248</v>
      </c>
      <c r="B54" s="160"/>
      <c r="C54" s="160"/>
      <c r="D54" s="160"/>
      <c r="E54" s="160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246</v>
      </c>
      <c r="S54" s="39">
        <v>279980</v>
      </c>
      <c r="T54" s="119">
        <f>IFERROR(J54,"")</f>
        <v>0</v>
      </c>
    </row>
    <row r="55" spans="1:20" ht="18" customHeight="1">
      <c r="A55" s="161" t="s">
        <v>249</v>
      </c>
      <c r="B55" s="162"/>
      <c r="C55" s="162"/>
      <c r="D55" s="162"/>
      <c r="E55" s="162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250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260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260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260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260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260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260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260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315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260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260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260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260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260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9" t="s">
        <v>245</v>
      </c>
      <c r="B68" s="160"/>
      <c r="C68" s="160"/>
      <c r="D68" s="160"/>
      <c r="E68" s="160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246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260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316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260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260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260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260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260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260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260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260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260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9" t="s">
        <v>248</v>
      </c>
      <c r="B81" s="160"/>
      <c r="C81" s="160"/>
      <c r="D81" s="160"/>
      <c r="E81" s="160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246</v>
      </c>
      <c r="S81" s="39">
        <v>185920</v>
      </c>
      <c r="T81" s="119">
        <f>IFERROR(J81,"")</f>
        <v>0</v>
      </c>
    </row>
    <row r="82" spans="1:20" ht="18" customHeight="1">
      <c r="A82" s="161" t="s">
        <v>249</v>
      </c>
      <c r="B82" s="162"/>
      <c r="C82" s="162"/>
      <c r="D82" s="162"/>
      <c r="E82" s="162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250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260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317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260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318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260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260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260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260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260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260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260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260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260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260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9" t="s">
        <v>245</v>
      </c>
      <c r="B95" s="160"/>
      <c r="C95" s="160"/>
      <c r="D95" s="160"/>
      <c r="E95" s="160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246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260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260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260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260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260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260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260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260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260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260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260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260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9" t="s">
        <v>248</v>
      </c>
      <c r="B108" s="160"/>
      <c r="C108" s="160"/>
      <c r="D108" s="160"/>
      <c r="E108" s="160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246</v>
      </c>
      <c r="S108" s="39">
        <v>434370</v>
      </c>
      <c r="T108" s="119">
        <f>IFERROR(J108,"")</f>
        <v>0</v>
      </c>
    </row>
    <row r="109" spans="1:20" ht="18" customHeight="1">
      <c r="A109" s="161" t="s">
        <v>249</v>
      </c>
      <c r="B109" s="162"/>
      <c r="C109" s="162"/>
      <c r="D109" s="162"/>
      <c r="E109" s="162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250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260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260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260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260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260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260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260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260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260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260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260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260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9" t="s">
        <v>245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246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260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260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260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320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260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260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260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260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260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260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260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260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260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9" t="s">
        <v>248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246</v>
      </c>
      <c r="S135" s="39">
        <v>416350</v>
      </c>
      <c r="T135" s="119">
        <f>IFERROR(J135,"")</f>
        <v>0</v>
      </c>
    </row>
    <row r="136" spans="1:20" ht="18" customHeight="1">
      <c r="A136" s="161" t="s">
        <v>249</v>
      </c>
      <c r="B136" s="162"/>
      <c r="C136" s="162"/>
      <c r="D136" s="162"/>
      <c r="E136" s="162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250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260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321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260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260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260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260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260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260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260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294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260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260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260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260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9" t="s">
        <v>245</v>
      </c>
      <c r="B149" s="160"/>
      <c r="C149" s="160"/>
      <c r="D149" s="160"/>
      <c r="E149" s="160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246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260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260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260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260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286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260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260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260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260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260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260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260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260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9" t="s">
        <v>248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246</v>
      </c>
      <c r="S162" s="39">
        <v>169760</v>
      </c>
      <c r="T162" s="119">
        <f>IFERROR(J162,"")</f>
        <v>0</v>
      </c>
    </row>
    <row r="163" spans="1:20" ht="18" customHeight="1">
      <c r="A163" s="161" t="s">
        <v>249</v>
      </c>
      <c r="B163" s="162"/>
      <c r="C163" s="162"/>
      <c r="D163" s="162"/>
      <c r="E163" s="162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250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260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260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260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322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260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260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260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260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260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260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260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260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260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9" t="s">
        <v>245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246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260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260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260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323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260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260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260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260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260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260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297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260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260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260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9" t="s">
        <v>248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246</v>
      </c>
      <c r="S189" s="39">
        <v>72220</v>
      </c>
      <c r="T189" s="119">
        <f>IFERROR(J189,"")</f>
        <v>0</v>
      </c>
    </row>
    <row r="190" spans="1:20" ht="18" customHeight="1">
      <c r="A190" s="161" t="s">
        <v>249</v>
      </c>
      <c r="B190" s="162"/>
      <c r="C190" s="162"/>
      <c r="D190" s="162"/>
      <c r="E190" s="162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250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260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260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260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260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260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260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260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260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260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260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260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260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9" t="s">
        <v>245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246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260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260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324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260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260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260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260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260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260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260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260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260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260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9" t="s">
        <v>248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246</v>
      </c>
      <c r="S216" s="39">
        <v>148720</v>
      </c>
      <c r="T216" s="119">
        <f>IFERROR(J216,"")</f>
        <v>0</v>
      </c>
    </row>
    <row r="217" spans="1:20" ht="18" customHeight="1">
      <c r="A217" s="161" t="s">
        <v>249</v>
      </c>
      <c r="B217" s="162"/>
      <c r="C217" s="162"/>
      <c r="D217" s="162"/>
      <c r="E217" s="162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250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260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260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260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260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325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244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326</v>
      </c>
      <c r="Q222" s="30" t="str">
        <f t="shared" ca="1" si="49"/>
        <v/>
      </c>
      <c r="R222" s="27" t="s">
        <v>327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260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260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260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260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260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260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260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9" t="s">
        <v>245</v>
      </c>
      <c r="B230" s="160"/>
      <c r="C230" s="160"/>
      <c r="D230" s="160"/>
      <c r="E230" s="160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246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260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244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260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244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244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244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244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244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244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244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244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244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9" t="s">
        <v>248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246</v>
      </c>
      <c r="S243" s="39">
        <v>352720</v>
      </c>
      <c r="T243" s="119">
        <f>IFERROR(J243,"")</f>
        <v>0</v>
      </c>
    </row>
    <row r="244" spans="1:20" ht="18" customHeight="1">
      <c r="A244" s="161" t="s">
        <v>249</v>
      </c>
      <c r="B244" s="162"/>
      <c r="C244" s="162"/>
      <c r="D244" s="162"/>
      <c r="E244" s="162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250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244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328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244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244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244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260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260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260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260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260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260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244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244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9" t="s">
        <v>245</v>
      </c>
      <c r="B257" s="160"/>
      <c r="C257" s="160"/>
      <c r="D257" s="160"/>
      <c r="E257" s="160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246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260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260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260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260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260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260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260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260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260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260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260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260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9" t="s">
        <v>248</v>
      </c>
      <c r="B270" s="160"/>
      <c r="C270" s="160"/>
      <c r="D270" s="160"/>
      <c r="E270" s="160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246</v>
      </c>
      <c r="S270" s="39">
        <v>327900</v>
      </c>
      <c r="T270" s="119">
        <f>IFERROR(J270,"")</f>
        <v>0</v>
      </c>
    </row>
    <row r="271" spans="1:20" ht="18" customHeight="1">
      <c r="A271" s="161" t="s">
        <v>249</v>
      </c>
      <c r="B271" s="162"/>
      <c r="C271" s="162"/>
      <c r="D271" s="162"/>
      <c r="E271" s="162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250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260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260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260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260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260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260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260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260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260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260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244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260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9" t="s">
        <v>245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246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244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244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260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244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244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244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244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244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244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244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244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244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9" t="s">
        <v>248</v>
      </c>
      <c r="B297" s="160"/>
      <c r="C297" s="160"/>
      <c r="D297" s="160"/>
      <c r="E297" s="160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246</v>
      </c>
      <c r="S297" s="39">
        <v>462190</v>
      </c>
      <c r="T297" s="119">
        <f>IFERROR(J297,"")</f>
        <v>0</v>
      </c>
    </row>
    <row r="298" spans="1:20" ht="18" customHeight="1">
      <c r="A298" s="161" t="s">
        <v>249</v>
      </c>
      <c r="B298" s="162"/>
      <c r="C298" s="162"/>
      <c r="D298" s="162"/>
      <c r="E298" s="162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250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260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260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260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260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260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260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260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260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260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260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260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260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9" t="s">
        <v>245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246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260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260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260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260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260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260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260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260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260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260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260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260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9" t="s">
        <v>248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246</v>
      </c>
      <c r="S324" s="39">
        <v>289490</v>
      </c>
      <c r="T324" s="119">
        <f>IFERROR(J324,"")</f>
        <v>41.68656</v>
      </c>
    </row>
    <row r="325" spans="1:20" ht="18" customHeight="1">
      <c r="A325" s="161" t="s">
        <v>249</v>
      </c>
      <c r="B325" s="162"/>
      <c r="C325" s="162"/>
      <c r="D325" s="162"/>
      <c r="E325" s="162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250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244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304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244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329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244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244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305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244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260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260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260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260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260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260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260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9" t="s">
        <v>245</v>
      </c>
      <c r="B338" s="160"/>
      <c r="C338" s="160"/>
      <c r="D338" s="160"/>
      <c r="E338" s="160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246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260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260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260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260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260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260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260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260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260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260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260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260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9" t="s">
        <v>248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246</v>
      </c>
      <c r="S351" s="39">
        <v>256170</v>
      </c>
      <c r="T351" s="119">
        <f>IFERROR(J351,"")</f>
        <v>53.795699999999997</v>
      </c>
    </row>
    <row r="352" spans="1:20" ht="18" customHeight="1">
      <c r="A352" s="161" t="s">
        <v>249</v>
      </c>
      <c r="B352" s="162"/>
      <c r="C352" s="162"/>
      <c r="D352" s="162"/>
      <c r="E352" s="162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250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260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260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286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260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260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260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260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260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260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260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260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260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260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9" t="s">
        <v>245</v>
      </c>
      <c r="B365" s="160"/>
      <c r="C365" s="160"/>
      <c r="D365" s="160"/>
      <c r="E365" s="160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246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260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260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260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260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260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260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260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260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260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260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260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260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9" t="s">
        <v>248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246</v>
      </c>
      <c r="S378" s="39">
        <v>360560</v>
      </c>
      <c r="T378" s="119">
        <f>IFERROR(J378,"")</f>
        <v>75.71759999999999</v>
      </c>
    </row>
    <row r="379" spans="1:20" ht="18" customHeight="1">
      <c r="A379" s="161" t="s">
        <v>249</v>
      </c>
      <c r="B379" s="162"/>
      <c r="C379" s="162"/>
      <c r="D379" s="162"/>
      <c r="E379" s="162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250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260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260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260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330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260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308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260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260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260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260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260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260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260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9" t="s">
        <v>245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246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260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260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260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260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260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260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260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260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260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260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260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260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9" t="s">
        <v>248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246</v>
      </c>
      <c r="S405" s="39">
        <v>489360</v>
      </c>
      <c r="T405" s="119">
        <f>IFERROR(J405,"")</f>
        <v>99.305125714285708</v>
      </c>
    </row>
    <row r="406" spans="1:20" ht="18" customHeight="1">
      <c r="A406" s="161" t="s">
        <v>249</v>
      </c>
      <c r="B406" s="162"/>
      <c r="C406" s="162"/>
      <c r="D406" s="162"/>
      <c r="E406" s="162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250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260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260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331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260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260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260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260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260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260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260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260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260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260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9" t="s">
        <v>245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246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260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332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260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260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260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260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260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165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260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260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260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260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260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260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9" t="s">
        <v>248</v>
      </c>
      <c r="B432" s="160"/>
      <c r="C432" s="160"/>
      <c r="D432" s="160"/>
      <c r="E432" s="160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246</v>
      </c>
      <c r="S432" s="39">
        <v>180150</v>
      </c>
      <c r="T432" s="119">
        <f>IFERROR(J432,"")</f>
        <v>25.941599999999998</v>
      </c>
    </row>
    <row r="433" spans="1:20" ht="18" customHeight="1">
      <c r="A433" s="161" t="s">
        <v>249</v>
      </c>
      <c r="B433" s="162"/>
      <c r="C433" s="162"/>
      <c r="D433" s="162"/>
      <c r="E433" s="162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250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260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333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260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260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333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260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260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260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260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260</v>
      </c>
      <c r="F441" s="134">
        <f>IFERROR(IF($D441="","",VLOOKUP($D441,Cadastro!$C$4:$E$7,3,FALSE)),"")</f>
        <v>0.35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12.502757647058823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260</v>
      </c>
      <c r="F442" s="134">
        <f>IFERROR(IF($D442="","",VLOOKUP($D442,Cadastro!$C$4:$E$7,3,FALSE)),"")</f>
        <v>0.35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10.579256470588234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260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260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260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9" t="s">
        <v>245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81.748799999999989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246</v>
      </c>
      <c r="S446" s="39">
        <v>389280</v>
      </c>
      <c r="T446" s="119">
        <f>IFERROR(J446,"")</f>
        <v>81.748799999999989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260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0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/>
      <c r="N447" s="33"/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260</v>
      </c>
      <c r="F448" s="134">
        <f>IFERROR(IF($D448="","",VLOOKUP($D448,Cadastro!$C$4:$E$7,3,FALSE)),"")</f>
        <v>0.35</v>
      </c>
      <c r="G448" s="105"/>
      <c r="H448" s="134" t="str">
        <f>IFERROR(IF($G448="","",$G448*$S$459/$G$459/Cadastro!$E$33),"")</f>
        <v/>
      </c>
      <c r="I448" s="135">
        <f>IFERROR(IF($D448="","",VLOOKUP($D448,Cadastro!$C$4:$G$7,5,FALSE)),"")</f>
        <v>0.6</v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260</v>
      </c>
      <c r="F449" s="134">
        <f>IFERROR(IF($D449="","",VLOOKUP($D449,Cadastro!$C$4:$E$7,3,FALSE)),"")</f>
        <v>0.35</v>
      </c>
      <c r="G449" s="105"/>
      <c r="H449" s="134" t="str">
        <f>IFERROR(IF($G449="","",$G449*$S$459/$G$459/Cadastro!$E$33),"")</f>
        <v/>
      </c>
      <c r="I449" s="135">
        <f>IFERROR(IF($D449="","",VLOOKUP($D449,Cadastro!$C$4:$G$7,5,FALSE)),"")</f>
        <v>0.6</v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29</v>
      </c>
      <c r="E450" s="109" t="s">
        <v>260</v>
      </c>
      <c r="F450" s="134">
        <f>IFERROR(IF($D450="","",VLOOKUP($D450,Cadastro!$C$4:$E$7,3,FALSE)),"")</f>
        <v>0.35</v>
      </c>
      <c r="G450" s="105"/>
      <c r="H450" s="134" t="str">
        <f>IFERROR(IF($G450="","",$G450*$S$459/$G$459/Cadastro!$E$33),"")</f>
        <v/>
      </c>
      <c r="I450" s="135">
        <f>IFERROR(IF($D450="","",VLOOKUP($D450,Cadastro!$C$4:$G$7,5,FALSE)),"")</f>
        <v>0.6</v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29</v>
      </c>
      <c r="E451" s="109" t="s">
        <v>260</v>
      </c>
      <c r="F451" s="134">
        <f>IFERROR(IF($D451="","",VLOOKUP($D451,Cadastro!$C$4:$E$7,3,FALSE)),"")</f>
        <v>0.35</v>
      </c>
      <c r="G451" s="105"/>
      <c r="H451" s="134" t="str">
        <f>IFERROR(IF($G451="","",$G451*$S$459/$G$459/Cadastro!$E$33),"")</f>
        <v/>
      </c>
      <c r="I451" s="135">
        <f>IFERROR(IF($D451="","",VLOOKUP($D451,Cadastro!$C$4:$G$7,5,FALSE)),"")</f>
        <v>0.6</v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29</v>
      </c>
      <c r="E452" s="109" t="s">
        <v>260</v>
      </c>
      <c r="F452" s="134">
        <f>IFERROR(IF($D452="","",VLOOKUP($D452,Cadastro!$C$4:$E$7,3,FALSE)),"")</f>
        <v>0.35</v>
      </c>
      <c r="G452" s="105"/>
      <c r="H452" s="134" t="str">
        <f>IFERROR(IF($G452="","",$G452*$S$459/$G$459/Cadastro!$E$33),"")</f>
        <v/>
      </c>
      <c r="I452" s="135">
        <f>IFERROR(IF($D452="","",VLOOKUP($D452,Cadastro!$C$4:$G$7,5,FALSE)),"")</f>
        <v>0.6</v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260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260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260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260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260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260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9" t="s">
        <v>248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15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63</v>
      </c>
      <c r="L459" s="37"/>
      <c r="M459" s="37"/>
      <c r="N459" s="37"/>
      <c r="O459" s="37"/>
      <c r="P459" s="37"/>
      <c r="Q459" s="38">
        <f ca="1">IFERROR(SUM(Q447:Q458),"")</f>
        <v>6.9444444444444198E-3</v>
      </c>
      <c r="R459" s="36" t="s">
        <v>246</v>
      </c>
      <c r="S459" s="39"/>
      <c r="T459" s="119">
        <f>IFERROR(J459,"")</f>
        <v>0</v>
      </c>
    </row>
    <row r="460" spans="1:20" ht="18" customHeight="1">
      <c r="A460" s="161" t="s">
        <v>249</v>
      </c>
      <c r="B460" s="162"/>
      <c r="C460" s="162"/>
      <c r="D460" s="162"/>
      <c r="E460" s="162">
        <f>E446+E459</f>
        <v>0</v>
      </c>
      <c r="F460" s="112"/>
      <c r="G460" s="91">
        <f>G446+G459</f>
        <v>100</v>
      </c>
      <c r="H460" s="112">
        <f>IFERROR(H446+H459,"")</f>
        <v>389.28</v>
      </c>
      <c r="I460" s="116"/>
      <c r="J460" s="125">
        <f>IFERROR(J446+J459,"")</f>
        <v>81.748799999999989</v>
      </c>
      <c r="K460" s="40">
        <f>K446+K459</f>
        <v>420.00000000000006</v>
      </c>
      <c r="L460" s="41"/>
      <c r="M460" s="41"/>
      <c r="N460" s="41"/>
      <c r="O460" s="41"/>
      <c r="P460" s="41"/>
      <c r="Q460" s="42">
        <f ca="1">IFERROR(Q446+Q459,"")</f>
        <v>5.2083333333333315E-2</v>
      </c>
      <c r="R460" s="40" t="s">
        <v>250</v>
      </c>
      <c r="S460" s="48">
        <f>IFERROR(S446+S459,"")</f>
        <v>389280</v>
      </c>
      <c r="T460" s="121">
        <f>IFERROR(J460,"")</f>
        <v>81.748799999999989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9" t="s">
        <v>245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246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9" t="s">
        <v>248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246</v>
      </c>
      <c r="S486" s="39"/>
      <c r="T486" s="119">
        <f>IFERROR(J486,"")</f>
        <v>0</v>
      </c>
    </row>
    <row r="487" spans="1:20" ht="18" customHeight="1">
      <c r="A487" s="161" t="s">
        <v>249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250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9" t="s">
        <v>245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246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9" t="s">
        <v>248</v>
      </c>
      <c r="B513" s="160"/>
      <c r="C513" s="160"/>
      <c r="D513" s="160"/>
      <c r="E513" s="160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246</v>
      </c>
      <c r="S513" s="39"/>
      <c r="T513" s="119">
        <f>IFERROR(J513,"")</f>
        <v>0</v>
      </c>
    </row>
    <row r="514" spans="1:20" ht="18" customHeight="1">
      <c r="A514" s="161" t="s">
        <v>249</v>
      </c>
      <c r="B514" s="162"/>
      <c r="C514" s="162"/>
      <c r="D514" s="162"/>
      <c r="E514" s="162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250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9" t="s">
        <v>245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246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9" t="s">
        <v>248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246</v>
      </c>
      <c r="S540" s="39"/>
      <c r="T540" s="119">
        <f>IFERROR(J540,"")</f>
        <v>0</v>
      </c>
    </row>
    <row r="541" spans="1:20" ht="18" customHeight="1">
      <c r="A541" s="161" t="s">
        <v>249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250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9" t="s">
        <v>245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246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9" t="s">
        <v>248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246</v>
      </c>
      <c r="S567" s="39"/>
      <c r="T567" s="119">
        <f>IFERROR(J567,"")</f>
        <v>0</v>
      </c>
    </row>
    <row r="568" spans="1:20" ht="18" customHeight="1">
      <c r="A568" s="161" t="s">
        <v>249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250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9" t="s">
        <v>245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246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9" t="s">
        <v>248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246</v>
      </c>
      <c r="S594" s="39"/>
      <c r="T594" s="119">
        <f>IFERROR(J594,"")</f>
        <v>0</v>
      </c>
    </row>
    <row r="595" spans="1:20" ht="18" customHeight="1">
      <c r="A595" s="161" t="s">
        <v>249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250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9" t="s">
        <v>245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246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9" t="s">
        <v>248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246</v>
      </c>
      <c r="S621" s="39"/>
      <c r="T621" s="119">
        <f>IFERROR(J621,"")</f>
        <v>0</v>
      </c>
    </row>
    <row r="622" spans="1:20" ht="18" customHeight="1">
      <c r="A622" s="161" t="s">
        <v>249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250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9" t="s">
        <v>245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246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9" t="s">
        <v>248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246</v>
      </c>
      <c r="S648" s="39"/>
      <c r="T648" s="119">
        <f>IFERROR(J648,"")</f>
        <v>0</v>
      </c>
    </row>
    <row r="649" spans="1:20" ht="18" customHeight="1">
      <c r="A649" s="161" t="s">
        <v>249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250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9" t="s">
        <v>245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246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9" t="s">
        <v>248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246</v>
      </c>
      <c r="S675" s="39"/>
      <c r="T675" s="119">
        <f>IFERROR(J675,"")</f>
        <v>0</v>
      </c>
    </row>
    <row r="676" spans="1:20" ht="18" customHeight="1">
      <c r="A676" s="161" t="s">
        <v>249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250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9" t="s">
        <v>245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246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9" t="s">
        <v>248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246</v>
      </c>
      <c r="S702" s="39"/>
      <c r="T702" s="119">
        <f>IFERROR(J702,"")</f>
        <v>0</v>
      </c>
    </row>
    <row r="703" spans="1:20" ht="18" customHeight="1">
      <c r="A703" s="161" t="s">
        <v>249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250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9" t="s">
        <v>245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246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9" t="s">
        <v>248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246</v>
      </c>
      <c r="S729" s="39"/>
      <c r="T729" s="119">
        <f>IFERROR(J729,"")</f>
        <v>0</v>
      </c>
    </row>
    <row r="730" spans="1:20" ht="18" customHeight="1">
      <c r="A730" s="161" t="s">
        <v>249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250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9" t="s">
        <v>245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246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9" t="s">
        <v>248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246</v>
      </c>
      <c r="S756" s="39"/>
      <c r="T756" s="119">
        <f>IFERROR(J756,"")</f>
        <v>0</v>
      </c>
    </row>
    <row r="757" spans="1:20" ht="18" customHeight="1">
      <c r="A757" s="161" t="s">
        <v>249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250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9" t="s">
        <v>245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246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9" t="s">
        <v>248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246</v>
      </c>
      <c r="S783" s="39"/>
      <c r="T783" s="119">
        <f>IFERROR(J783,"")</f>
        <v>0</v>
      </c>
    </row>
    <row r="784" spans="1:20" ht="18" customHeight="1">
      <c r="A784" s="161" t="s">
        <v>249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250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9" t="s">
        <v>245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246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9" t="s">
        <v>248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246</v>
      </c>
      <c r="S810" s="39"/>
      <c r="T810" s="119">
        <f>IFERROR(J810,"")</f>
        <v>0</v>
      </c>
    </row>
    <row r="811" spans="1:20" ht="18" customHeight="1">
      <c r="A811" s="161" t="s">
        <v>249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250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9" t="s">
        <v>245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246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9" t="s">
        <v>248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246</v>
      </c>
      <c r="S837" s="39"/>
      <c r="T837" s="119">
        <f>IFERROR(J837,"")</f>
        <v>0</v>
      </c>
    </row>
    <row r="838" spans="1:20" ht="18" customHeight="1">
      <c r="A838" s="161" t="s">
        <v>249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250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33" activePane="bottomLeft" state="frozen"/>
      <selection pane="bottomLeft" activeCell="M452" sqref="M452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234</v>
      </c>
      <c r="C1" s="23" t="s">
        <v>17</v>
      </c>
      <c r="D1" s="22" t="s">
        <v>18</v>
      </c>
      <c r="E1" s="22" t="s">
        <v>235</v>
      </c>
      <c r="F1" s="133" t="s">
        <v>19</v>
      </c>
      <c r="G1" s="23" t="s">
        <v>236</v>
      </c>
      <c r="H1" s="133" t="s">
        <v>275</v>
      </c>
      <c r="I1" s="133" t="s">
        <v>20</v>
      </c>
      <c r="J1" s="133" t="s">
        <v>276</v>
      </c>
      <c r="K1" s="23" t="s">
        <v>237</v>
      </c>
      <c r="L1" s="23" t="s">
        <v>21</v>
      </c>
      <c r="M1" s="23" t="s">
        <v>22</v>
      </c>
      <c r="N1" s="23" t="s">
        <v>238</v>
      </c>
      <c r="O1" s="23" t="s">
        <v>239</v>
      </c>
      <c r="P1" s="23" t="s">
        <v>240</v>
      </c>
      <c r="Q1" s="24" t="s">
        <v>241</v>
      </c>
      <c r="R1" s="23" t="s">
        <v>242</v>
      </c>
      <c r="S1" s="23" t="s">
        <v>243</v>
      </c>
      <c r="T1" s="23" t="s">
        <v>276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260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260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260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260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260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260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260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260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260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260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260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260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9" t="s">
        <v>245</v>
      </c>
      <c r="B14" s="160"/>
      <c r="C14" s="160"/>
      <c r="D14" s="160"/>
      <c r="E14" s="160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246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260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260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334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260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283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260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313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260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335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260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260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260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336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260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260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260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260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9" t="s">
        <v>248</v>
      </c>
      <c r="B27" s="160"/>
      <c r="C27" s="160"/>
      <c r="D27" s="160"/>
      <c r="E27" s="160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246</v>
      </c>
      <c r="S27" s="39">
        <v>491520</v>
      </c>
      <c r="T27" s="119">
        <f>IFERROR(J27,"")</f>
        <v>0</v>
      </c>
    </row>
    <row r="28" spans="1:20" ht="18" customHeight="1">
      <c r="A28" s="161" t="s">
        <v>249</v>
      </c>
      <c r="B28" s="162"/>
      <c r="C28" s="162"/>
      <c r="D28" s="162"/>
      <c r="E28" s="162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250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260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260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260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260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260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260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260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260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260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260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260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260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9" t="s">
        <v>245</v>
      </c>
      <c r="B41" s="160"/>
      <c r="C41" s="160"/>
      <c r="D41" s="160"/>
      <c r="E41" s="160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246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260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260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260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260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337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260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260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260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260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260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260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260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260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9" t="s">
        <v>248</v>
      </c>
      <c r="B54" s="160"/>
      <c r="C54" s="160"/>
      <c r="D54" s="160"/>
      <c r="E54" s="160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246</v>
      </c>
      <c r="S54" s="39">
        <v>352430</v>
      </c>
      <c r="T54" s="119">
        <f>IFERROR(J54,"")</f>
        <v>0</v>
      </c>
    </row>
    <row r="55" spans="1:20" ht="18" customHeight="1">
      <c r="A55" s="161" t="s">
        <v>249</v>
      </c>
      <c r="B55" s="162"/>
      <c r="C55" s="162"/>
      <c r="D55" s="162"/>
      <c r="E55" s="162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250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260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260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260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260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338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260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339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260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260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260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260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260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260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260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9" t="s">
        <v>245</v>
      </c>
      <c r="B68" s="160"/>
      <c r="C68" s="160"/>
      <c r="D68" s="160"/>
      <c r="E68" s="160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246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260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340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260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260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260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313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260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260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260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260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260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260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260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9" t="s">
        <v>248</v>
      </c>
      <c r="B81" s="160"/>
      <c r="C81" s="160"/>
      <c r="D81" s="160"/>
      <c r="E81" s="160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246</v>
      </c>
      <c r="S81" s="39">
        <v>612410</v>
      </c>
      <c r="T81" s="119">
        <f>IFERROR(J81,"")</f>
        <v>0</v>
      </c>
    </row>
    <row r="82" spans="1:20" ht="18" customHeight="1">
      <c r="A82" s="161" t="s">
        <v>249</v>
      </c>
      <c r="B82" s="162"/>
      <c r="C82" s="162"/>
      <c r="D82" s="162"/>
      <c r="E82" s="162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250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260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260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260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260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260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260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260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260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260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260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260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260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9" t="s">
        <v>245</v>
      </c>
      <c r="B95" s="160"/>
      <c r="C95" s="160"/>
      <c r="D95" s="160"/>
      <c r="E95" s="160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246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260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260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313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260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260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260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260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260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260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260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260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260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260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9" t="s">
        <v>248</v>
      </c>
      <c r="B108" s="160"/>
      <c r="C108" s="160"/>
      <c r="D108" s="160"/>
      <c r="E108" s="160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246</v>
      </c>
      <c r="S108" s="39">
        <v>956070</v>
      </c>
      <c r="T108" s="119">
        <f>IFERROR(J108,"")</f>
        <v>0</v>
      </c>
    </row>
    <row r="109" spans="1:20" ht="18" customHeight="1">
      <c r="A109" s="161" t="s">
        <v>249</v>
      </c>
      <c r="B109" s="162"/>
      <c r="C109" s="162"/>
      <c r="D109" s="162"/>
      <c r="E109" s="162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250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260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260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260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260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260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341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260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260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260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260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260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260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260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9" t="s">
        <v>245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246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260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260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342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260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260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260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286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260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260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313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260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260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260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260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260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9" t="s">
        <v>248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246</v>
      </c>
      <c r="S135" s="39">
        <v>912240</v>
      </c>
      <c r="T135" s="119">
        <f>IFERROR(J135,"")</f>
        <v>0</v>
      </c>
    </row>
    <row r="136" spans="1:22" ht="18" customHeight="1">
      <c r="A136" s="161" t="s">
        <v>249</v>
      </c>
      <c r="B136" s="162"/>
      <c r="C136" s="162"/>
      <c r="D136" s="162"/>
      <c r="E136" s="162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250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260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260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343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260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344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260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260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260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260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260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260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260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294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260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260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245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246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260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345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260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346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260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260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260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260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260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260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260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260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260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260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9" t="s">
        <v>248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246</v>
      </c>
      <c r="S162" s="39">
        <v>573230</v>
      </c>
      <c r="T162" s="119">
        <f>IFERROR(J162,"")</f>
        <v>0</v>
      </c>
    </row>
    <row r="163" spans="1:20" ht="18" customHeight="1">
      <c r="A163" s="161" t="s">
        <v>249</v>
      </c>
      <c r="B163" s="162"/>
      <c r="C163" s="162"/>
      <c r="D163" s="162"/>
      <c r="E163" s="162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250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260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260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260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260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260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260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260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347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260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260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260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260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260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9" t="s">
        <v>245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246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260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348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260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260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260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260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260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260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260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260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260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260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260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9" t="s">
        <v>248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246</v>
      </c>
      <c r="S189" s="39">
        <v>692750</v>
      </c>
      <c r="T189" s="119">
        <f>IFERROR(J189,"")</f>
        <v>0</v>
      </c>
    </row>
    <row r="190" spans="1:20" ht="18" customHeight="1">
      <c r="A190" s="161" t="s">
        <v>249</v>
      </c>
      <c r="B190" s="162"/>
      <c r="C190" s="162"/>
      <c r="D190" s="162"/>
      <c r="E190" s="162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250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260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260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349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260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260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260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260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260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260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260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260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260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260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9" t="s">
        <v>245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246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260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350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260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351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260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352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260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260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260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260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260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260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260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260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260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9" t="s">
        <v>248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246</v>
      </c>
      <c r="S216" s="45">
        <v>607180</v>
      </c>
      <c r="T216" s="122">
        <f>IFERROR(J216,"")</f>
        <v>0</v>
      </c>
    </row>
    <row r="217" spans="1:20" ht="18" customHeight="1">
      <c r="A217" s="161" t="s">
        <v>249</v>
      </c>
      <c r="B217" s="162"/>
      <c r="C217" s="162"/>
      <c r="D217" s="162"/>
      <c r="E217" s="162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250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260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260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260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353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260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354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244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260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260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260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260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260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260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260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9" t="s">
        <v>245</v>
      </c>
      <c r="B230" s="160"/>
      <c r="C230" s="160"/>
      <c r="D230" s="160"/>
      <c r="E230" s="160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246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260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355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244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356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260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244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244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244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244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244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244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244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244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244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9" t="s">
        <v>248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246</v>
      </c>
      <c r="S243" s="39">
        <v>795250</v>
      </c>
      <c r="T243" s="119">
        <f>IFERROR(J243,"")</f>
        <v>0</v>
      </c>
    </row>
    <row r="244" spans="1:20" ht="18" customHeight="1">
      <c r="A244" s="161" t="s">
        <v>249</v>
      </c>
      <c r="B244" s="162"/>
      <c r="C244" s="162"/>
      <c r="D244" s="162"/>
      <c r="E244" s="162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250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244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244</v>
      </c>
      <c r="F246" s="134"/>
      <c r="G246" s="27" t="s">
        <v>270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244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244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260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357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260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260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260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260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260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260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260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9" t="s">
        <v>245</v>
      </c>
      <c r="B257" s="160"/>
      <c r="C257" s="160"/>
      <c r="D257" s="160"/>
      <c r="E257" s="160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246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260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260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260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260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260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260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260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260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260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260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260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260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9" t="s">
        <v>248</v>
      </c>
      <c r="B270" s="160"/>
      <c r="C270" s="160"/>
      <c r="D270" s="160"/>
      <c r="E270" s="160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246</v>
      </c>
      <c r="S270" s="39">
        <v>683360</v>
      </c>
      <c r="T270" s="119">
        <f>IFERROR(J270,"")</f>
        <v>0</v>
      </c>
    </row>
    <row r="271" spans="1:20" ht="18" customHeight="1">
      <c r="A271" s="161" t="s">
        <v>249</v>
      </c>
      <c r="B271" s="162"/>
      <c r="C271" s="162"/>
      <c r="D271" s="162"/>
      <c r="E271" s="162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250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260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260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260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260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260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260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260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260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260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260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260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260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9" t="s">
        <v>245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246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244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244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260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244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244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244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244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244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244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244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244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244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9" t="s">
        <v>248</v>
      </c>
      <c r="B297" s="160"/>
      <c r="C297" s="160"/>
      <c r="D297" s="160"/>
      <c r="E297" s="160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246</v>
      </c>
      <c r="S297" s="39">
        <v>904710</v>
      </c>
      <c r="T297" s="119">
        <f>IFERROR(J297,"")</f>
        <v>0</v>
      </c>
    </row>
    <row r="298" spans="1:20" ht="18" customHeight="1">
      <c r="A298" s="161" t="s">
        <v>249</v>
      </c>
      <c r="B298" s="162"/>
      <c r="C298" s="162"/>
      <c r="D298" s="162"/>
      <c r="E298" s="162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250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260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260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260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260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260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260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260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260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260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260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260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260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9" t="s">
        <v>245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246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260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260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260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260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260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260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260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260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260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260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260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260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9" t="s">
        <v>248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246</v>
      </c>
      <c r="S324" s="39">
        <v>1049720</v>
      </c>
      <c r="T324" s="119">
        <f>IFERROR(J324,"")</f>
        <v>151.15967999999998</v>
      </c>
    </row>
    <row r="325" spans="1:20" ht="18" customHeight="1">
      <c r="A325" s="161" t="s">
        <v>249</v>
      </c>
      <c r="B325" s="162"/>
      <c r="C325" s="162"/>
      <c r="D325" s="162"/>
      <c r="E325" s="162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250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244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244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244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244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260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244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260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260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260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260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260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260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9" t="s">
        <v>245</v>
      </c>
      <c r="B338" s="160"/>
      <c r="C338" s="160"/>
      <c r="D338" s="160"/>
      <c r="E338" s="160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246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260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260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260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260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260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260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260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260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358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260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359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260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260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260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9" t="s">
        <v>248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246</v>
      </c>
      <c r="S351" s="39">
        <v>1058130</v>
      </c>
      <c r="T351" s="119">
        <f>IFERROR(J351,"")</f>
        <v>222.20729999999995</v>
      </c>
    </row>
    <row r="352" spans="1:20" ht="18" customHeight="1">
      <c r="A352" s="161" t="s">
        <v>249</v>
      </c>
      <c r="B352" s="162"/>
      <c r="C352" s="162"/>
      <c r="D352" s="162"/>
      <c r="E352" s="162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250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260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260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260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260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360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260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260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361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260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260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260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260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260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260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245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246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260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260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260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260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260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260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260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362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260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260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260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260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260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9" t="s">
        <v>248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246</v>
      </c>
      <c r="S378" s="39">
        <v>1137080</v>
      </c>
      <c r="T378" s="119">
        <f>IFERROR(J378,"")</f>
        <v>238.78679999999994</v>
      </c>
    </row>
    <row r="379" spans="1:20" ht="18" customHeight="1">
      <c r="A379" s="161" t="s">
        <v>249</v>
      </c>
      <c r="B379" s="162"/>
      <c r="C379" s="162"/>
      <c r="D379" s="162"/>
      <c r="E379" s="162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250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260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260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260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260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260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308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260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363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260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260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260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260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260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260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9" t="s">
        <v>245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246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260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226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260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364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260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260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260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260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260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260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260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260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260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260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9" t="s">
        <v>248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246</v>
      </c>
      <c r="S405" s="39">
        <v>989450</v>
      </c>
      <c r="T405" s="119">
        <f>IFERROR(J405,"")</f>
        <v>195.72390675675675</v>
      </c>
    </row>
    <row r="406" spans="1:20" ht="18" customHeight="1">
      <c r="A406" s="161" t="s">
        <v>249</v>
      </c>
      <c r="B406" s="162"/>
      <c r="C406" s="162"/>
      <c r="D406" s="162"/>
      <c r="E406" s="162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250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260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233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365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260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260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260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260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260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260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260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260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260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260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260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9" t="s">
        <v>245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246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260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260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260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260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366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260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260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260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260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170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260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260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260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260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9" t="s">
        <v>248</v>
      </c>
      <c r="B432" s="160"/>
      <c r="C432" s="160"/>
      <c r="D432" s="160"/>
      <c r="E432" s="160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246</v>
      </c>
      <c r="S432" s="39">
        <v>766030</v>
      </c>
      <c r="T432" s="119">
        <f>IFERROR(J432,"")</f>
        <v>110.30832000000001</v>
      </c>
    </row>
    <row r="433" spans="1:21" ht="18" customHeight="1">
      <c r="A433" s="161" t="s">
        <v>249</v>
      </c>
      <c r="B433" s="162"/>
      <c r="C433" s="162"/>
      <c r="D433" s="162"/>
      <c r="E433" s="162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250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260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170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260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164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260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260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260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260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260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260</v>
      </c>
      <c r="F441" s="134">
        <f>IFERROR(IF($D441="","",VLOOKUP($D441,Cadastro!$C$4:$E$7,3,FALSE)),"")</f>
        <v>0.35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11.483488524590163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260</v>
      </c>
      <c r="F442" s="134">
        <f>IFERROR(IF($D442="","",VLOOKUP($D442,Cadastro!$C$4:$E$7,3,FALSE)),"")</f>
        <v>0.35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14.354360655737704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260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260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260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9" t="s">
        <v>245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169.70955540983604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246</v>
      </c>
      <c r="S446" s="39">
        <v>833920</v>
      </c>
      <c r="T446" s="119">
        <f>IFERROR(J446,"")</f>
        <v>169.70955540983604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260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168</v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260</v>
      </c>
      <c r="F448" s="134">
        <f>IFERROR(IF($D448="","",VLOOKUP($D448,Cadastro!$C$4:$E$7,3,FALSE)),"")</f>
        <v>0.35</v>
      </c>
      <c r="G448" s="105"/>
      <c r="H448" s="134" t="str">
        <f>IFERROR(IF($G448="","",$G448*$S$459/$G$459/Cadastro!$E$33),"")</f>
        <v/>
      </c>
      <c r="I448" s="135">
        <f>IFERROR(IF($D448="","",VLOOKUP($D448,Cadastro!$C$4:$G$7,5,FALSE)),"")</f>
        <v>0.6</v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260</v>
      </c>
      <c r="F449" s="134">
        <f>IFERROR(IF($D449="","",VLOOKUP($D449,Cadastro!$C$4:$E$7,3,FALSE)),"")</f>
        <v>0.35</v>
      </c>
      <c r="G449" s="105"/>
      <c r="H449" s="134" t="str">
        <f>IFERROR(IF($G449="","",$G449*$S$459/$G$459/Cadastro!$E$33),"")</f>
        <v/>
      </c>
      <c r="I449" s="135">
        <f>IFERROR(IF($D449="","",VLOOKUP($D449,Cadastro!$C$4:$G$7,5,FALSE)),"")</f>
        <v>0.6</v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78" t="s">
        <v>260</v>
      </c>
      <c r="F450" s="134">
        <f>IFERROR(IF($D450="","",VLOOKUP($D450,Cadastro!$C$4:$E$7,3,FALSE)),"")</f>
        <v>0.35</v>
      </c>
      <c r="G450" s="105"/>
      <c r="H450" s="134" t="str">
        <f>IFERROR(IF($G450="","",$G450*$S$459/$G$459/Cadastro!$E$33),"")</f>
        <v/>
      </c>
      <c r="I450" s="135">
        <f>IFERROR(IF($D450="","",VLOOKUP($D450,Cadastro!$C$4:$G$7,5,FALSE)),"")</f>
        <v>0.6</v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260</v>
      </c>
      <c r="F451" s="134">
        <f>IFERROR(IF($D451="","",VLOOKUP($D451,Cadastro!$C$4:$E$7,3,FALSE)),"")</f>
        <v>0.35</v>
      </c>
      <c r="G451" s="105"/>
      <c r="H451" s="134" t="str">
        <f>IFERROR(IF($G451="","",$G451*$S$459/$G$459/Cadastro!$E$33),"")</f>
        <v/>
      </c>
      <c r="I451" s="135">
        <f>IFERROR(IF($D451="","",VLOOKUP($D451,Cadastro!$C$4:$G$7,5,FALSE)),"")</f>
        <v>0.6</v>
      </c>
      <c r="J451" s="136" t="str">
        <f t="shared" si="110"/>
        <v/>
      </c>
      <c r="K451" s="151" t="str">
        <f>IF(G451="","",IF(E452="PC 17",G451*4.2,IF(E452="PC 19",G451*5,"")))</f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260</v>
      </c>
      <c r="F452" s="134">
        <f>IFERROR(IF($D452="","",VLOOKUP($D452,Cadastro!$C$4:$E$7,3,FALSE)),"")</f>
        <v>0.35</v>
      </c>
      <c r="G452" s="105"/>
      <c r="H452" s="134" t="str">
        <f>IFERROR(IF($G452="","",$G452*$S$459/$G$459/Cadastro!$E$33),"")</f>
        <v/>
      </c>
      <c r="I452" s="135">
        <f>IFERROR(IF($D452="","",VLOOKUP($D452,Cadastro!$C$4:$G$7,5,FALSE)),"")</f>
        <v>0.6</v>
      </c>
      <c r="J452" s="136" t="str">
        <f t="shared" si="110"/>
        <v/>
      </c>
      <c r="K452" s="28" t="str">
        <f>IF(G452="","",IF(E453="PC 17",G452*4.2,IF(E453="PC 19",G452*5,"")))</f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260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10"/>
        <v/>
      </c>
      <c r="K453" s="151" t="str">
        <f>IF(G453="","",IF(E454="PC 17",G453*4.2,IF(E454="PC 19",G453*5,"")))</f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260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10"/>
        <v/>
      </c>
      <c r="K454" s="28" t="str">
        <f>IF(G454="","",IF(E455="PC 17",G454*4.2,IF(E455="PC 19",G454*5,"")))</f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260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10"/>
        <v/>
      </c>
      <c r="K455" s="151" t="str">
        <f>IF(G455="","",IF(E456="PC 17",G455*4.2,IF(E456="PC 19",G455*5,"")))</f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260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>IF(G456="","",IF(E457="PC 17",G456*4.2,IF(E457="PC 19",G456*5,"")))</f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260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151" t="str">
        <f>IF(G457="","",IF(E458="PC 17",G457*4.2,IF(E458="PC 19",G457*5,"")))</f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260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9" t="s">
        <v>248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40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168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246</v>
      </c>
      <c r="S459" s="39"/>
      <c r="T459" s="119">
        <f>IFERROR(J459,"")</f>
        <v>0</v>
      </c>
    </row>
    <row r="460" spans="1:20" ht="18" customHeight="1">
      <c r="A460" s="161" t="s">
        <v>249</v>
      </c>
      <c r="B460" s="162"/>
      <c r="C460" s="162"/>
      <c r="D460" s="162"/>
      <c r="E460" s="162">
        <f>E446+E459</f>
        <v>0</v>
      </c>
      <c r="F460" s="112"/>
      <c r="G460" s="91">
        <f>G446+G459</f>
        <v>223</v>
      </c>
      <c r="H460" s="112">
        <f>IFERROR(H446+H459,"")</f>
        <v>833.92000000000019</v>
      </c>
      <c r="I460" s="116"/>
      <c r="J460" s="125">
        <f>IFERROR(J446+J459,"")</f>
        <v>169.70955540983604</v>
      </c>
      <c r="K460" s="40">
        <f>K446+K459</f>
        <v>936.60000000000014</v>
      </c>
      <c r="L460" s="41"/>
      <c r="M460" s="41"/>
      <c r="N460" s="41"/>
      <c r="O460" s="63"/>
      <c r="P460" s="63"/>
      <c r="Q460" s="42">
        <f ca="1">IFERROR(Q446+Q459,"")</f>
        <v>3.6111111111111094E-2</v>
      </c>
      <c r="R460" s="40" t="s">
        <v>250</v>
      </c>
      <c r="S460" s="48">
        <f>IFERROR(S446+S459,"")</f>
        <v>833920</v>
      </c>
      <c r="T460" s="121">
        <f>IFERROR(J460,"")</f>
        <v>169.70955540983604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9" t="s">
        <v>245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246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9" t="s">
        <v>248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246</v>
      </c>
      <c r="S486" s="39"/>
      <c r="T486" s="119">
        <f>IFERROR(J486,"")</f>
        <v>0</v>
      </c>
    </row>
    <row r="487" spans="1:20" ht="18" customHeight="1">
      <c r="A487" s="161" t="s">
        <v>249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250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9" t="s">
        <v>245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246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9" t="s">
        <v>248</v>
      </c>
      <c r="B513" s="160"/>
      <c r="C513" s="160"/>
      <c r="D513" s="160"/>
      <c r="E513" s="160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246</v>
      </c>
      <c r="S513" s="39"/>
      <c r="T513" s="119">
        <f>IFERROR(J513,"")</f>
        <v>0</v>
      </c>
    </row>
    <row r="514" spans="1:20" ht="18" customHeight="1">
      <c r="A514" s="161" t="s">
        <v>249</v>
      </c>
      <c r="B514" s="162"/>
      <c r="C514" s="162"/>
      <c r="D514" s="162"/>
      <c r="E514" s="162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250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9" t="s">
        <v>245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246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9" t="s">
        <v>248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246</v>
      </c>
      <c r="S540" s="39"/>
      <c r="T540" s="119">
        <f>IFERROR(J540,"")</f>
        <v>0</v>
      </c>
    </row>
    <row r="541" spans="1:20" ht="18" customHeight="1">
      <c r="A541" s="161" t="s">
        <v>249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250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9" t="s">
        <v>245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246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9" t="s">
        <v>248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246</v>
      </c>
      <c r="S567" s="39"/>
      <c r="T567" s="119">
        <f>IFERROR(J567,"")</f>
        <v>0</v>
      </c>
    </row>
    <row r="568" spans="1:20" ht="18" customHeight="1">
      <c r="A568" s="161" t="s">
        <v>249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250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9" t="s">
        <v>245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246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9" t="s">
        <v>248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246</v>
      </c>
      <c r="S594" s="39"/>
      <c r="T594" s="119">
        <f>IFERROR(J594,"")</f>
        <v>0</v>
      </c>
    </row>
    <row r="595" spans="1:20" ht="18" customHeight="1">
      <c r="A595" s="161" t="s">
        <v>249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250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9" t="s">
        <v>245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246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9" t="s">
        <v>248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246</v>
      </c>
      <c r="S621" s="39"/>
      <c r="T621" s="119">
        <f>IFERROR(J621,"")</f>
        <v>0</v>
      </c>
    </row>
    <row r="622" spans="1:20" ht="18" customHeight="1">
      <c r="A622" s="161" t="s">
        <v>249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250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9" t="s">
        <v>245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246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9" t="s">
        <v>248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246</v>
      </c>
      <c r="S648" s="39"/>
      <c r="T648" s="119">
        <f>IFERROR(J648,"")</f>
        <v>0</v>
      </c>
    </row>
    <row r="649" spans="1:20" ht="18" customHeight="1">
      <c r="A649" s="161" t="s">
        <v>249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250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9" t="s">
        <v>245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246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9" t="s">
        <v>248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246</v>
      </c>
      <c r="S675" s="39"/>
      <c r="T675" s="119">
        <f>IFERROR(J675,"")</f>
        <v>0</v>
      </c>
    </row>
    <row r="676" spans="1:20" ht="18" customHeight="1">
      <c r="A676" s="161" t="s">
        <v>249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250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9" t="s">
        <v>245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246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9" t="s">
        <v>248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246</v>
      </c>
      <c r="S702" s="39"/>
      <c r="T702" s="119">
        <f>IFERROR(J702,"")</f>
        <v>0</v>
      </c>
    </row>
    <row r="703" spans="1:20" ht="18" customHeight="1">
      <c r="A703" s="161" t="s">
        <v>249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250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9" t="s">
        <v>245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246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9" t="s">
        <v>248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246</v>
      </c>
      <c r="S729" s="39"/>
      <c r="T729" s="119">
        <f>IFERROR(J729,"")</f>
        <v>0</v>
      </c>
    </row>
    <row r="730" spans="1:20" ht="18" customHeight="1">
      <c r="A730" s="161" t="s">
        <v>249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250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9" t="s">
        <v>245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246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9" t="s">
        <v>248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246</v>
      </c>
      <c r="S756" s="39"/>
      <c r="T756" s="119">
        <f>IFERROR(J756,"")</f>
        <v>0</v>
      </c>
    </row>
    <row r="757" spans="1:20" ht="18" customHeight="1">
      <c r="A757" s="161" t="s">
        <v>249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250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9" t="s">
        <v>245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246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9" t="s">
        <v>248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246</v>
      </c>
      <c r="S783" s="39"/>
      <c r="T783" s="119">
        <f>IFERROR(J783,"")</f>
        <v>0</v>
      </c>
    </row>
    <row r="784" spans="1:20" ht="18" customHeight="1">
      <c r="A784" s="161" t="s">
        <v>249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250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9" t="s">
        <v>245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246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9" t="s">
        <v>248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246</v>
      </c>
      <c r="S810" s="39"/>
      <c r="T810" s="119">
        <f>IFERROR(J810,"")</f>
        <v>0</v>
      </c>
    </row>
    <row r="811" spans="1:20" ht="18" customHeight="1">
      <c r="A811" s="161" t="s">
        <v>249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250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9" t="s">
        <v>245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246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9" t="s">
        <v>248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246</v>
      </c>
      <c r="S837" s="39"/>
      <c r="T837" s="119">
        <f>IFERROR(J837,"")</f>
        <v>0</v>
      </c>
    </row>
    <row r="838" spans="1:20" ht="18" customHeight="1">
      <c r="A838" s="161" t="s">
        <v>249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250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2026-08-18T01:14:46Z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