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811" documentId="8_{AF585B22-221D-4780-BB9C-493D365A6A02}" xr6:coauthVersionLast="47" xr6:coauthVersionMax="47" xr10:uidLastSave="{F1A1DCE0-38BB-4354-A604-43956C6BA0A1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<sst xmlns="http://schemas.openxmlformats.org/spreadsheetml/2006/main" count="2905" uniqueCount="248">
  <si>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</si>
  <si>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</si>
  <si>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</si>
  <si>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</si>
  <si>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</si>
  <si>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</si>
  <si>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</si>
  <si>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</si>
  <si>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</si>
  <si>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</si>
  <si>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</si>
  <si>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</si>
  <si>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</si>
  <si>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</si>
  <si>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</si>
  <si>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</si>
  <si>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</si>
  <si>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</si>
  <si>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</si>
  <si>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</si>
  <si>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</si>
  <si>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</si>
  <si>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</si>
  <si>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</si>
  <si>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</si>
  <si>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</si>
  <si>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</si>
  <si>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</si>
  <si>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</si>
  <si>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</si>
  <si>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</si>
  <si>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</si>
  <si>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</si>
  <si>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</si>
  <si>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</si>
  <si>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</si>
  <si>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</si>
  <si>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</si>
  <si>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</si>
  <si>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</si>
  <si>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</si>
  <si>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</si>
  <si>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</si>
  <si>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</si>
  <si>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</si>
  <si>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</si>
  <si>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</si>
  <si>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</si>
  <si>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</si>
  <si>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</si>
  <si>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</si>
  <si>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</si>
  <si>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</si>
  <si>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</si>
  <si>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</si>
  <si>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</si>
  <si>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</si>
  <si>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</si>
  <si>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</si>
  <si>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</si>
  <si>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</si>
  <si>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</si>
  <si>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</si>
  <si>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</si>
  <si>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</si>
  <si>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</si>
  <si>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</si>
  <si>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</si>
  <si>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</si>
  <si>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</si>
  <si>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</si>
  <si>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</si>
  <si>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</si>
  <si>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</si>
  <si>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</si>
  <si>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</si>
  <si>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</si>
  <si>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</si>
  <si>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</si>
  <si>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</si>
  <si>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</si>
  <si>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</si>
  <si>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</si>
  <si>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</si>
  <si>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</si>
  <si>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</si>
  <si>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</si>
  <si>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</si>
  <si>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</si>
  <si>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</si>
  <si>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</si>
  <si>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</si>
  <si>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</si>
  <si>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</si>
  <si>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</si>
  <si>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</si>
  <si>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</si>
  <si>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</si>
  <si>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</si>
  <si>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</si>
  <si>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</si>
  <si>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</si>
  <si>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</si>
  <si>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</si>
  <si>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</si>
  <si>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</si>
  <si>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</si>
  <si>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</si>
  <si>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</si>
  <si>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</si>
  <si>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</si>
  <si>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</si>
  <si>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</si>
  <si>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</si>
  <si>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</si>
  <si>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</si>
  <si>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</si>
  <si>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</si>
  <si>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</si>
  <si>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</si>
  <si>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</si>
  <si>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</si>
  <si>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</si>
  <si>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</si>
  <si>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</si>
  <si>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</si>
  <si>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</si>
  <si>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</si>
  <si>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</si>
  <si>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</si>
  <si>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</si>
  <si>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</si>
  <si>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</si>
  <si>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</si>
  <si>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</si>
  <si>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</si>
  <si>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</si>
  <si>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</si>
  <si>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</si>
  <si>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</si>
  <si>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</si>
  <si>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</si>
  <si>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</si>
  <si>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</si>
  <si>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</si>
  <si>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</si>
  <si>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</si>
  <si>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</si>
  <si>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</si>
  <si>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</si>
  <si>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</si>
  <si>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</si>
  <si>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</si>
  <si>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</si>
  <si>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</si>
  <si>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</si>
  <si>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</si>
  <si>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</si>
  <si>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</si>
  <si>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</si>
  <si>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</si>
  <si>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</si>
  <si>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</si>
  <si>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</si>
  <si>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</si>
  <si>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</si>
  <si>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</si>
  <si>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</si>
  <si>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</si>
  <si>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</si>
  <si>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</si>
  <si>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</si>
  <si>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</si>
  <si>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</si>
  <si>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</si>
  <si>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</si>
  <si>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</si>
  <si>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</si>
  <si>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</si>
  <si>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</si>
  <si>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</si>
  <si>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</si>
  <si>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</si>
  <si>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</si>
  <si>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</si>
  <si>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</si>
  <si>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</si>
  <si>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</si>
  <si>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</si>
  <si>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</si>
  <si>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</si>
  <si>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</si>
  <si>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</si>
  <si>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</si>
  <si>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</si>
  <si>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</si>
  <si>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</si>
  <si>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</si>
  <si>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</si>
  <si>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</si>
  <si>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</si>
  <si>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</si>
  <si>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</si>
  <si>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</si>
  <si>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</si>
  <si>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</si>
  <si>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</si>
  <si>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</si>
  <si>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</si>
  <si>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</si>
  <si>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</si>
  <si>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</si>
  <si>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</si>
  <si>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</si>
  <si>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</si>
  <si>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</si>
  <si>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</si>
  <si>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</si>
  <si>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</si>
  <si>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</si>
  <si>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</si>
  <si>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</si>
  <si>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</si>
  <si>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</si>
  <si>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</si>
  <si>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</si>
  <si>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</si>
  <si>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arebentou 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</si>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</sst>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6"/>
      <c r="I52" s="16"/>
      <c r="J52" s="16"/>
      <c r="K52" s="16" t="s">
        <v>186</v>
      </c>
      <c r="L52" s="16"/>
      <c r="M52" s="16"/>
    </row>
    <row r="53" spans="1:13" ht="36" customHeight="1">
      <c r="H53" s="96"/>
      <c r="I53" s="17"/>
      <c r="J53" s="17"/>
      <c r="K53" s="17" t="s">
        <v>187</v>
      </c>
      <c r="L53" s="17"/>
      <c r="M53" s="17"/>
    </row>
    <row r="54" spans="1:13" ht="15" customHeight="1">
      <c r="H54" s="96"/>
      <c r="I54" s="16"/>
      <c r="J54" s="16"/>
      <c r="K54" s="16" t="s">
        <v>188</v>
      </c>
      <c r="L54" s="16"/>
      <c r="M54" s="16"/>
    </row>
    <row r="55" spans="1:13" ht="15" customHeight="1">
      <c r="H55" s="96"/>
      <c r="I55" s="17"/>
      <c r="J55" s="17"/>
      <c r="K55" s="17" t="s">
        <v>189</v>
      </c>
      <c r="L55" s="17"/>
      <c r="M55" s="17"/>
    </row>
    <row r="56" spans="1:13" ht="15" customHeight="1">
      <c r="H56" s="96"/>
      <c r="I56" s="16"/>
      <c r="J56" s="16"/>
      <c r="K56" s="16" t="s">
        <v>190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14" activePane="bottomLeft" state="frozen"/>
      <selection pane="bottomLeft" activeCell="F143" sqref="F14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>
        <v>7</v>
      </c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>
        <v>8</v>
      </c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>
        <v>6</v>
      </c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34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3.472222222222221E-2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34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3.472222222222221E-2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8" activePane="bottomLeft" state="frozen"/>
      <selection pane="bottomLeft" activeCell="N140" sqref="N1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/>
      <c r="M139" s="35">
        <f t="shared" ca="1" si="31"/>
        <v>3.0525115740601905E-2</v>
      </c>
      <c r="N139" s="46" t="s">
        <v>227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24</v>
      </c>
      <c r="G140" s="28">
        <f t="shared" si="30"/>
        <v>120</v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58</v>
      </c>
      <c r="G149" s="36">
        <f>SUM(G137:G148)</f>
        <v>290</v>
      </c>
      <c r="H149" s="37"/>
      <c r="I149" s="37"/>
      <c r="J149" s="37"/>
      <c r="K149" s="37"/>
      <c r="L149" s="37"/>
      <c r="M149" s="38">
        <f ca="1">IFERROR(SUM(M137:M148),"")</f>
        <v>0.1513584490739352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58</v>
      </c>
      <c r="G163" s="40">
        <f>G149+G162</f>
        <v>290</v>
      </c>
      <c r="H163" s="41"/>
      <c r="I163" s="41"/>
      <c r="J163" s="41"/>
      <c r="K163" s="41"/>
      <c r="L163" s="41"/>
      <c r="M163" s="42">
        <f ca="1">IFERROR(M149+M162,"")</f>
        <v>0.1513584490739352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F143" sqref="F1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12</v>
      </c>
      <c r="G140" s="28">
        <f t="shared" si="30"/>
        <v>60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6</v>
      </c>
      <c r="G141" s="34">
        <f t="shared" si="30"/>
        <v>30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25</v>
      </c>
      <c r="G149" s="36">
        <f>SUM(G137:G148)</f>
        <v>125</v>
      </c>
      <c r="H149" s="37"/>
      <c r="I149" s="37"/>
      <c r="J149" s="37"/>
      <c r="K149" s="37"/>
      <c r="L149" s="37"/>
      <c r="M149" s="38">
        <f ca="1">IFERROR(SUM(M137:M148),"")</f>
        <v>3.5416666666666707E-2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25</v>
      </c>
      <c r="G163" s="40">
        <f>G149+G162</f>
        <v>125</v>
      </c>
      <c r="H163" s="41"/>
      <c r="I163" s="41"/>
      <c r="J163" s="41"/>
      <c r="K163" s="41"/>
      <c r="L163" s="41"/>
      <c r="M163" s="42">
        <f ca="1">IFERROR(M149+M162,"")</f>
        <v>3.5416666666666707E-2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21" activePane="bottomLeft" state="frozen"/>
      <selection pane="bottomLeft" activeCell="F143" sqref="F14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238</v>
      </c>
      <c r="L58" s="29">
        <v>0.54097222222222219</v>
      </c>
      <c r="M58" s="30" t="str">
        <f t="shared" ca="1" si="13"/>
        <v/>
      </c>
      <c r="N58" s="27" t="s">
        <v>239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0.29858067129680421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0.49788622685235984</v>
      </c>
      <c r="N135" s="36" t="s">
        <v>205</v>
      </c>
      <c r="O135" s="39">
        <v>729290</v>
      </c>
    </row>
    <row r="136" spans="1:18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0.86524733796347086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27</v>
      </c>
      <c r="G140" s="28">
        <f t="shared" si="30"/>
        <v>135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60</v>
      </c>
      <c r="G149" s="36">
        <f>SUM(G137:G148)</f>
        <v>300</v>
      </c>
      <c r="H149" s="37"/>
      <c r="I149" s="37"/>
      <c r="J149" s="37"/>
      <c r="K149" s="61"/>
      <c r="L149" s="61"/>
      <c r="M149" s="38">
        <f ca="1">IFERROR(SUM(M137:M148),"")</f>
        <v>9.7222222222222432E-3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60</v>
      </c>
      <c r="G163" s="40">
        <f>G149+G162</f>
        <v>300</v>
      </c>
      <c r="H163" s="41"/>
      <c r="I163" s="41"/>
      <c r="J163" s="41"/>
      <c r="K163" s="63"/>
      <c r="L163" s="63"/>
      <c r="M163" s="42">
        <f ca="1">IFERROR(M149+M162,"")</f>
        <v>9.7222222222222432E-3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2026-07-06T17:11:00Z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