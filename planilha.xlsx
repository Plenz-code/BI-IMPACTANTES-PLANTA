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684" documentId="8_{AF585B22-221D-4780-BB9C-493D365A6A02}" xr6:coauthVersionLast="47" xr6:coauthVersionMax="47" xr10:uidLastSave="{4EC4AE88-319C-410F-B3D3-EA3AF013C018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<sst xmlns="http://schemas.openxmlformats.org/spreadsheetml/2006/main" count="11576" uniqueCount="424">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</sst>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85781028</v>
      </c>
      <c r="D35" s="13">
        <f>IFERROR(SUM(D4:D34),"")</f>
        <v>34599800</v>
      </c>
      <c r="E35" s="13">
        <f>IFERROR(SUM(E4:E34),"")</f>
        <v>19704660</v>
      </c>
      <c r="F35" s="13">
        <f>IFERROR(SUM(F4:F34),"")</f>
        <v>36003260</v>
      </c>
      <c r="G35" s="13">
        <f>IFERROR(SUM(G4:G34),"")</f>
        <v>90307720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46" activePane="bottomLeft" state="frozen"/>
      <selection pane="bottomLeft" activeCell="F768" sqref="F7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305</v>
      </c>
      <c r="G770" s="36">
        <f>SUM(G758:G769)</f>
        <v>1525</v>
      </c>
      <c r="H770" s="37"/>
      <c r="I770" s="37"/>
      <c r="J770" s="37"/>
      <c r="K770" s="37"/>
      <c r="L770" s="37"/>
      <c r="M770" s="38">
        <f ca="1">IFERROR(SUM(M758:M769),"")</f>
        <v>3.125E-2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305</v>
      </c>
      <c r="G784" s="40">
        <f>G770+G783</f>
        <v>1525</v>
      </c>
      <c r="H784" s="41"/>
      <c r="I784" s="41"/>
      <c r="J784" s="41"/>
      <c r="K784" s="41"/>
      <c r="L784" s="41"/>
      <c r="M784" s="42">
        <f ca="1">IFERROR(M770+M783,"")</f>
        <v>3.125E-2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7" activePane="bottomLeft" state="frozen"/>
      <selection pane="bottomLeft" activeCell="N764" sqref="N7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0.49961585647542961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0.65725474536431849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0.76697696758654066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0.47808807870023884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0.64892141203357223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0.79406030092246116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326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327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328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330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331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332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333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335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336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/>
      <c r="M763" s="35">
        <f t="shared" ca="1" si="169"/>
        <v>3.7825231411261484E-3</v>
      </c>
      <c r="N763" s="46" t="s">
        <v>338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123</v>
      </c>
      <c r="G770" s="36">
        <f>SUM(G758:G769)</f>
        <v>524.6</v>
      </c>
      <c r="H770" s="37"/>
      <c r="I770" s="37"/>
      <c r="J770" s="37"/>
      <c r="K770" s="37"/>
      <c r="L770" s="37"/>
      <c r="M770" s="38">
        <f ca="1">IFERROR(SUM(M758:M769),"")</f>
        <v>7.1838078696681629E-2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123</v>
      </c>
      <c r="G784" s="40">
        <f>G770+G783</f>
        <v>524.6</v>
      </c>
      <c r="H784" s="41"/>
      <c r="I784" s="41"/>
      <c r="J784" s="41"/>
      <c r="K784" s="41"/>
      <c r="L784" s="41"/>
      <c r="M784" s="42">
        <f ca="1">IFERROR(M770+M783,"")</f>
        <v>7.1838078696681629E-2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H767" sqref="H7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286</v>
      </c>
      <c r="K141" s="29">
        <v>0.71597222222222223</v>
      </c>
      <c r="L141" s="29" t="s">
        <v>344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346</v>
      </c>
      <c r="N166" s="27" t="s">
        <v>347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325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309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323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20</v>
      </c>
      <c r="I767" s="33"/>
      <c r="J767" s="33"/>
      <c r="K767" s="29">
        <v>0.73541666666666672</v>
      </c>
      <c r="L767" s="29"/>
      <c r="M767" s="35">
        <f t="shared" ca="1" si="169"/>
        <v>3.7825231411261484E-3</v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36</v>
      </c>
      <c r="G770" s="36">
        <f>SUM(G758:G769)</f>
        <v>155.19999999999999</v>
      </c>
      <c r="H770" s="37"/>
      <c r="I770" s="37"/>
      <c r="J770" s="37"/>
      <c r="K770" s="37"/>
      <c r="L770" s="37"/>
      <c r="M770" s="38">
        <f ca="1">IFERROR(SUM(M758:M769),"")</f>
        <v>9.1282523141126171E-2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36</v>
      </c>
      <c r="G784" s="40">
        <f>G770+G783</f>
        <v>155.19999999999999</v>
      </c>
      <c r="H784" s="41"/>
      <c r="I784" s="41"/>
      <c r="J784" s="41"/>
      <c r="K784" s="41"/>
      <c r="L784" s="41"/>
      <c r="M784" s="42">
        <f ca="1">IFERROR(M770+M783,"")</f>
        <v>9.1282523141126171E-2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H758" sqref="H7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375</v>
      </c>
      <c r="L58" s="29">
        <v>0.54097222222222219</v>
      </c>
      <c r="M58" s="30" t="str">
        <f t="shared" ca="1" si="13"/>
        <v/>
      </c>
      <c r="N58" s="27" t="s">
        <v>376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0.48989363425789634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0.68919918981345196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1.056560300924563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281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323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17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/>
      <c r="G759" s="34" t="str">
        <f t="shared" si="168"/>
        <v/>
      </c>
      <c r="H759" s="33"/>
      <c r="I759" s="33"/>
      <c r="J759" s="33"/>
      <c r="K759" s="29">
        <v>0.73541666666666672</v>
      </c>
      <c r="L759" s="29"/>
      <c r="M759" s="35">
        <f t="shared" ca="1" si="169"/>
        <v>3.7825231411261484E-3</v>
      </c>
      <c r="N759" s="27" t="s">
        <v>338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0.44128252314112609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0.44128252314112609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2026-07-29T21:44:34Z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