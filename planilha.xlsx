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4" documentId="8_{AF585B22-221D-4780-BB9C-493D365A6A02}" xr6:coauthVersionLast="47" xr6:coauthVersionMax="47" xr10:uidLastSave="{55E9B536-7B3E-475C-A1E4-BC024676FF9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<sst xmlns="http://schemas.openxmlformats.org/spreadsheetml/2006/main" count="1484" uniqueCount="206">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</sst>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4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J30" sqref="J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188</v>
      </c>
      <c r="E2" s="59" t="s">
        <v>189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192</v>
      </c>
      <c r="O27" s="39">
        <v>1183060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189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189</v>
      </c>
      <c r="F30" s="27"/>
      <c r="G30" s="34" t="str">
        <f t="shared" si="6"/>
        <v/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2.8747337964887265E-2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189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189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189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189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189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189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189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189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189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189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55</v>
      </c>
      <c r="H41" s="37"/>
      <c r="I41" s="37"/>
      <c r="J41" s="37"/>
      <c r="K41" s="37"/>
      <c r="L41" s="37"/>
      <c r="M41" s="38">
        <f ca="1">IFERROR(SUM(M29:M40),"")</f>
        <v>7.5969560187109486E-2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55</v>
      </c>
      <c r="H55" s="41"/>
      <c r="I55" s="41"/>
      <c r="J55" s="41"/>
      <c r="K55" s="41"/>
      <c r="L55" s="41"/>
      <c r="M55" s="42">
        <f ca="1">IFERROR(M41+M54,"")</f>
        <v>7.5969560187109486E-2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44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L31" sqref="L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192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192</v>
      </c>
      <c r="O27" s="90">
        <v>393200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195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197</v>
      </c>
      <c r="M29" s="35" t="str">
        <f t="shared" ref="M29:M40" ca="1" si="7">IFERROR(IF(K29="","",IF(L29="",MOD(NOW()-K29,1),IF(L29&gt;=K29,L29-K29,L29+1-K29))),"")</f>
        <v/>
      </c>
      <c r="N29" s="46" t="s">
        <v>198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192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54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54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54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54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54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N30" sqref="N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192</v>
      </c>
      <c r="O27" s="39">
        <v>308500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0.11624733796634246</v>
      </c>
      <c r="N29" s="27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0.11624733796634246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0.11624733796634246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39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39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192</v>
      </c>
      <c r="O27" s="39">
        <v>202230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/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6.7361111111111094E-2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6.7361111111111094E-2</v>
      </c>
      <c r="N55" s="40" t="s">
        <v>195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192</v>
      </c>
      <c r="O162" s="39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192</v>
      </c>
      <c r="O432" s="39"/>
    </row>
    <row r="433" spans="1:17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2026-07-02T13:48:49Z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