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65" documentId="8_{C51EB6CB-002B-4D6B-B68F-DDEBDB4460C0}" xr6:coauthVersionLast="47" xr6:coauthVersionMax="47" xr10:uidLastSave="{31809DAC-ABD6-4435-B6D6-A8214F2C3600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<sst xmlns="http://schemas.openxmlformats.org/spreadsheetml/2006/main" count="3683" uniqueCount="291">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</sst>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70" sqref="F1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189</v>
      </c>
      <c r="G176" s="36">
        <f>SUM(G164:G175)</f>
        <v>945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189</v>
      </c>
      <c r="G190" s="40">
        <f>G176+G189</f>
        <v>945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40" activePane="bottomLeft" state="frozen"/>
      <selection pane="bottomLeft" activeCell="J166" sqref="J1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0.42191944443766261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0.56080833332655144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0.64553055554877381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/>
      <c r="M166" s="30">
        <f t="shared" ca="1" si="37"/>
        <v>5.2527777734212577E-3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35</v>
      </c>
      <c r="G176" s="36">
        <f>SUM(G164:G175)</f>
        <v>147</v>
      </c>
      <c r="H176" s="37"/>
      <c r="I176" s="37"/>
      <c r="J176" s="37"/>
      <c r="K176" s="37"/>
      <c r="L176" s="37"/>
      <c r="M176" s="38">
        <f ca="1">IFERROR(SUM(M164:M175),"")</f>
        <v>6.497499999564349E-2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35</v>
      </c>
      <c r="G190" s="40">
        <f>G176+G189</f>
        <v>147</v>
      </c>
      <c r="H190" s="41"/>
      <c r="I190" s="41"/>
      <c r="J190" s="41"/>
      <c r="K190" s="41"/>
      <c r="L190" s="41"/>
      <c r="M190" s="42">
        <f ca="1">IFERROR(M176+M189,"")</f>
        <v>6.497499999564349E-2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F170" sqref="F1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40</v>
      </c>
      <c r="G176" s="36">
        <f>SUM(G164:G175)</f>
        <v>168.00000000000003</v>
      </c>
      <c r="H176" s="37"/>
      <c r="I176" s="37"/>
      <c r="J176" s="37"/>
      <c r="K176" s="37"/>
      <c r="L176" s="37"/>
      <c r="M176" s="38">
        <f ca="1">IFERROR(SUM(M164:M175),"")</f>
        <v>6.6666666666666763E-2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40</v>
      </c>
      <c r="G190" s="40">
        <f>G176+G189</f>
        <v>168.00000000000003</v>
      </c>
      <c r="H190" s="41"/>
      <c r="I190" s="41"/>
      <c r="J190" s="41"/>
      <c r="K190" s="41"/>
      <c r="L190" s="41"/>
      <c r="M190" s="42">
        <f ca="1">IFERROR(M176+M189,"")</f>
        <v>6.6666666666666763E-2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F170" sqref="F1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/>
      <c r="J169" s="33"/>
      <c r="K169" s="29">
        <v>0.52569444444444446</v>
      </c>
      <c r="L169" s="29"/>
      <c r="M169" s="35">
        <f t="shared" ca="1" si="37"/>
        <v>1.7752777777786832E-2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83</v>
      </c>
      <c r="G176" s="36">
        <f>SUM(G164:G175)</f>
        <v>348.6</v>
      </c>
      <c r="H176" s="37"/>
      <c r="I176" s="37"/>
      <c r="J176" s="37"/>
      <c r="K176" s="61"/>
      <c r="L176" s="61"/>
      <c r="M176" s="38">
        <f ca="1">IFERROR(SUM(M164:M175),"")</f>
        <v>9.0669444444453462E-2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83</v>
      </c>
      <c r="G190" s="40">
        <f>G176+G189</f>
        <v>348.6</v>
      </c>
      <c r="H190" s="41"/>
      <c r="I190" s="41"/>
      <c r="J190" s="41"/>
      <c r="K190" s="63"/>
      <c r="L190" s="63"/>
      <c r="M190" s="42">
        <f ca="1">IFERROR(M176+M189,"")</f>
        <v>9.0669444444453462E-2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2026-08-07T17:04:47Z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