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045" documentId="8_{AF585B22-221D-4780-BB9C-493D365A6A02}" xr6:coauthVersionLast="47" xr6:coauthVersionMax="47" xr10:uidLastSave="{BE0941AB-B822-4D5C-A758-1116DFB86024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<sst xmlns="http://schemas.openxmlformats.org/spreadsheetml/2006/main" count="12575" uniqueCount="445">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</sst>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10" activePane="bottomLeft" state="frozen"/>
      <selection pane="bottomLeft" activeCell="F833" sqref="F83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3" t="s">
        <v>234</v>
      </c>
      <c r="B662" s="114"/>
      <c r="C662" s="114"/>
      <c r="D662" s="114"/>
      <c r="E662" s="11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 t="s">
        <v>18</v>
      </c>
      <c r="I826" s="80" t="s">
        <v>23</v>
      </c>
      <c r="J826" s="80" t="s">
        <v>164</v>
      </c>
      <c r="K826" s="98">
        <v>9.375E-2</v>
      </c>
      <c r="L826" s="98">
        <v>9.930555555555555E-2</v>
      </c>
      <c r="M826" s="78">
        <f ca="1">IFERROR(IF(K826="","",IF(L826="",MOD(NOW()-K826,1),IF(L826&gt;=K826,L826-K826,L826+1-K826))),"")</f>
        <v>5.5555555555555497E-3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>
        <v>30</v>
      </c>
      <c r="G829" s="101">
        <f>IF(F829="","",IF(E829="PC 17",F829*4.2,IF(E829="PC 19",F829*5,"")))</f>
        <v>150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>
        <v>20</v>
      </c>
      <c r="G830" s="101">
        <f>IF(F830="","",IF(E830="PC 17",F830*4.2,IF(E830="PC 19",F830*5,"")))</f>
        <v>100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>
        <v>21</v>
      </c>
      <c r="G831" s="101">
        <f>IF(F831="","",IF(E831="PC 17",F831*4.2,IF(E831="PC 19",F831*5,"")))</f>
        <v>105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>
        <v>20</v>
      </c>
      <c r="G832" s="101">
        <f>IF(F832="","",IF(E832="PC 17",F832*4.2,IF(E832="PC 19",F832*5,"")))</f>
        <v>100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194</v>
      </c>
      <c r="G837" s="109">
        <f>SUM(G825:G836)</f>
        <v>970</v>
      </c>
      <c r="H837" s="37"/>
      <c r="I837" s="37"/>
      <c r="J837" s="37"/>
      <c r="K837" s="37"/>
      <c r="L837" s="37"/>
      <c r="M837" s="110">
        <f ca="1">IFERROR(SUM(M825:M836),"")</f>
        <v>1.3194444444444522E-2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327</v>
      </c>
      <c r="G838" s="111">
        <f>G824+G837</f>
        <v>970</v>
      </c>
      <c r="H838" s="41"/>
      <c r="I838" s="41"/>
      <c r="J838" s="41"/>
      <c r="K838" s="41"/>
      <c r="L838" s="41"/>
      <c r="M838" s="112">
        <f ca="1">IFERROR(M824+M837,"")</f>
        <v>0.17291666666666672</v>
      </c>
      <c r="N838" s="111" t="s">
        <v>240</v>
      </c>
      <c r="O838" s="83">
        <f>IFERROR(O824+O837,"")</f>
        <v>656110</v>
      </c>
    </row>
  </sheetData>
  <mergeCells count="93">
    <mergeCell ref="A811:E811"/>
    <mergeCell ref="A824:E824"/>
    <mergeCell ref="A837:E837"/>
    <mergeCell ref="A838:E838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770:E770"/>
    <mergeCell ref="A783:E783"/>
    <mergeCell ref="A702:E702"/>
    <mergeCell ref="A703:E703"/>
    <mergeCell ref="A716:E716"/>
    <mergeCell ref="A729:E729"/>
    <mergeCell ref="A730:E730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11" activePane="bottomLeft" state="frozen"/>
      <selection pane="bottomLeft" activeCell="G851" sqref="G8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0.88703703703504289</v>
      </c>
      <c r="N377" s="46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1.0446759259239318</v>
      </c>
      <c r="N378" s="36" t="s">
        <v>237</v>
      </c>
      <c r="O378" s="77">
        <v>511980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1.154398148146154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0.86550925925985212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1.0363425925931855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1.1814814814820744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 t="s">
        <v>20</v>
      </c>
      <c r="I828" s="80" t="s">
        <v>31</v>
      </c>
      <c r="J828" s="80" t="s">
        <v>36</v>
      </c>
      <c r="K828" s="98">
        <v>2.5694444444444443E-2</v>
      </c>
      <c r="L828" s="98">
        <v>3.2638888888888891E-2</v>
      </c>
      <c r="M828" s="78">
        <f ca="1">IFERROR(IF(K828="","",IF(L828="",MOD(NOW()-K828,1),IF(L828&gt;=K828,L828-K828,L828+1-K828))),"")</f>
        <v>6.9444444444444475E-3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30</v>
      </c>
      <c r="G829" s="104">
        <f>IF(F829="","",IF(E829="PC 17",F829*4.2,IF(E829="PC 19",F829*5,"")))</f>
        <v>126</v>
      </c>
      <c r="H829" s="81" t="s">
        <v>18</v>
      </c>
      <c r="I829" s="81" t="s">
        <v>31</v>
      </c>
      <c r="J829" s="81" t="s">
        <v>119</v>
      </c>
      <c r="K829" s="98">
        <v>8.8888888888888892E-2</v>
      </c>
      <c r="L829" s="98">
        <v>0.10208333333333333</v>
      </c>
      <c r="M829" s="79">
        <f ca="1">IFERROR(IF(K829="","",IF(L829="",MOD(NOW()-K829,1),IF(L829&gt;=K829,L829-K829,L829+1-K829))),"")</f>
        <v>1.3194444444444439E-2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21</v>
      </c>
      <c r="G831" s="104">
        <f>IF(F831="","",IF(E831="PC 17",F831*4.2,IF(E831="PC 19",F831*5,"")))</f>
        <v>88.2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143</v>
      </c>
      <c r="G837" s="109">
        <f>SUM(G825:G836)</f>
        <v>613.40000000000009</v>
      </c>
      <c r="H837" s="37"/>
      <c r="I837" s="37"/>
      <c r="J837" s="37"/>
      <c r="K837" s="37"/>
      <c r="L837" s="37"/>
      <c r="M837" s="110">
        <f ca="1">IFERROR(SUM(M825:M836),"")</f>
        <v>4.0972222222222146E-2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312</v>
      </c>
      <c r="G838" s="111">
        <f>G824+G837</f>
        <v>1323.2000000000003</v>
      </c>
      <c r="H838" s="41"/>
      <c r="I838" s="41"/>
      <c r="J838" s="41"/>
      <c r="K838" s="41"/>
      <c r="L838" s="41"/>
      <c r="M838" s="112">
        <f ca="1">IFERROR(M824+M837,"")</f>
        <v>0.14583333333333326</v>
      </c>
      <c r="N838" s="111" t="s">
        <v>240</v>
      </c>
      <c r="O838" s="82">
        <f>IFERROR(O824+O837,"")</f>
        <v>741170</v>
      </c>
    </row>
  </sheetData>
  <mergeCells count="88"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622:E622"/>
    <mergeCell ref="A635:E635"/>
    <mergeCell ref="A810:E810"/>
    <mergeCell ref="A811:E811"/>
    <mergeCell ref="A730:E730"/>
    <mergeCell ref="A743:E743"/>
    <mergeCell ref="A756:E756"/>
    <mergeCell ref="A757:E757"/>
    <mergeCell ref="A770:E770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95" zoomScale="50" zoomScaleNormal="50" workbookViewId="0">
      <selection activeCell="G836" sqref="G8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 t="s">
        <v>20</v>
      </c>
      <c r="I825" s="81" t="s">
        <v>47</v>
      </c>
      <c r="J825" s="81" t="s">
        <v>62</v>
      </c>
      <c r="K825" s="98">
        <v>8.819444444444445E-2</v>
      </c>
      <c r="L825" s="98">
        <v>9.0277777777777776E-2</v>
      </c>
      <c r="M825" s="79">
        <f ca="1">IFERROR(IF(K825="","",IF(L825="",MOD(NOW()-K825,1),IF(L825&gt;=K825,L825-K825,L825+1-K825))),"")</f>
        <v>2.0833333333333259E-3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8</v>
      </c>
      <c r="G830" s="104">
        <f>IF(F830="","",IF(E830="PC 17",F830*4.2,IF(E830="PC 19",F830*5,"")))</f>
        <v>33.6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91</v>
      </c>
      <c r="G837" s="109">
        <f>SUM(G825:G836)</f>
        <v>391</v>
      </c>
      <c r="H837" s="37"/>
      <c r="I837" s="37"/>
      <c r="J837" s="37"/>
      <c r="K837" s="37"/>
      <c r="L837" s="37"/>
      <c r="M837" s="110">
        <f ca="1">IFERROR(SUM(M825:M836),"")</f>
        <v>2.0833333333333259E-3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186</v>
      </c>
      <c r="G838" s="111">
        <f>G824+G837</f>
        <v>790</v>
      </c>
      <c r="H838" s="41"/>
      <c r="I838" s="41"/>
      <c r="J838" s="41"/>
      <c r="K838" s="41"/>
      <c r="L838" s="41"/>
      <c r="M838" s="112">
        <f ca="1">IFERROR(M824+M837,"")</f>
        <v>5.9722222222222232E-2</v>
      </c>
      <c r="N838" s="111" t="s">
        <v>240</v>
      </c>
      <c r="O838" s="82">
        <f>IFERROR(O824+O837,"")</f>
        <v>441270</v>
      </c>
    </row>
  </sheetData>
  <mergeCells count="93">
    <mergeCell ref="A824:E824"/>
    <mergeCell ref="A837:E837"/>
    <mergeCell ref="A838:E838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770:E770"/>
    <mergeCell ref="A783:E783"/>
    <mergeCell ref="A702:E702"/>
    <mergeCell ref="A703:E703"/>
    <mergeCell ref="A716:E716"/>
    <mergeCell ref="A729:E729"/>
    <mergeCell ref="A730:E730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12" activePane="bottomLeft" state="frozen"/>
      <selection pane="bottomLeft" activeCell="G832" sqref="G832:G8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0.87731481481750961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1.0766203703730652</v>
      </c>
      <c r="N135" s="36" t="s">
        <v>237</v>
      </c>
      <c r="O135" s="39">
        <v>729290</v>
      </c>
    </row>
    <row r="136" spans="1:18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1.4439814814841763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3" t="s">
        <v>236</v>
      </c>
      <c r="B338" s="114"/>
      <c r="C338" s="114"/>
      <c r="D338" s="114"/>
      <c r="E338" s="11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329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30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ca="1">IFERROR(IF(K829="","",IF(L829="",MOD(NOW()-K829,1),IF(L829&gt;=K829,L829-K829,L829+1-K829))),"")</f>
        <v>6.9444444444444198E-4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30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57</v>
      </c>
      <c r="J830" s="80" t="s">
        <v>56</v>
      </c>
      <c r="K830" s="98">
        <v>6.3888888888888884E-2</v>
      </c>
      <c r="L830" s="98">
        <v>8.1944444444444445E-2</v>
      </c>
      <c r="M830" s="78">
        <f ca="1">IFERROR(IF(K830="","",IF(L830="",MOD(NOW()-K830,1),IF(L830&gt;=K830,L830-K830,L830+1-K830))),"")</f>
        <v>1.8055555555555561E-2</v>
      </c>
      <c r="N830" s="105" t="s">
        <v>384</v>
      </c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30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30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79</v>
      </c>
      <c r="G837" s="109">
        <f>SUM(G825:G836)</f>
        <v>331.8</v>
      </c>
      <c r="H837" s="37"/>
      <c r="I837" s="37"/>
      <c r="J837" s="37"/>
      <c r="K837" s="37"/>
      <c r="L837" s="37"/>
      <c r="M837" s="110">
        <f ca="1">IFERROR(SUM(M825:M836),"")</f>
        <v>4.8611111111111119E-2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198</v>
      </c>
      <c r="G838" s="111">
        <f>G824+G837</f>
        <v>831.60000000000014</v>
      </c>
      <c r="H838" s="41"/>
      <c r="I838" s="41"/>
      <c r="J838" s="41"/>
      <c r="K838" s="41"/>
      <c r="L838" s="41"/>
      <c r="M838" s="112">
        <f ca="1">IFERROR(M824+M837,"")</f>
        <v>0.16458333333333325</v>
      </c>
      <c r="N838" s="111" t="s">
        <v>240</v>
      </c>
      <c r="O838" s="82">
        <f>IFERROR(O824+O837,"")</f>
        <v>545810</v>
      </c>
    </row>
  </sheetData>
  <mergeCells count="92">
    <mergeCell ref="A824:E824"/>
    <mergeCell ref="A837:E837"/>
    <mergeCell ref="A838:E838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2026-08-01T07:02:53Z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