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9" documentId="13_ncr:1_{A6DBCFB4-28D9-4249-9038-216934055CA6}" xr6:coauthVersionLast="47" xr6:coauthVersionMax="47" xr10:uidLastSave="{D41FE5D0-FA75-4A2E-930E-B70F1179365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<sst xmlns="http://schemas.openxmlformats.org/spreadsheetml/2006/main" count="10861" uniqueCount="443">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</sst>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0" sqref="F66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/>
      <c r="L651" s="64"/>
      <c r="M651" s="70" t="str">
        <f t="shared" ca="1" si="141"/>
        <v/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/>
      <c r="G660" s="63" t="str">
        <f t="shared" si="140"/>
        <v/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270</v>
      </c>
      <c r="G662" s="2">
        <f>SUM(G650:G661)</f>
        <v>1350</v>
      </c>
      <c r="H662" s="71"/>
      <c r="I662" s="71"/>
      <c r="J662" s="71"/>
      <c r="K662" s="71"/>
      <c r="L662" s="71"/>
      <c r="M662" s="72">
        <f ca="1">IFERROR(SUM(M650:M661),"")</f>
        <v>0.10902777777777772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270</v>
      </c>
      <c r="G676" s="1">
        <f>G662+G675</f>
        <v>1350</v>
      </c>
      <c r="H676" s="75"/>
      <c r="I676" s="75"/>
      <c r="J676" s="75"/>
      <c r="K676" s="75"/>
      <c r="L676" s="75"/>
      <c r="M676" s="76">
        <f ca="1">IFERROR(M662+M675,"")</f>
        <v>0.10902777777777772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0" sqref="G66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0.61108333332958864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0.74997222221847637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0.83469444444069918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117.60000000000001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117.60000000000001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9" sqref="G65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/>
      <c r="Q650" s="65">
        <f t="shared" ref="Q650:Q661" ca="1" si="169">IFERROR(IF(O650="","",IF(P650="",MOD(NOW()-O650,1),IF(P650&gt;=O650,P650-O650,P650+1-O650))),"")</f>
        <v>0.44094444444635883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0.44094444444635883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0.44094444444635883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N654" sqref="N65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61</v>
      </c>
      <c r="N654" s="60" t="s">
        <v>36</v>
      </c>
      <c r="O654" s="64">
        <v>0.72083333333333333</v>
      </c>
      <c r="P654" s="64"/>
      <c r="Q654" s="65">
        <f t="shared" ca="1" si="172"/>
        <v>1.1777777777751908E-2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97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417.8</v>
      </c>
      <c r="L662" s="71"/>
      <c r="M662" s="71"/>
      <c r="N662" s="71"/>
      <c r="O662" s="133"/>
      <c r="P662" s="133"/>
      <c r="Q662" s="72">
        <f ca="1">IFERROR(SUM(Q650:Q661),"")</f>
        <v>0.24997222222219623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97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417.8</v>
      </c>
      <c r="L676" s="75"/>
      <c r="M676" s="75"/>
      <c r="N676" s="75"/>
      <c r="O676" s="134"/>
      <c r="P676" s="134"/>
      <c r="Q676" s="76">
        <f ca="1">IFERROR(Q662+Q675,"")</f>
        <v>0.24997222222219623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2026-08-25T21:36:53Z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