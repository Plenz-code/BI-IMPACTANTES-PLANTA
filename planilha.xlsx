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116" documentId="8_{AF585B22-221D-4780-BB9C-493D365A6A02}" xr6:coauthVersionLast="47" xr6:coauthVersionMax="47" xr10:uidLastSave="{0B201EDE-FCC3-4F2E-B59A-252F1618F89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<sst xmlns="http://schemas.openxmlformats.org/spreadsheetml/2006/main" count="12601" uniqueCount="446">
  <si>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</si>
  <si>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</si>
  <si>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</si>
  <si>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</si>
  <si>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</si>
  <si>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</si>
  <si>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</si>
  <si>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</si>
  <si>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</si>
  <si>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</si>
  <si>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</si>
  <si>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</si>
  <si>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</si>
  <si>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</si>
  <si>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</si>
  <si>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</si>
  <si>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</si>
  <si>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</si>
  <si>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</si>
  <si>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</si>
  <si>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</si>
  <si>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</si>
  <si>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</si>
  <si>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</si>
  <si>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</si>
  <si>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</si>
  <si>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</si>
  <si>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</si>
  <si>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</si>
  <si>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</si>
  <si>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</si>
  <si>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</si>
  <si>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</si>
  <si>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</si>
  <si>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</si>
  <si>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</si>
  <si>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</si>
  <si>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</si>
  <si>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</si>
  <si>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</si>
  <si>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</si>
  <si>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</si>
  <si>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</si>
  <si>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</si>
  <si>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</si>
  <si>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</si>
  <si>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</si>
  <si>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</si>
  <si>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</si>
  <si>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</si>
  <si>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</si>
  <si>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</si>
  <si>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</si>
  <si>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</si>
  <si>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</si>
  <si>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</si>
  <si>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</si>
  <si>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</si>
  <si>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</si>
  <si>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</si>
  <si>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</si>
  <si>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</si>
  <si>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</si>
  <si>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</si>
  <si>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</si>
  <si>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</si>
  <si>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</si>
  <si>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</si>
  <si>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</si>
  <si>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</si>
  <si>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</si>
  <si>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</si>
  <si>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</si>
  <si>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</si>
  <si>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</si>
  <si>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</si>
  <si>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</si>
  <si>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</si>
  <si>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</si>
  <si>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</si>
  <si>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</si>
  <si>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</si>
  <si>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</si>
  <si>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</si>
  <si>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</si>
  <si>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</si>
  <si>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</si>
  <si>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</si>
  <si>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</si>
  <si>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</si>
  <si>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</si>
  <si>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</si>
  <si>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</si>
  <si>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</si>
  <si>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</si>
  <si>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</si>
  <si>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</si>
  <si>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</si>
  <si>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</si>
  <si>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</si>
  <si>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</si>
  <si>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</si>
  <si>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</si>
  <si>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</si>
  <si>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</si>
  <si>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</si>
  <si>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</si>
  <si>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</si>
  <si>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</si>
  <si>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</si>
  <si>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</si>
  <si>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</si>
  <si>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</si>
  <si>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</si>
  <si>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</si>
  <si>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</si>
  <si>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</si>
  <si>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</si>
  <si>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</si>
  <si>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</si>
  <si>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</si>
  <si>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</si>
  <si>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</si>
  <si>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</si>
  <si>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</si>
  <si>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</si>
  <si>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</si>
  <si>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</si>
  <si>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</si>
  <si>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</si>
  <si>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</si>
  <si>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</si>
  <si>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</si>
  <si>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</si>
  <si>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</si>
  <si>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</si>
  <si>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</si>
  <si>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</si>
  <si>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</si>
  <si>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</si>
  <si>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</si>
  <si>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</si>
  <si>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</si>
  <si>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</si>
  <si>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</si>
  <si>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</si>
  <si>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</si>
  <si>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</si>
  <si>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</si>
  <si>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</si>
  <si>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</si>
  <si>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</si>
  <si>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</si>
  <si>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</si>
  <si>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</si>
  <si>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</si>
  <si>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</si>
  <si>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</si>
  <si>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</si>
  <si>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</si>
  <si>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</si>
  <si>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</si>
  <si>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</si>
  <si>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</si>
  <si>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</si>
  <si>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</si>
  <si>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</si>
  <si>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</si>
  <si>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</si>
  <si>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</si>
  <si>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</si>
  <si>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</si>
  <si>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</si>
  <si>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</si>
  <si>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</si>
  <si>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</si>
  <si>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</si>
  <si>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</si>
  <si>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</si>
  <si>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</si>
  <si>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</si>
  <si>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</si>
  <si>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</si>
  <si>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</si>
  <si>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</si>
  <si>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</si>
  <si>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</si>
  <si>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</si>
  <si>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</si>
  <si>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</si>
  <si>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</si>
  <si>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</si>
  <si>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</si>
  <si>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</si>
  <si>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</si>
  <si>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</si>
  <si>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</si>
  <si>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</si>
  <si>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</si>
  <si>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</si>
  <si>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</si>
  <si>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</si>
  <si>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</si>
  <si>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</si>
  <si>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</si>
  <si>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</si>
  <si>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</si>
  <si>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</si>
  <si>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</si>
  <si>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</si>
  <si>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</si>
  <si>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</si>
  <si>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</si>
  <si>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</si>
  <si>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</si>
  <si>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</si>
  <si>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</si>
  <si>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</si>
  <si>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</si>
  <si>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</si>
  <si>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</si>
  <si>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</si>
  <si>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</si>
  <si>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</si>
  <si>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</si>
  <si>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</si>
  <si>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</si>
  <si>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</si>
  <si>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</si>
  <si>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</si>
  <si>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</si>
  <si>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</si>
  <si>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</si>
  <si>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</si>
  <si>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</si>
  <si>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</si>
  <si>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</si>
  <si>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</si>
  <si>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</si>
  <si>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</si>
  <si>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</si>
  <si>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</si>
  <si>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</si>
  <si>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</si>
  <si>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</si>
  <si>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</si>
  <si>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</si>
  <si>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</si>
  <si>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</si>
  <si>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</si>
  <si>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</si>
  <si>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</si>
  <si>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</si>
  <si>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</si>
  <si>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</si>
  <si>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</si>
  <si>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</si>
  <si>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</si>
  <si>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</si>
  <si>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</si>
  <si>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</si>
  <si>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</si>
  <si>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</si>
  <si>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</si>
  <si>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</si>
  <si>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</si>
  <si>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</si>
  <si>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</si>
  <si>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</si>
  <si>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</si>
  <si>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</si>
  <si>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</si>
  <si>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</si>
  <si>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</si>
  <si>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</si>
  <si>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</si>
  <si>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</si>
  <si>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</si>
  <si>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</si>
  <si>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carregamento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</si>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</sst>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2868780</v>
      </c>
      <c r="D34" s="11">
        <f>IFERROR('Linha 1'!O838,"")</f>
        <v>1539440</v>
      </c>
      <c r="E34" s="11">
        <f>IFERROR('Linha 2'!O838,"")</f>
        <v>1038070</v>
      </c>
      <c r="F34" s="11">
        <f>IFERROR('Linha 3'!O838,"")</f>
        <v>1316480</v>
      </c>
      <c r="G34" s="12">
        <f t="shared" si="0"/>
        <v>3893990</v>
      </c>
    </row>
    <row r="35" spans="1:7" ht="14.25" customHeight="1">
      <c r="A35" s="127" t="s">
        <v>9</v>
      </c>
      <c r="B35" s="127"/>
      <c r="C35" s="13">
        <f>IFERROR(SUM(C4:C34),"")</f>
        <v>96893558</v>
      </c>
      <c r="D35" s="13">
        <f>IFERROR(SUM(D4:D34),"")</f>
        <v>39099530</v>
      </c>
      <c r="E35" s="13">
        <f>IFERROR(SUM(E4:E34),"")</f>
        <v>21892050</v>
      </c>
      <c r="F35" s="13">
        <f>IFERROR(SUM(F4:F34),"")</f>
        <v>38989910</v>
      </c>
      <c r="G35" s="13">
        <f>IFERROR(SUM(G4:G34),"")</f>
        <v>99981490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23" activePane="bottomLeft" state="frozen"/>
      <selection pane="bottomLeft" activeCell="N835" sqref="N8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 t="s">
        <v>20</v>
      </c>
      <c r="I827" s="81" t="s">
        <v>23</v>
      </c>
      <c r="J827" s="81" t="s">
        <v>200</v>
      </c>
      <c r="K827" s="98">
        <v>0.2638888888888889</v>
      </c>
      <c r="L827" s="98">
        <v>0.29166666666666669</v>
      </c>
      <c r="M827" s="79">
        <f ca="1">IFERROR(IF(K827="","",IF(L827="",MOD(NOW()-K827,1),IF(L827&gt;=K827,L827-K827,L827+1-K827))),"")</f>
        <v>2.777777777777779E-2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 t="s">
        <v>279</v>
      </c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>
        <v>28</v>
      </c>
      <c r="G835" s="101">
        <f>IF(F835="","",IF(E835="PC 17",F835*4.2,IF(E835="PC 19",F835*5,"")))</f>
        <v>140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>
        <v>0</v>
      </c>
      <c r="G836" s="101">
        <f>IF(F836="","",IF(E836="PC 17",F836*4.2,IF(E836="PC 19",F836*5,"")))</f>
        <v>0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297</v>
      </c>
      <c r="G837" s="109">
        <f>SUM(G825:G836)</f>
        <v>1485</v>
      </c>
      <c r="H837" s="37"/>
      <c r="I837" s="37"/>
      <c r="J837" s="37"/>
      <c r="K837" s="37"/>
      <c r="L837" s="37"/>
      <c r="M837" s="110">
        <f ca="1">IFERROR(SUM(M825:M836),"")</f>
        <v>4.0972222222222313E-2</v>
      </c>
      <c r="N837" s="109" t="s">
        <v>237</v>
      </c>
      <c r="O837" s="77">
        <v>2212670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430</v>
      </c>
      <c r="G838" s="111">
        <f>G824+G837</f>
        <v>1485</v>
      </c>
      <c r="H838" s="41"/>
      <c r="I838" s="41"/>
      <c r="J838" s="41"/>
      <c r="K838" s="41"/>
      <c r="L838" s="41"/>
      <c r="M838" s="112">
        <f ca="1">IFERROR(M824+M837,"")</f>
        <v>0.20069444444444451</v>
      </c>
      <c r="N838" s="111" t="s">
        <v>240</v>
      </c>
      <c r="O838" s="83">
        <f>IFERROR(O824+O837,"")</f>
        <v>2868780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O838" sqref="O8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280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290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300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310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3.9312847220571712E-2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0.1969517361094606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0.30667395833168276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1.7785069445380941E-2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0.18861840277871431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0.33375729166760315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320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330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340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343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345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346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347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348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349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350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351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>
        <v>13</v>
      </c>
      <c r="G835" s="104">
        <f>IF(F835="","",IF(E835="PC 17",F835*4.2,IF(E835="PC 19",F835*5,"")))</f>
        <v>54.6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>
        <v>3</v>
      </c>
      <c r="G836" s="104">
        <f>IF(F836="","",IF(E836="PC 17",F836*4.2,IF(E836="PC 19",F836*5,"")))</f>
        <v>12.600000000000001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193</v>
      </c>
      <c r="G837" s="109">
        <f>SUM(G825:G836)</f>
        <v>823.40000000000009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>
        <v>798270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362</v>
      </c>
      <c r="G838" s="111">
        <f>G824+G837</f>
        <v>1533.2000000000003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1539440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14" zoomScale="50" zoomScaleNormal="50" workbookViewId="0">
      <selection activeCell="O838" sqref="O8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330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293</v>
      </c>
      <c r="K141" s="29">
        <v>0.71597222222222223</v>
      </c>
      <c r="L141" s="29" t="s">
        <v>357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359</v>
      </c>
      <c r="N166" s="27" t="s">
        <v>360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370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380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330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330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346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347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348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385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330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ca="1">IFERROR(IF(K827="","",IF(L827="",MOD(NOW()-K827,1),IF(L827&gt;=K827,L827-K827,L827+1-K827))),"")</f>
        <v>9.0277777777777735E-3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1</v>
      </c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137</v>
      </c>
      <c r="G837" s="109">
        <f>SUM(G825:G836)</f>
        <v>579.99999999999989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>
        <v>596800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232</v>
      </c>
      <c r="G838" s="111">
        <f>G824+G837</f>
        <v>978.99999999999977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1038070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O838" sqref="O8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390</v>
      </c>
      <c r="L58" s="29">
        <v>0.54097222222222219</v>
      </c>
      <c r="M58" s="30" t="str">
        <f t="shared" ca="1" si="13"/>
        <v/>
      </c>
      <c r="N58" s="27" t="s">
        <v>391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330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2.959062500303844E-2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0.22889618055859406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0.59625729166970509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400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410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420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430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330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345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435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439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440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441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442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443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444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445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330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385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 t="s">
        <v>20</v>
      </c>
      <c r="I831" s="81" t="s">
        <v>57</v>
      </c>
      <c r="J831" s="81" t="s">
        <v>28</v>
      </c>
      <c r="K831" s="98">
        <v>0.23749999999999999</v>
      </c>
      <c r="L831" s="98">
        <v>0.2722222222222222</v>
      </c>
      <c r="M831" s="79">
        <f ca="1">IFERROR(IF(K831="","",IF(L831="",MOD(NOW()-K831,1),IF(L831&gt;=K831,L831-K831,L831+1-K831))),"")</f>
        <v>3.472222222222221E-2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0</v>
      </c>
      <c r="G836" s="104">
        <f>IF(F836="","",IF(E836="PC 17",F836*4.2,IF(E836="PC 19",F836*5,"")))</f>
        <v>0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139</v>
      </c>
      <c r="G837" s="109">
        <f>SUM(G825:G836)</f>
        <v>583.79999999999995</v>
      </c>
      <c r="H837" s="37"/>
      <c r="I837" s="37"/>
      <c r="J837" s="37"/>
      <c r="K837" s="37"/>
      <c r="L837" s="37"/>
      <c r="M837" s="110">
        <f ca="1">IFERROR(SUM(M825:M836),"")</f>
        <v>8.3333333333333329E-2</v>
      </c>
      <c r="N837" s="109" t="s">
        <v>237</v>
      </c>
      <c r="O837" s="77">
        <v>770670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258</v>
      </c>
      <c r="G838" s="111">
        <f>G824+G837</f>
        <v>1083.5999999999999</v>
      </c>
      <c r="H838" s="41"/>
      <c r="I838" s="41"/>
      <c r="J838" s="41"/>
      <c r="K838" s="41"/>
      <c r="L838" s="41"/>
      <c r="M838" s="112">
        <f ca="1">IFERROR(M824+M837,"")</f>
        <v>0.19930555555555546</v>
      </c>
      <c r="N838" s="111" t="s">
        <v>240</v>
      </c>
      <c r="O838" s="82">
        <f>IFERROR(O824+O837,"")</f>
        <v>1316480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2026-08-01T10:42:07Z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