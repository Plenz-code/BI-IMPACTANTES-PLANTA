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49" documentId="8_{C51EB6CB-002B-4D6B-B68F-DDEBDB4460C0}" xr6:coauthVersionLast="47" xr6:coauthVersionMax="47" xr10:uidLastSave="{EACB6C80-A042-46B6-ADA4-A02C806C5614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<sst xmlns="http://schemas.openxmlformats.org/spreadsheetml/2006/main" count="4904" uniqueCount="321">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</sst>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15" activePane="bottomLeft" state="frozen"/>
      <selection pane="bottomLeft" activeCell="E252" sqref="E25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254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155</v>
      </c>
      <c r="G257" s="36">
        <f>SUM(G245:G256)</f>
        <v>775</v>
      </c>
      <c r="H257" s="37"/>
      <c r="I257" s="37"/>
      <c r="J257" s="37"/>
      <c r="K257" s="37"/>
      <c r="L257" s="37"/>
      <c r="M257" s="38">
        <f ca="1">IFERROR(SUM(M245:M256),"")</f>
        <v>2.2222222222222254E-2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155</v>
      </c>
      <c r="G271" s="40">
        <f>G257+G270</f>
        <v>775</v>
      </c>
      <c r="H271" s="41"/>
      <c r="I271" s="41"/>
      <c r="J271" s="41"/>
      <c r="K271" s="41"/>
      <c r="L271" s="41"/>
      <c r="M271" s="42">
        <f ca="1">IFERROR(M257+M270,"")</f>
        <v>2.2222222222222254E-2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29" activePane="bottomLeft" state="frozen"/>
      <selection pane="bottomLeft" activeCell="H254" sqref="H2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0.50705706018197816</v>
      </c>
      <c r="N53" s="46" t="s">
        <v>263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0.645945949070867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0.73066817129308936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265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266</v>
      </c>
      <c r="M96" s="30" t="str">
        <f t="shared" ref="M96:M107" ca="1" si="22">IFERROR(IF(K96="","",IF(L96="",MOD(NOW()-K96,1),IF(L96&gt;=K96,L96-K96,L96+1-K96))),"")</f>
        <v/>
      </c>
      <c r="N96" s="46" t="s">
        <v>267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275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276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277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270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264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279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280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102</v>
      </c>
      <c r="G257" s="36">
        <f>SUM(G245:G256)</f>
        <v>485.19999999999993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102</v>
      </c>
      <c r="G271" s="40">
        <f>G257+G270</f>
        <v>485.19999999999993</v>
      </c>
      <c r="H271" s="41"/>
      <c r="I271" s="41"/>
      <c r="J271" s="41"/>
      <c r="K271" s="41"/>
      <c r="L271" s="41"/>
      <c r="M271" s="42">
        <f ca="1">IFERROR(M257+M270,"")</f>
        <v>2.7083333333333404E-2</v>
      </c>
      <c r="N271" s="40" t="s">
        <v>240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1" zoomScale="50" zoomScaleNormal="50" workbookViewId="0">
      <selection activeCell="F252" sqref="F2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264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276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292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294</v>
      </c>
      <c r="M222" s="30" t="str">
        <f t="shared" ca="1" si="49"/>
        <v/>
      </c>
      <c r="N222" s="27" t="s">
        <v>295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296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60</v>
      </c>
      <c r="G257" s="36">
        <f>SUM(G245:G256)</f>
        <v>277.60000000000002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F258" s="102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102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102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60</v>
      </c>
      <c r="G271" s="40">
        <f>G257+G270</f>
        <v>277.60000000000002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59:E261 E29:E256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1" activePane="bottomLeft" state="frozen"/>
      <selection pane="bottomLeft" activeCell="F260" sqref="F2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318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319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320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99</v>
      </c>
      <c r="G257" s="36">
        <f>SUM(G245:G256)</f>
        <v>474.2</v>
      </c>
      <c r="H257" s="37"/>
      <c r="I257" s="37"/>
      <c r="J257" s="37"/>
      <c r="K257" s="61"/>
      <c r="L257" s="61"/>
      <c r="M257" s="38">
        <f ca="1">IFERROR(SUM(M245:M256),"")</f>
        <v>6.5972222222222265E-2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99</v>
      </c>
      <c r="G271" s="40">
        <f>G257+G270</f>
        <v>474.2</v>
      </c>
      <c r="H271" s="41"/>
      <c r="I271" s="41"/>
      <c r="J271" s="41"/>
      <c r="K271" s="63"/>
      <c r="L271" s="63"/>
      <c r="M271" s="42">
        <f ca="1">IFERROR(M257+M270,"")</f>
        <v>6.5972222222222265E-2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2026-08-10T19:07:01Z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