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979" documentId="8_{AF585B22-221D-4780-BB9C-493D365A6A02}" xr6:coauthVersionLast="47" xr6:coauthVersionMax="47" xr10:uidLastSave="{1A3FBA61-9DB3-4DF2-89CD-26FF22D471BE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<sst xmlns="http://schemas.openxmlformats.org/spreadsheetml/2006/main" count="8728" uniqueCount="370">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</sst>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726090</v>
      </c>
      <c r="D24" s="8">
        <f>IFERROR('Linha 1'!O568,"")</f>
        <v>1003230</v>
      </c>
      <c r="E24" s="8">
        <f>IFERROR('Linha 2'!O568,"")</f>
        <v>171920</v>
      </c>
      <c r="F24" s="8">
        <f>IFERROR('Linha 3'!O568,"")</f>
        <v>583380</v>
      </c>
      <c r="G24" s="9">
        <f t="shared" si="0"/>
        <v>1758530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63111241</v>
      </c>
      <c r="D35" s="13">
        <f>IFERROR(SUM(D4:D34),"")</f>
        <v>24771590</v>
      </c>
      <c r="E35" s="13">
        <f>IFERROR(SUM(E4:E34),"")</f>
        <v>14012030</v>
      </c>
      <c r="F35" s="13">
        <f>IFERROR(SUM(F4:F34),"")</f>
        <v>28224620</v>
      </c>
      <c r="G35" s="13">
        <f>IFERROR(SUM(G4:G34),"")</f>
        <v>67008240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30" activePane="bottomLeft" state="frozen"/>
      <selection pane="bottomLeft" activeCell="F555" sqref="F55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130</v>
      </c>
      <c r="G568" s="40">
        <f>G554+G567</f>
        <v>650</v>
      </c>
      <c r="H568" s="41"/>
      <c r="I568" s="41"/>
      <c r="J568" s="41"/>
      <c r="K568" s="41"/>
      <c r="L568" s="41"/>
      <c r="M568" s="42">
        <f ca="1">IFERROR(M554+M567,"")</f>
        <v>0.32291666666666669</v>
      </c>
      <c r="N568" s="40" t="s">
        <v>234</v>
      </c>
      <c r="O568" s="48">
        <f>IFERROR(O554+O567,"")</f>
        <v>726090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32" activePane="bottomLeft" state="frozen"/>
      <selection pane="bottomLeft" activeCell="F555" sqref="F5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0.55474571759259561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0.71238460648148449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0.82210682870370666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0.53321793981740484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0.70405127315073823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0.84919016203962716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/>
      <c r="E555" s="62" t="s">
        <v>228</v>
      </c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/>
      <c r="E556" s="62" t="s">
        <v>228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/>
      <c r="E557" s="62" t="s">
        <v>228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/>
      <c r="E558" s="62" t="s">
        <v>228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/>
      <c r="E559" s="62" t="s">
        <v>228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/>
      <c r="E560" s="62" t="s">
        <v>228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/>
      <c r="E561" s="62" t="s">
        <v>228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/>
      <c r="E562" s="62" t="s">
        <v>228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/>
      <c r="E563" s="62" t="s">
        <v>228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/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/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/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238</v>
      </c>
      <c r="G568" s="40">
        <f>G554+G567</f>
        <v>999.6</v>
      </c>
      <c r="H568" s="41"/>
      <c r="I568" s="41"/>
      <c r="J568" s="41"/>
      <c r="K568" s="41"/>
      <c r="L568" s="41"/>
      <c r="M568" s="42">
        <f ca="1">IFERROR(M554+M567,"")</f>
        <v>8.4722222222222254E-2</v>
      </c>
      <c r="N568" s="40" t="s">
        <v>234</v>
      </c>
      <c r="O568" s="83">
        <f>IFERROR(O554+O567,"")</f>
        <v>1003230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30" zoomScale="50" zoomScaleNormal="50" workbookViewId="0">
      <selection activeCell="E558" sqref="E55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309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311</v>
      </c>
      <c r="N166" s="27" t="s">
        <v>312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/>
      <c r="E555" s="62" t="s">
        <v>228</v>
      </c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/>
      <c r="E556" s="62" t="s">
        <v>228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/>
      <c r="E557" s="62" t="s">
        <v>228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/>
      <c r="E558" s="62" t="s">
        <v>228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/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/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/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/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/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/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/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/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33</v>
      </c>
      <c r="G568" s="40">
        <f>G554+G567</f>
        <v>138.60000000000002</v>
      </c>
      <c r="H568" s="41"/>
      <c r="I568" s="41"/>
      <c r="J568" s="41"/>
      <c r="K568" s="41"/>
      <c r="L568" s="41"/>
      <c r="M568" s="42">
        <f ca="1">IFERROR(M554+M567,"")</f>
        <v>5.6944444444444464E-2</v>
      </c>
      <c r="N568" s="40" t="s">
        <v>234</v>
      </c>
      <c r="O568" s="48">
        <f>IFERROR(O554+O567,"")</f>
        <v>171920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30" activePane="bottomLeft" state="frozen"/>
      <selection pane="bottomLeft" activeCell="K555" sqref="K55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332</v>
      </c>
      <c r="L58" s="29">
        <v>0.54097222222222219</v>
      </c>
      <c r="M58" s="30" t="str">
        <f t="shared" ca="1" si="13"/>
        <v/>
      </c>
      <c r="N58" s="27" t="s">
        <v>333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0.54502349537506234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0.74432905093061796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1.111690162041729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369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/>
      <c r="E555" s="62" t="s">
        <v>255</v>
      </c>
      <c r="F555" s="27"/>
      <c r="G555" s="34" t="str">
        <f t="shared" ref="G555:G566" si="123">IF(F555="","",IF(E555="PC 17",F555*4.2,IF(E555="PC 19",F555*5,"")))</f>
        <v/>
      </c>
      <c r="H555" s="33" t="s">
        <v>18</v>
      </c>
      <c r="I555" s="33" t="s">
        <v>57</v>
      </c>
      <c r="J555" s="33" t="s">
        <v>34</v>
      </c>
      <c r="K555" s="29">
        <v>0.29166666666666669</v>
      </c>
      <c r="L555" s="29"/>
      <c r="M555" s="35">
        <f t="shared" ref="M555:M566" ca="1" si="124">IFERROR(IF(K555="","",IF(L555="",MOD(NOW()-K555,1),IF(L555&gt;=K555,L555-K555,L555+1-K555))),"")</f>
        <v>0.50266238426411292</v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/>
      <c r="E556" s="62" t="s">
        <v>255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/>
      <c r="E557" s="62" t="s">
        <v>255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/>
      <c r="E558" s="62" t="s">
        <v>255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/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/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/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/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/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/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/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/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0.50266238426411292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150</v>
      </c>
      <c r="G568" s="40">
        <f>G554+G567</f>
        <v>630</v>
      </c>
      <c r="H568" s="41"/>
      <c r="I568" s="41"/>
      <c r="J568" s="41"/>
      <c r="K568" s="63"/>
      <c r="L568" s="63"/>
      <c r="M568" s="42">
        <f ca="1">IFERROR(M554+M567,"")</f>
        <v>0.6818290509307795</v>
      </c>
      <c r="N568" s="40" t="s">
        <v>234</v>
      </c>
      <c r="O568" s="48">
        <f>IFERROR(O554+O567,"")</f>
        <v>583380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2026-07-21T23:03:57Z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