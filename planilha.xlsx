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04" documentId="8_{C51EB6CB-002B-4D6B-B68F-DDEBDB4460C0}" xr6:coauthVersionLast="47" xr6:coauthVersionMax="47" xr10:uidLastSave="{C76706A8-C552-4145-973D-F076C08B632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<sst xmlns="http://schemas.openxmlformats.org/spreadsheetml/2006/main" count="3240" uniqueCount="280">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</sst>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39" sqref="F1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F140" sqref="F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0.30181678240478504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0.44070567129367394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0.52542789351589625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47</v>
      </c>
      <c r="G149" s="36">
        <f>SUM(G137:G148)</f>
        <v>197.4</v>
      </c>
      <c r="H149" s="37"/>
      <c r="I149" s="37"/>
      <c r="J149" s="37"/>
      <c r="K149" s="37"/>
      <c r="L149" s="37"/>
      <c r="M149" s="38">
        <f ca="1">IFERROR(SUM(M137:M148),"")</f>
        <v>4.3749999999999956E-2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47</v>
      </c>
      <c r="G163" s="40">
        <f>G149+G162</f>
        <v>197.4</v>
      </c>
      <c r="H163" s="41"/>
      <c r="I163" s="41"/>
      <c r="J163" s="41"/>
      <c r="K163" s="41"/>
      <c r="L163" s="41"/>
      <c r="M163" s="42">
        <f ca="1">IFERROR(M149+M162,"")</f>
        <v>4.3749999999999956E-2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40" sqref="F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1</v>
      </c>
      <c r="G138" s="28">
        <f t="shared" si="30"/>
        <v>4.2</v>
      </c>
      <c r="H138" s="26" t="s">
        <v>20</v>
      </c>
      <c r="I138" s="26" t="s">
        <v>47</v>
      </c>
      <c r="J138" s="26" t="s">
        <v>51</v>
      </c>
      <c r="K138" s="29">
        <v>0.40277777777777779</v>
      </c>
      <c r="L138" s="29"/>
      <c r="M138" s="30">
        <f t="shared" ca="1" si="31"/>
        <v>2.0566782404785044E-2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4.1400115738118415E-2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4.1400115738118415E-2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N139" sqref="N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>
        <v>24</v>
      </c>
      <c r="G138" s="28">
        <f t="shared" si="30"/>
        <v>100.80000000000001</v>
      </c>
      <c r="H138" s="26" t="s">
        <v>20</v>
      </c>
      <c r="I138" s="26" t="s">
        <v>159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>
        <v>15</v>
      </c>
      <c r="G139" s="34">
        <f t="shared" si="30"/>
        <v>63</v>
      </c>
      <c r="H139" s="33"/>
      <c r="I139" s="33"/>
      <c r="J139" s="33"/>
      <c r="K139" s="29">
        <v>0.41319444444444442</v>
      </c>
      <c r="L139" s="29"/>
      <c r="M139" s="35">
        <f t="shared" ca="1" si="31"/>
        <v>1.0150115740543697E-2</v>
      </c>
      <c r="N139" s="86" t="s">
        <v>279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247.8</v>
      </c>
      <c r="H149" s="37"/>
      <c r="I149" s="37"/>
      <c r="J149" s="37"/>
      <c r="K149" s="61"/>
      <c r="L149" s="61"/>
      <c r="M149" s="38">
        <f ca="1">IFERROR(SUM(M137:M148),"")</f>
        <v>2.6816782407210304E-2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63"/>
      <c r="L163" s="63"/>
      <c r="M163" s="42">
        <f ca="1">IFERROR(M149+M162,"")</f>
        <v>2.6816782407210304E-2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