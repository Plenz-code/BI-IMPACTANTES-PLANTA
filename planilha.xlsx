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25" documentId="8_{AF585B22-221D-4780-BB9C-493D365A6A02}" xr6:coauthVersionLast="47" xr6:coauthVersionMax="47" xr10:uidLastSave="{072A7CD7-1E6F-446A-A2CA-B98CC35D845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<sst xmlns="http://schemas.openxmlformats.org/spreadsheetml/2006/main" count="9646" uniqueCount="383">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</sst>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7" sqref="F6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95</v>
      </c>
      <c r="G635" s="36">
        <f>SUM(G623:G634)</f>
        <v>475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95</v>
      </c>
      <c r="G649" s="40">
        <f>G635+G648</f>
        <v>475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7" sqref="F6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0.22029039351764368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0.37792928240653256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0.48765150462875473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0.19876261574245291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0.3695959490757863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0.51473483796467523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40</v>
      </c>
      <c r="G635" s="36">
        <f>SUM(G623:G634)</f>
        <v>168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40</v>
      </c>
      <c r="G649" s="40">
        <f>G635+G648</f>
        <v>168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7" sqref="F6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57</v>
      </c>
      <c r="G635" s="36">
        <f>SUM(G623:G634)</f>
        <v>239.39999999999998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57</v>
      </c>
      <c r="G649" s="40">
        <f>G635+G648</f>
        <v>239.39999999999998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F627" sqref="F6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0.21056840277742594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0.40987395833298157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0.7772350694440926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/>
      <c r="K623" s="29">
        <v>0.45833333333333331</v>
      </c>
      <c r="L623" s="29"/>
      <c r="M623" s="35">
        <f t="shared" ref="M623:M634" ca="1" si="139">IFERROR(IF(K623="","",IF(L623="",MOD(NOW()-K623,1),IF(L623&gt;=K623,L623-K623,L623+1-K623))),"")</f>
        <v>1.5406249949592166E-3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54</v>
      </c>
      <c r="G635" s="36">
        <f>SUM(G623:G634)</f>
        <v>226.8</v>
      </c>
      <c r="H635" s="37"/>
      <c r="I635" s="37"/>
      <c r="J635" s="37"/>
      <c r="K635" s="61"/>
      <c r="L635" s="61"/>
      <c r="M635" s="38">
        <f ca="1">IFERROR(SUM(M623:M634),"")</f>
        <v>1.5406249949592166E-3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54</v>
      </c>
      <c r="G649" s="40">
        <f>G635+G648</f>
        <v>226.8</v>
      </c>
      <c r="H649" s="41"/>
      <c r="I649" s="41"/>
      <c r="J649" s="41"/>
      <c r="K649" s="63"/>
      <c r="L649" s="63"/>
      <c r="M649" s="42">
        <f ca="1">IFERROR(M635+M648,"")</f>
        <v>1.5406249949592166E-3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2026-07-24T15:04:47Z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