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835" documentId="8_{C51EB6CB-002B-4D6B-B68F-DDEBDB4460C0}" xr6:coauthVersionLast="47" xr6:coauthVersionMax="47" xr10:uidLastSave="{12889AB9-114B-487A-851E-4CCCBBEA52C1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<sst xmlns="http://schemas.openxmlformats.org/spreadsheetml/2006/main" count="4851" uniqueCount="318">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</sst>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6" t="s">
        <v>0</v>
      </c>
      <c r="B1" s="116"/>
      <c r="C1" s="116"/>
      <c r="D1" s="116"/>
      <c r="E1" s="116"/>
      <c r="F1" s="116"/>
      <c r="G1" s="116"/>
    </row>
    <row r="2" spans="1:7" ht="24.75" customHeight="1">
      <c r="A2" s="117"/>
      <c r="B2" s="11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8" t="s">
        <v>9</v>
      </c>
      <c r="B35" s="118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9" t="s">
        <v>10</v>
      </c>
      <c r="B1" s="119"/>
      <c r="C1" s="119"/>
      <c r="D1" s="119"/>
      <c r="E1" s="119"/>
      <c r="F1" s="119"/>
      <c r="G1" s="119"/>
      <c r="H1" s="120"/>
      <c r="I1" s="121" t="s">
        <v>11</v>
      </c>
      <c r="J1" s="121"/>
      <c r="K1" s="121"/>
      <c r="L1" s="121"/>
      <c r="M1" s="121"/>
    </row>
    <row r="2" spans="1:13" ht="4.5" customHeight="1">
      <c r="H2" s="12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0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20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20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20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20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20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20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20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20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20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20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20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20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20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20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20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20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20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20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20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20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20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20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20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20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20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20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20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20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20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20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20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20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20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20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20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20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20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20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20"/>
      <c r="I57" s="17"/>
      <c r="J57" s="17"/>
      <c r="K57" s="17" t="s">
        <v>50</v>
      </c>
      <c r="L57" s="17"/>
      <c r="M57" s="17"/>
    </row>
    <row r="58" spans="1:13" ht="15" customHeight="1">
      <c r="H58" s="120"/>
      <c r="I58" s="16"/>
      <c r="J58" s="16"/>
      <c r="K58" s="16" t="s">
        <v>207</v>
      </c>
      <c r="L58" s="16"/>
      <c r="M58" s="16"/>
    </row>
    <row r="59" spans="1:13" ht="15" customHeight="1">
      <c r="H59" s="120"/>
      <c r="I59" s="17"/>
      <c r="J59" s="17"/>
      <c r="K59" s="17" t="s">
        <v>208</v>
      </c>
      <c r="L59" s="17"/>
      <c r="M59" s="17"/>
    </row>
    <row r="60" spans="1:13" ht="15" customHeight="1">
      <c r="H60" s="120"/>
      <c r="I60" s="16"/>
      <c r="J60" s="16"/>
      <c r="K60" s="86" t="s">
        <v>105</v>
      </c>
      <c r="L60" s="16"/>
      <c r="M60" s="16"/>
    </row>
    <row r="61" spans="1:13" ht="15" customHeight="1">
      <c r="H61" s="120"/>
      <c r="I61" s="17"/>
      <c r="J61" s="17"/>
      <c r="K61" s="17" t="s">
        <v>209</v>
      </c>
      <c r="L61" s="17"/>
      <c r="M61" s="17"/>
    </row>
    <row r="62" spans="1:13" ht="15" customHeight="1">
      <c r="H62" s="120"/>
      <c r="I62" s="16"/>
      <c r="J62" s="16"/>
      <c r="K62" s="16" t="s">
        <v>210</v>
      </c>
      <c r="L62" s="16"/>
      <c r="M62" s="16"/>
    </row>
    <row r="63" spans="1:13" ht="15" customHeight="1">
      <c r="H63" s="120"/>
      <c r="I63" s="17"/>
      <c r="J63" s="17"/>
      <c r="K63" s="17" t="s">
        <v>211</v>
      </c>
      <c r="L63" s="17"/>
      <c r="M63" s="17"/>
    </row>
    <row r="64" spans="1:13" ht="15" customHeight="1">
      <c r="H64" s="120"/>
      <c r="I64" s="16"/>
      <c r="J64" s="16"/>
      <c r="K64" s="16" t="s">
        <v>212</v>
      </c>
      <c r="L64" s="16"/>
      <c r="M64" s="16"/>
    </row>
    <row r="65" spans="8:13" ht="15" customHeight="1">
      <c r="H65" s="120"/>
      <c r="I65" s="17"/>
      <c r="J65" s="17"/>
      <c r="K65" s="17" t="s">
        <v>213</v>
      </c>
      <c r="L65" s="17"/>
      <c r="M65" s="17"/>
    </row>
    <row r="66" spans="8:13" ht="15" customHeight="1">
      <c r="H66" s="120"/>
      <c r="I66" s="16"/>
      <c r="J66" s="16"/>
      <c r="K66" s="16" t="s">
        <v>214</v>
      </c>
      <c r="L66" s="16"/>
      <c r="M66" s="16"/>
    </row>
    <row r="67" spans="8:13" ht="15" customHeight="1">
      <c r="H67" s="120"/>
      <c r="I67" s="17"/>
      <c r="J67" s="17"/>
      <c r="K67" s="17" t="s">
        <v>215</v>
      </c>
      <c r="L67" s="17"/>
      <c r="M67" s="17"/>
    </row>
    <row r="68" spans="8:13" ht="15" customHeight="1">
      <c r="H68" s="120"/>
      <c r="I68" s="16"/>
      <c r="J68" s="16"/>
      <c r="K68" s="16" t="s">
        <v>216</v>
      </c>
      <c r="L68" s="16"/>
      <c r="M68" s="16"/>
    </row>
    <row r="69" spans="8:13" ht="15" customHeight="1">
      <c r="H69" s="120"/>
      <c r="I69" s="17"/>
      <c r="J69" s="17"/>
      <c r="K69" s="17" t="s">
        <v>217</v>
      </c>
      <c r="L69" s="17"/>
      <c r="M69" s="17"/>
    </row>
    <row r="70" spans="8:13" ht="15" customHeight="1">
      <c r="H70" s="120"/>
      <c r="I70" s="16"/>
      <c r="J70" s="16"/>
      <c r="K70" s="16" t="s">
        <v>218</v>
      </c>
      <c r="L70" s="16"/>
      <c r="M70" s="16"/>
    </row>
    <row r="71" spans="8:13" ht="15" customHeight="1">
      <c r="H71" s="120"/>
      <c r="I71" s="17"/>
      <c r="J71" s="17"/>
      <c r="K71" s="17" t="s">
        <v>219</v>
      </c>
      <c r="L71" s="17"/>
      <c r="M71" s="17"/>
    </row>
    <row r="72" spans="8:13" ht="15" customHeight="1">
      <c r="H72" s="120"/>
      <c r="I72" s="16"/>
      <c r="J72" s="16"/>
      <c r="K72" s="16" t="s">
        <v>220</v>
      </c>
      <c r="L72" s="16"/>
      <c r="M72" s="16"/>
    </row>
    <row r="73" spans="8:13" ht="15" customHeight="1">
      <c r="H73" s="120"/>
      <c r="I73" s="17"/>
      <c r="J73" s="17"/>
      <c r="K73" s="17" t="s">
        <v>221</v>
      </c>
      <c r="L73" s="17"/>
      <c r="M73" s="17"/>
    </row>
    <row r="74" spans="8:13" ht="15" customHeight="1">
      <c r="H74" s="120"/>
      <c r="I74" s="16"/>
      <c r="J74" s="16"/>
      <c r="K74" s="16" t="s">
        <v>222</v>
      </c>
      <c r="L74" s="16"/>
      <c r="M74" s="16"/>
    </row>
    <row r="75" spans="8:13" ht="15" customHeight="1">
      <c r="H75" s="12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G248" sqref="G248:G24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0" t="s">
        <v>234</v>
      </c>
      <c r="B230" s="111"/>
      <c r="C230" s="111"/>
      <c r="D230" s="111"/>
      <c r="E230" s="112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>
        <v>991010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252</v>
      </c>
      <c r="F245" s="27">
        <v>3</v>
      </c>
      <c r="G245" s="28">
        <f t="shared" ref="G245:G256" si="54">IF(F245="","",IF(E245="PC 17",F245*4.2,IF(E245="PC 19",F245*5,IF(E245="CB",F245*35,""))))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252</v>
      </c>
      <c r="F246" s="27">
        <v>4</v>
      </c>
      <c r="G246" s="34">
        <f t="shared" si="54"/>
        <v>140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252</v>
      </c>
      <c r="F247" s="27">
        <v>2</v>
      </c>
      <c r="G247" s="28">
        <f t="shared" si="54"/>
        <v>70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9</v>
      </c>
      <c r="G257" s="36">
        <f>SUM(G245:G256)</f>
        <v>315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9</v>
      </c>
      <c r="G271" s="40">
        <f>G257+G270</f>
        <v>315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6" activePane="bottomLeft" state="frozen"/>
      <selection pane="bottomLeft" activeCell="L247" sqref="L24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0.34248969906911952</v>
      </c>
      <c r="N53" s="46" t="s">
        <v>261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0.48137858795800842</v>
      </c>
      <c r="N54" s="36" t="s">
        <v>235</v>
      </c>
      <c r="O54" s="84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0.56610081018023073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263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264</v>
      </c>
      <c r="M96" s="30" t="str">
        <f t="shared" ref="M96:M107" ca="1" si="22">IFERROR(IF(K96="","",IF(L96="",MOD(NOW()-K96,1),IF(L96&gt;=K96,L96-K96,L96+1-K96))),"")</f>
        <v/>
      </c>
      <c r="N96" s="46" t="s">
        <v>265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0" t="s">
        <v>234</v>
      </c>
      <c r="B230" s="111"/>
      <c r="C230" s="111"/>
      <c r="D230" s="111"/>
      <c r="E230" s="112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235</v>
      </c>
      <c r="O243" s="77">
        <v>825930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239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16</v>
      </c>
      <c r="G247" s="28">
        <f t="shared" si="54"/>
        <v>80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249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249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57</v>
      </c>
      <c r="G257" s="36">
        <f>SUM(G245:G256)</f>
        <v>285</v>
      </c>
      <c r="H257" s="37"/>
      <c r="I257" s="37"/>
      <c r="J257" s="37"/>
      <c r="K257" s="37"/>
      <c r="L257" s="37"/>
      <c r="M257" s="38">
        <f ca="1">IFERROR(SUM(M245:M256),"")</f>
        <v>9.7222222222222432E-3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57</v>
      </c>
      <c r="G271" s="40">
        <f>G257+G270</f>
        <v>285</v>
      </c>
      <c r="H271" s="41"/>
      <c r="I271" s="41"/>
      <c r="J271" s="41"/>
      <c r="K271" s="41"/>
      <c r="L271" s="41"/>
      <c r="M271" s="42">
        <f ca="1">IFERROR(M257+M270,"")</f>
        <v>9.7222222222222432E-3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15" zoomScale="50" zoomScaleNormal="50" workbookViewId="0">
      <selection activeCell="H255" sqref="H2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289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290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292</v>
      </c>
      <c r="M222" s="30" t="str">
        <f t="shared" ca="1" si="49"/>
        <v/>
      </c>
      <c r="N222" s="27" t="s">
        <v>293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235</v>
      </c>
      <c r="O243" s="39">
        <v>352720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239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103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294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103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103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103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249</v>
      </c>
      <c r="F249" s="103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249</v>
      </c>
      <c r="F250" s="103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249</v>
      </c>
      <c r="F251" s="103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249</v>
      </c>
      <c r="F252" s="103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249</v>
      </c>
      <c r="F253" s="103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249</v>
      </c>
      <c r="F254" s="103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103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103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234</v>
      </c>
      <c r="B257" s="88"/>
      <c r="C257" s="88"/>
      <c r="D257" s="88"/>
      <c r="E257" s="101"/>
      <c r="F257" s="102">
        <f>SUM(F245:F256)</f>
        <v>19</v>
      </c>
      <c r="G257" s="36">
        <f>SUM(G245:G256)</f>
        <v>95</v>
      </c>
      <c r="H257" s="37"/>
      <c r="I257" s="37"/>
      <c r="J257" s="37"/>
      <c r="K257" s="37"/>
      <c r="L257" s="37"/>
      <c r="M257" s="38">
        <f ca="1">IFERROR(SUM(M245:M256),"")</f>
        <v>4.5833333333333337E-2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101"/>
      <c r="F258" s="103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101"/>
      <c r="F259" s="103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101"/>
      <c r="F260" s="103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19</v>
      </c>
      <c r="G271" s="40">
        <f>G257+G270</f>
        <v>95</v>
      </c>
      <c r="H271" s="41"/>
      <c r="I271" s="41"/>
      <c r="J271" s="41"/>
      <c r="K271" s="41"/>
      <c r="L271" s="41"/>
      <c r="M271" s="42">
        <f ca="1">IFERROR(M257+M270,"")</f>
        <v>4.5833333333333337E-2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D256" sqref="D25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7" t="s">
        <v>238</v>
      </c>
      <c r="B28" s="108"/>
      <c r="C28" s="108"/>
      <c r="D28" s="108"/>
      <c r="E28" s="109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7" t="s">
        <v>238</v>
      </c>
      <c r="B55" s="108"/>
      <c r="C55" s="108"/>
      <c r="D55" s="108"/>
      <c r="E55" s="109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7" t="s">
        <v>238</v>
      </c>
      <c r="B82" s="108"/>
      <c r="C82" s="108"/>
      <c r="D82" s="108"/>
      <c r="E82" s="109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7" t="s">
        <v>238</v>
      </c>
      <c r="B109" s="108"/>
      <c r="C109" s="108"/>
      <c r="D109" s="108"/>
      <c r="E109" s="109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7" t="s">
        <v>238</v>
      </c>
      <c r="B136" s="108"/>
      <c r="C136" s="108"/>
      <c r="D136" s="108"/>
      <c r="E136" s="109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7" t="s">
        <v>238</v>
      </c>
      <c r="B163" s="108"/>
      <c r="C163" s="108"/>
      <c r="D163" s="108"/>
      <c r="E163" s="109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7" t="s">
        <v>238</v>
      </c>
      <c r="B190" s="108"/>
      <c r="C190" s="108"/>
      <c r="D190" s="108"/>
      <c r="E190" s="109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7" t="s">
        <v>238</v>
      </c>
      <c r="B217" s="108"/>
      <c r="C217" s="108"/>
      <c r="D217" s="108"/>
      <c r="E217" s="109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235</v>
      </c>
      <c r="O243" s="39">
        <v>795250</v>
      </c>
    </row>
    <row r="244" spans="1:15" ht="18" customHeight="1">
      <c r="A244" s="107" t="s">
        <v>238</v>
      </c>
      <c r="B244" s="108"/>
      <c r="C244" s="108"/>
      <c r="D244" s="108"/>
      <c r="E244" s="109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239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233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233</v>
      </c>
      <c r="F247" s="27">
        <v>19</v>
      </c>
      <c r="G247" s="28">
        <f t="shared" si="54"/>
        <v>95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49</v>
      </c>
      <c r="G257" s="36">
        <f>SUM(G245:G256)</f>
        <v>245</v>
      </c>
      <c r="H257" s="37"/>
      <c r="I257" s="37"/>
      <c r="J257" s="37"/>
      <c r="K257" s="61"/>
      <c r="L257" s="61"/>
      <c r="M257" s="38">
        <f ca="1">IFERROR(SUM(M245:M256),"")</f>
        <v>1.8055555555555547E-2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7" t="s">
        <v>238</v>
      </c>
      <c r="B271" s="108"/>
      <c r="C271" s="108"/>
      <c r="D271" s="108"/>
      <c r="E271" s="109">
        <f>E257+E270</f>
        <v>0</v>
      </c>
      <c r="F271" s="40">
        <f>F257+F270</f>
        <v>49</v>
      </c>
      <c r="G271" s="40">
        <f>G257+G270</f>
        <v>245</v>
      </c>
      <c r="H271" s="41"/>
      <c r="I271" s="41"/>
      <c r="J271" s="41"/>
      <c r="K271" s="63"/>
      <c r="L271" s="63"/>
      <c r="M271" s="42">
        <f ca="1">IFERROR(M257+M270,"")</f>
        <v>1.8055555555555547E-2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7" t="s">
        <v>238</v>
      </c>
      <c r="B298" s="108"/>
      <c r="C298" s="108"/>
      <c r="D298" s="108"/>
      <c r="E298" s="10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7" t="s">
        <v>238</v>
      </c>
      <c r="B325" s="108"/>
      <c r="C325" s="108"/>
      <c r="D325" s="108"/>
      <c r="E325" s="10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7" t="s">
        <v>238</v>
      </c>
      <c r="B352" s="108"/>
      <c r="C352" s="108"/>
      <c r="D352" s="108"/>
      <c r="E352" s="10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7" t="s">
        <v>238</v>
      </c>
      <c r="B379" s="108"/>
      <c r="C379" s="108"/>
      <c r="D379" s="108"/>
      <c r="E379" s="10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7" t="s">
        <v>238</v>
      </c>
      <c r="B406" s="108"/>
      <c r="C406" s="108"/>
      <c r="D406" s="108"/>
      <c r="E406" s="10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7" t="s">
        <v>238</v>
      </c>
      <c r="B433" s="108"/>
      <c r="C433" s="108"/>
      <c r="D433" s="108"/>
      <c r="E433" s="10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7" t="s">
        <v>238</v>
      </c>
      <c r="B460" s="108"/>
      <c r="C460" s="108"/>
      <c r="D460" s="108"/>
      <c r="E460" s="10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7" t="s">
        <v>238</v>
      </c>
      <c r="B487" s="108"/>
      <c r="C487" s="108"/>
      <c r="D487" s="108"/>
      <c r="E487" s="10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7" t="s">
        <v>238</v>
      </c>
      <c r="B514" s="108"/>
      <c r="C514" s="108"/>
      <c r="D514" s="108"/>
      <c r="E514" s="10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7" t="s">
        <v>238</v>
      </c>
      <c r="B541" s="108"/>
      <c r="C541" s="108"/>
      <c r="D541" s="108"/>
      <c r="E541" s="10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7" t="s">
        <v>238</v>
      </c>
      <c r="B568" s="108"/>
      <c r="C568" s="108"/>
      <c r="D568" s="108"/>
      <c r="E568" s="10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7" t="s">
        <v>238</v>
      </c>
      <c r="B595" s="108"/>
      <c r="C595" s="108"/>
      <c r="D595" s="108"/>
      <c r="E595" s="10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7" t="s">
        <v>238</v>
      </c>
      <c r="B622" s="108"/>
      <c r="C622" s="108"/>
      <c r="D622" s="108"/>
      <c r="E622" s="10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7" t="s">
        <v>238</v>
      </c>
      <c r="B649" s="108"/>
      <c r="C649" s="108"/>
      <c r="D649" s="108"/>
      <c r="E649" s="10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7" t="s">
        <v>238</v>
      </c>
      <c r="B676" s="108"/>
      <c r="C676" s="108"/>
      <c r="D676" s="108"/>
      <c r="E676" s="10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7" t="s">
        <v>238</v>
      </c>
      <c r="B703" s="108"/>
      <c r="C703" s="108"/>
      <c r="D703" s="108"/>
      <c r="E703" s="10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7" t="s">
        <v>238</v>
      </c>
      <c r="B730" s="108"/>
      <c r="C730" s="108"/>
      <c r="D730" s="108"/>
      <c r="E730" s="10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7" t="s">
        <v>238</v>
      </c>
      <c r="B757" s="108"/>
      <c r="C757" s="108"/>
      <c r="D757" s="108"/>
      <c r="E757" s="10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7" t="s">
        <v>238</v>
      </c>
      <c r="B784" s="108"/>
      <c r="C784" s="108"/>
      <c r="D784" s="108"/>
      <c r="E784" s="10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7" t="s">
        <v>238</v>
      </c>
      <c r="B811" s="108"/>
      <c r="C811" s="108"/>
      <c r="D811" s="108"/>
      <c r="E811" s="10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7" t="s">
        <v>238</v>
      </c>
      <c r="B838" s="108"/>
      <c r="C838" s="108"/>
      <c r="D838" s="108"/>
      <c r="E838" s="109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2026-08-10T15:10:01Z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