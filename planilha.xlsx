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17" documentId="8_{C51EB6CB-002B-4D6B-B68F-DDEBDB4460C0}" xr6:coauthVersionLast="47" xr6:coauthVersionMax="47" xr10:uidLastSave="{1C0B193C-578B-499E-83A6-03FB881281C8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<sst xmlns="http://schemas.openxmlformats.org/spreadsheetml/2006/main" count="3473" uniqueCount="287">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</sst>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6" activePane="bottomLeft" state="frozen"/>
      <selection pane="bottomLeft" activeCell="F156" sqref="F1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41</v>
      </c>
      <c r="G162" s="36">
        <f>SUM(G150:G161)</f>
        <v>205</v>
      </c>
      <c r="H162" s="37"/>
      <c r="I162" s="37"/>
      <c r="J162" s="37"/>
      <c r="K162" s="37"/>
      <c r="L162" s="37"/>
      <c r="M162" s="38">
        <f ca="1">IFERROR(SUM(M150:M161),"")</f>
        <v>0.13680555555555562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330</v>
      </c>
      <c r="G163" s="40">
        <f>G149+G162</f>
        <v>1650</v>
      </c>
      <c r="H163" s="41"/>
      <c r="I163" s="41"/>
      <c r="J163" s="41"/>
      <c r="K163" s="41"/>
      <c r="L163" s="41"/>
      <c r="M163" s="42">
        <f ca="1">IFERROR(M149+M162,"")</f>
        <v>0.23541666666666677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5" sqref="F1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0.92108078703313367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1.0599696759220225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1.1446918981442449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55</v>
      </c>
      <c r="G162" s="36">
        <f>SUM(G150:G161)</f>
        <v>231.00000000000003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195</v>
      </c>
      <c r="G163" s="40">
        <f>G149+G162</f>
        <v>819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F155" sqref="F1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22</v>
      </c>
      <c r="G162" s="36">
        <f>SUM(G150:G161)</f>
        <v>92.4</v>
      </c>
      <c r="H162" s="37"/>
      <c r="I162" s="37"/>
      <c r="J162" s="37"/>
      <c r="K162" s="37"/>
      <c r="L162" s="37"/>
      <c r="M162" s="38">
        <f ca="1">IFERROR(SUM(M150:M161),"")</f>
        <v>8.4027777777777757E-2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55</v>
      </c>
      <c r="G163" s="40">
        <f>G149+G162</f>
        <v>231</v>
      </c>
      <c r="H163" s="41"/>
      <c r="I163" s="41"/>
      <c r="J163" s="41"/>
      <c r="K163" s="41"/>
      <c r="L163" s="41"/>
      <c r="M163" s="42">
        <f ca="1">IFERROR(M149+M162,"")</f>
        <v>0.23749999999999993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5" sqref="F1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48</v>
      </c>
      <c r="G162" s="36">
        <f>SUM(G150:G161)</f>
        <v>201.6</v>
      </c>
      <c r="H162" s="37"/>
      <c r="I162" s="37"/>
      <c r="J162" s="37"/>
      <c r="K162" s="61"/>
      <c r="L162" s="61"/>
      <c r="M162" s="38">
        <f ca="1">IFERROR(SUM(M150:M161),"")</f>
        <v>6.8055555555555647E-2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230</v>
      </c>
      <c r="G163" s="40">
        <f>G149+G162</f>
        <v>966.00000000000011</v>
      </c>
      <c r="H163" s="41"/>
      <c r="I163" s="41"/>
      <c r="J163" s="41"/>
      <c r="K163" s="63"/>
      <c r="L163" s="63"/>
      <c r="M163" s="42">
        <f ca="1">IFERROR(M149+M162,"")</f>
        <v>0.16250000000000003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2026-08-07T05:01:23Z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