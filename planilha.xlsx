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014" documentId="8_{AF585B22-221D-4780-BB9C-493D365A6A02}" xr6:coauthVersionLast="47" xr6:coauthVersionMax="47" xr10:uidLastSave="{ADF013AB-120C-4B57-9D75-E54279409319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<sst xmlns="http://schemas.openxmlformats.org/spreadsheetml/2006/main" count="2225" uniqueCount="228">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</sst>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577610</v>
      </c>
      <c r="E7" s="11">
        <f>IFERROR('Linha 2'!O109,"")</f>
        <v>0</v>
      </c>
      <c r="F7" s="11">
        <f>IFERROR('Linha 3'!O109,"")</f>
        <v>0</v>
      </c>
      <c r="G7" s="12">
        <f t="shared" si="0"/>
        <v>577610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3014030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7419410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7" zoomScale="85" zoomScaleNormal="85" workbookViewId="0">
      <selection activeCell="M48" sqref="M4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177</v>
      </c>
      <c r="L48" s="16"/>
      <c r="M48" s="16"/>
    </row>
    <row r="49" spans="1:13" ht="18" customHeight="1">
      <c r="H49" s="91"/>
      <c r="I49" s="17"/>
      <c r="J49" s="17"/>
      <c r="K49" s="17" t="s">
        <v>178</v>
      </c>
      <c r="L49" s="17"/>
      <c r="M49" s="17"/>
    </row>
    <row r="50" spans="1:13" ht="21" customHeight="1">
      <c r="A50" s="19" t="s">
        <v>179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180</v>
      </c>
      <c r="L50" s="16"/>
      <c r="M50" s="16"/>
    </row>
    <row r="51" spans="1:13" ht="24" customHeight="1">
      <c r="H51" s="91"/>
      <c r="I51" s="17"/>
      <c r="J51" s="17"/>
      <c r="K51" s="17" t="s">
        <v>181</v>
      </c>
      <c r="L51" s="17"/>
      <c r="M51" s="17"/>
    </row>
    <row r="52" spans="1:13" ht="24" customHeight="1">
      <c r="H52" s="91"/>
      <c r="I52" s="16"/>
      <c r="J52" s="16"/>
      <c r="K52" s="16" t="s">
        <v>182</v>
      </c>
      <c r="L52" s="16"/>
      <c r="M52" s="16"/>
    </row>
    <row r="53" spans="1:13" ht="36" customHeight="1">
      <c r="H53" s="91"/>
      <c r="I53" s="17"/>
      <c r="J53" s="17"/>
      <c r="K53" s="17" t="s">
        <v>183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6" activePane="bottomLeft" state="frozen"/>
      <selection pane="bottomLeft" activeCell="H100" sqref="H10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194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198</v>
      </c>
      <c r="O27" s="39">
        <v>1183060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198</v>
      </c>
      <c r="O54" s="39">
        <v>959290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198</v>
      </c>
      <c r="O81" s="39">
        <v>878050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4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72" activePane="bottomLeft" state="frozen"/>
      <selection pane="bottomLeft" activeCell="O96" sqref="O9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198</v>
      </c>
      <c r="O27" s="78">
        <v>393200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201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198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205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97">
        <v>276360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201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198</v>
      </c>
      <c r="O81" s="54">
        <v>787860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201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198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54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112</v>
      </c>
      <c r="G109" s="40">
        <f>G95+G108</f>
        <v>519.20000000000005</v>
      </c>
      <c r="H109" s="41"/>
      <c r="I109" s="41"/>
      <c r="J109" s="41"/>
      <c r="K109" s="41"/>
      <c r="L109" s="41"/>
      <c r="M109" s="42">
        <f ca="1">IFERROR(M95+M108,"")</f>
        <v>0.26180555555555557</v>
      </c>
      <c r="N109" s="40" t="s">
        <v>201</v>
      </c>
      <c r="O109" s="95">
        <f>IFERROR(O95+O108,"")</f>
        <v>577610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54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54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78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78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78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78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78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78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78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78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78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78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78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78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78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78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78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78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78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78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78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78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78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81" activePane="bottomLeft" state="frozen"/>
      <selection pane="bottomLeft" activeCell="F95" sqref="F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198</v>
      </c>
      <c r="O27" s="39">
        <v>308500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198</v>
      </c>
      <c r="O54" s="39">
        <v>124290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198</v>
      </c>
      <c r="O81" s="39">
        <v>396340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89</v>
      </c>
      <c r="G109" s="40">
        <f>G95+G108</f>
        <v>445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201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201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198</v>
      </c>
      <c r="O216" s="39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198</v>
      </c>
      <c r="O432" s="39"/>
    </row>
    <row r="433" spans="1:15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80" activePane="bottomLeft" state="frozen"/>
      <selection pane="bottomLeft" activeCell="L85" sqref="L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184</v>
      </c>
      <c r="C1" s="23" t="s">
        <v>12</v>
      </c>
      <c r="D1" s="22" t="s">
        <v>13</v>
      </c>
      <c r="E1" s="22" t="s">
        <v>185</v>
      </c>
      <c r="F1" s="23" t="s">
        <v>186</v>
      </c>
      <c r="G1" s="23" t="s">
        <v>187</v>
      </c>
      <c r="H1" s="23" t="s">
        <v>14</v>
      </c>
      <c r="I1" s="23" t="s">
        <v>15</v>
      </c>
      <c r="J1" s="23" t="s">
        <v>188</v>
      </c>
      <c r="K1" s="23" t="s">
        <v>189</v>
      </c>
      <c r="L1" s="23" t="s">
        <v>190</v>
      </c>
      <c r="M1" s="24" t="s">
        <v>191</v>
      </c>
      <c r="N1" s="23" t="s">
        <v>192</v>
      </c>
      <c r="O1" s="23" t="s">
        <v>193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197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199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198</v>
      </c>
      <c r="O27" s="39">
        <v>202230</v>
      </c>
    </row>
    <row r="28" spans="1:15" ht="18" customHeight="1">
      <c r="A28" s="84" t="s">
        <v>200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220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197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199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198</v>
      </c>
      <c r="O54" s="39">
        <v>473910</v>
      </c>
    </row>
    <row r="55" spans="1:15" ht="18" customHeight="1">
      <c r="A55" s="84" t="s">
        <v>200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221</v>
      </c>
      <c r="L58" s="29">
        <v>0.54097222222222219</v>
      </c>
      <c r="M58" s="30" t="str">
        <f t="shared" ca="1" si="13"/>
        <v/>
      </c>
      <c r="N58" s="27" t="s">
        <v>222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197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199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198</v>
      </c>
      <c r="O81" s="39">
        <v>565120</v>
      </c>
    </row>
    <row r="82" spans="1:15" ht="18" customHeight="1">
      <c r="A82" s="84" t="s">
        <v>200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195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195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195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195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197</v>
      </c>
      <c r="B95" s="82"/>
      <c r="C95" s="82"/>
      <c r="D95" s="82"/>
      <c r="E95" s="8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198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199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198</v>
      </c>
      <c r="O108" s="39"/>
    </row>
    <row r="109" spans="1:15" ht="18" customHeight="1">
      <c r="A109" s="84" t="s">
        <v>200</v>
      </c>
      <c r="B109" s="85"/>
      <c r="C109" s="85"/>
      <c r="D109" s="85"/>
      <c r="E109" s="86">
        <f>E95+E108</f>
        <v>0</v>
      </c>
      <c r="F109" s="40">
        <f>F95+F108</f>
        <v>143</v>
      </c>
      <c r="G109" s="40">
        <f>G95+G108</f>
        <v>703</v>
      </c>
      <c r="H109" s="41"/>
      <c r="I109" s="41"/>
      <c r="J109" s="41"/>
      <c r="K109" s="63"/>
      <c r="L109" s="63"/>
      <c r="M109" s="42">
        <f ca="1">IFERROR(M95+M108,"")</f>
        <v>0.1881944444444445</v>
      </c>
      <c r="N109" s="40" t="s">
        <v>201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197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198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199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198</v>
      </c>
      <c r="O135" s="39"/>
    </row>
    <row r="136" spans="1:15" ht="18" customHeight="1">
      <c r="A136" s="84" t="s">
        <v>200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201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197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198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199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198</v>
      </c>
      <c r="O162" s="39"/>
    </row>
    <row r="163" spans="1:15" ht="18" customHeight="1">
      <c r="A163" s="84" t="s">
        <v>200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201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197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199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198</v>
      </c>
      <c r="O189" s="39"/>
    </row>
    <row r="190" spans="1:15" ht="18" customHeight="1">
      <c r="A190" s="84" t="s">
        <v>200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197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199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198</v>
      </c>
      <c r="O216" s="45"/>
    </row>
    <row r="217" spans="1:15" ht="18" customHeight="1">
      <c r="A217" s="84" t="s">
        <v>200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197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199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198</v>
      </c>
      <c r="O243" s="39"/>
    </row>
    <row r="244" spans="1:15" ht="18" customHeight="1">
      <c r="A244" s="84" t="s">
        <v>200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197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199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198</v>
      </c>
      <c r="O270" s="39"/>
    </row>
    <row r="271" spans="1:15" ht="18" customHeight="1">
      <c r="A271" s="84" t="s">
        <v>200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197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199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198</v>
      </c>
      <c r="O297" s="39"/>
    </row>
    <row r="298" spans="1:15" ht="18" customHeight="1">
      <c r="A298" s="84" t="s">
        <v>200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197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199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198</v>
      </c>
      <c r="O324" s="39"/>
    </row>
    <row r="325" spans="1:15" ht="18" customHeight="1">
      <c r="A325" s="84" t="s">
        <v>200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197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199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198</v>
      </c>
      <c r="O351" s="39"/>
    </row>
    <row r="352" spans="1:15" ht="18" customHeight="1">
      <c r="A352" s="84" t="s">
        <v>200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197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199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198</v>
      </c>
      <c r="O378" s="39"/>
    </row>
    <row r="379" spans="1:15" ht="18" customHeight="1">
      <c r="A379" s="84" t="s">
        <v>200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197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199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198</v>
      </c>
      <c r="O405" s="39"/>
    </row>
    <row r="406" spans="1:15" ht="18" customHeight="1">
      <c r="A406" s="84" t="s">
        <v>200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197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199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198</v>
      </c>
      <c r="O432" s="39"/>
    </row>
    <row r="433" spans="1:17" ht="18" customHeight="1">
      <c r="A433" s="84" t="s">
        <v>200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197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199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198</v>
      </c>
      <c r="O459" s="39"/>
    </row>
    <row r="460" spans="1:15" ht="18" customHeight="1">
      <c r="A460" s="84" t="s">
        <v>200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197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199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198</v>
      </c>
      <c r="O486" s="39"/>
    </row>
    <row r="487" spans="1:15" ht="18" customHeight="1">
      <c r="A487" s="84" t="s">
        <v>200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197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199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198</v>
      </c>
      <c r="O513" s="39"/>
    </row>
    <row r="514" spans="1:15" ht="18" customHeight="1">
      <c r="A514" s="84" t="s">
        <v>200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197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199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198</v>
      </c>
      <c r="O540" s="39"/>
    </row>
    <row r="541" spans="1:15" ht="18" customHeight="1">
      <c r="A541" s="84" t="s">
        <v>200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197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199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198</v>
      </c>
      <c r="O567" s="39"/>
    </row>
    <row r="568" spans="1:15" ht="18" customHeight="1">
      <c r="A568" s="84" t="s">
        <v>200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197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199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198</v>
      </c>
      <c r="O594" s="39"/>
    </row>
    <row r="595" spans="1:15" ht="18" customHeight="1">
      <c r="A595" s="84" t="s">
        <v>200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197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199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198</v>
      </c>
      <c r="O621" s="39"/>
    </row>
    <row r="622" spans="1:15" ht="18" customHeight="1">
      <c r="A622" s="84" t="s">
        <v>200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197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199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198</v>
      </c>
      <c r="O648" s="39"/>
    </row>
    <row r="649" spans="1:15" ht="18" customHeight="1">
      <c r="A649" s="84" t="s">
        <v>200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197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199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198</v>
      </c>
      <c r="O675" s="39"/>
    </row>
    <row r="676" spans="1:15" ht="18" customHeight="1">
      <c r="A676" s="84" t="s">
        <v>200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197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199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198</v>
      </c>
      <c r="O702" s="39"/>
    </row>
    <row r="703" spans="1:15" ht="18" customHeight="1">
      <c r="A703" s="84" t="s">
        <v>200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197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199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198</v>
      </c>
      <c r="O729" s="39"/>
    </row>
    <row r="730" spans="1:15" ht="18" customHeight="1">
      <c r="A730" s="84" t="s">
        <v>200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197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199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198</v>
      </c>
      <c r="O756" s="39"/>
    </row>
    <row r="757" spans="1:15" ht="18" customHeight="1">
      <c r="A757" s="84" t="s">
        <v>200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197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199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198</v>
      </c>
      <c r="O783" s="39"/>
    </row>
    <row r="784" spans="1:15" ht="18" customHeight="1">
      <c r="A784" s="84" t="s">
        <v>200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197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199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198</v>
      </c>
      <c r="O810" s="39"/>
    </row>
    <row r="811" spans="1:15" ht="18" customHeight="1">
      <c r="A811" s="84" t="s">
        <v>200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2026-07-04T22:59:07Z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