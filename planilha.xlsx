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416" documentId="8_{C51EB6CB-002B-4D6B-B68F-DDEBDB4460C0}" xr6:coauthVersionLast="47" xr6:coauthVersionMax="47" xr10:uidLastSave="{B00988C9-F49A-4090-B568-3D337CF91CF5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<sst xmlns="http://schemas.openxmlformats.org/spreadsheetml/2006/main" count="4515" uniqueCount="310">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</sst>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08" activePane="bottomLeft" state="frozen"/>
      <selection pane="bottomLeft" activeCell="J220" sqref="J22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/>
      <c r="M220" s="30">
        <f t="shared" ca="1" si="49"/>
        <v>4.4272106482821982E-2</v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239</v>
      </c>
      <c r="G230" s="36">
        <f>SUM(G218:G229)</f>
        <v>1195</v>
      </c>
      <c r="H230" s="37"/>
      <c r="I230" s="37"/>
      <c r="J230" s="37"/>
      <c r="K230" s="37"/>
      <c r="L230" s="37"/>
      <c r="M230" s="38">
        <f ca="1">IFERROR(SUM(M218:M229),"")</f>
        <v>7.7605439816155253E-2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239</v>
      </c>
      <c r="G244" s="40">
        <f>G230+G243</f>
        <v>1195</v>
      </c>
      <c r="H244" s="41"/>
      <c r="I244" s="41"/>
      <c r="J244" s="41"/>
      <c r="K244" s="41"/>
      <c r="L244" s="41"/>
      <c r="M244" s="42">
        <f ca="1">IFERROR(M230+M243,"")</f>
        <v>7.7605439816155253E-2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10" activePane="bottomLeft" state="frozen"/>
      <selection pane="bottomLeft" activeCell="L224" sqref="L2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0.57066099537041737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0.70954988425930621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0.79427210648152857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275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104</v>
      </c>
      <c r="G230" s="36">
        <f>SUM(G218:G229)</f>
        <v>440.80000000000007</v>
      </c>
      <c r="H230" s="37"/>
      <c r="I230" s="37"/>
      <c r="J230" s="37"/>
      <c r="K230" s="37"/>
      <c r="L230" s="37"/>
      <c r="M230" s="38">
        <f ca="1">IFERROR(SUM(M218:M229),"")</f>
        <v>0.13750000000000007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104</v>
      </c>
      <c r="G244" s="40">
        <f>G230+G243</f>
        <v>440.80000000000007</v>
      </c>
      <c r="H244" s="41"/>
      <c r="I244" s="41"/>
      <c r="J244" s="41"/>
      <c r="K244" s="41"/>
      <c r="L244" s="41"/>
      <c r="M244" s="42">
        <f ca="1">IFERROR(M230+M243,"")</f>
        <v>0.13750000000000007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K222" sqref="K2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285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286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287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/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288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63</v>
      </c>
      <c r="G230" s="36">
        <f>SUM(G218:G229)</f>
        <v>268.60000000000002</v>
      </c>
      <c r="H230" s="37"/>
      <c r="I230" s="37"/>
      <c r="J230" s="37"/>
      <c r="K230" s="37"/>
      <c r="L230" s="37"/>
      <c r="M230" s="38">
        <f ca="1">IFERROR(SUM(M218:M229),"")</f>
        <v>5.8333333333333348E-2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63</v>
      </c>
      <c r="G244" s="40">
        <f>G230+G243</f>
        <v>268.60000000000002</v>
      </c>
      <c r="H244" s="41"/>
      <c r="I244" s="41"/>
      <c r="J244" s="41"/>
      <c r="K244" s="41"/>
      <c r="L244" s="41"/>
      <c r="M244" s="42">
        <f ca="1">IFERROR(M230+M243,"")</f>
        <v>5.8333333333333348E-2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F227" sqref="F22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308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309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127</v>
      </c>
      <c r="G230" s="36">
        <f>SUM(G218:G229)</f>
        <v>549.40000000000009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127</v>
      </c>
      <c r="G244" s="40">
        <f>G230+G243</f>
        <v>549.40000000000009</v>
      </c>
      <c r="H244" s="41"/>
      <c r="I244" s="41"/>
      <c r="J244" s="41"/>
      <c r="K244" s="63"/>
      <c r="L244" s="63"/>
      <c r="M244" s="42">
        <f ca="1">IFERROR(M230+M243,"")</f>
        <v>5.4166666666666752E-2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2026-08-09T20:36:50Z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