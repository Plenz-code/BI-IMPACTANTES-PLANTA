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56" documentId="8_{AF585B22-221D-4780-BB9C-493D365A6A02}" xr6:coauthVersionLast="47" xr6:coauthVersionMax="47" xr10:uidLastSave="{1EE85B86-B89D-429D-BB0B-BE980005F7F0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2" i="3" l="1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<sst xmlns="http://schemas.openxmlformats.org/spreadsheetml/2006/main" count="1663" uniqueCount="210">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</sst>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5" activePane="bottomLeft" state="frozen"/>
      <selection pane="bottomLeft" activeCell="F45" sqref="F4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13</v>
      </c>
      <c r="G54" s="36">
        <f>SUM(G42:G53)</f>
        <v>65</v>
      </c>
      <c r="H54" s="37"/>
      <c r="I54" s="37"/>
      <c r="J54" s="37"/>
      <c r="K54" s="37"/>
      <c r="L54" s="37"/>
      <c r="M54" s="38">
        <f ca="1">IFERROR(SUM(M42:M53),"")</f>
        <v>8.333333333333337E-2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34</v>
      </c>
      <c r="G55" s="40">
        <f>G41+G54</f>
        <v>170</v>
      </c>
      <c r="H55" s="41"/>
      <c r="I55" s="41"/>
      <c r="J55" s="41"/>
      <c r="K55" s="41"/>
      <c r="L55" s="41"/>
      <c r="M55" s="42">
        <f ca="1">IFERROR(M41+M54,"")</f>
        <v>0.54305555555555562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" activePane="bottomLeft" state="frozen"/>
      <selection pane="bottomLeft" activeCell="F44" sqref="F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25</v>
      </c>
      <c r="G54" s="36">
        <f>SUM(G42:G53)</f>
        <v>105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113</v>
      </c>
      <c r="G55" s="40">
        <f>G41+G54</f>
        <v>474.6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5" sqref="F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/>
      <c r="I42" s="26"/>
      <c r="J42" s="26"/>
      <c r="K42" s="29">
        <v>0.88194444444444442</v>
      </c>
      <c r="L42" s="29"/>
      <c r="M42" s="30">
        <f t="shared" ref="M42:M53" ca="1" si="10">IFERROR(IF(K42="","",IF(L42="",MOD(NOW()-K42,1),IF(L42&gt;=K42,L42-K42,L42+1-K42))),"")</f>
        <v>4.0236226850538515E-2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14</v>
      </c>
      <c r="G54" s="36">
        <f>SUM(G42:G53)</f>
        <v>58.800000000000004</v>
      </c>
      <c r="H54" s="37"/>
      <c r="I54" s="37"/>
      <c r="J54" s="37"/>
      <c r="K54" s="37"/>
      <c r="L54" s="37"/>
      <c r="M54" s="38">
        <f ca="1">IFERROR(SUM(M42:M53),"")</f>
        <v>4.0236226850538515E-2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0.19509733796164958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5" sqref="F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41</v>
      </c>
      <c r="G54" s="36">
        <f>SUM(G42:G53)</f>
        <v>172.2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126</v>
      </c>
      <c r="G55" s="40">
        <f>G41+G54</f>
        <v>529.20000000000005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2026-07-03T02:08:15Z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