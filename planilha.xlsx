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38" documentId="8_{AF585B22-221D-4780-BB9C-493D365A6A02}" xr6:coauthVersionLast="47" xr6:coauthVersionMax="47" xr10:uidLastSave="{D67A8904-52DB-43FD-8EE8-75491019AE8D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<sst xmlns="http://schemas.openxmlformats.org/spreadsheetml/2006/main" count="12180" uniqueCount="438">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</sst>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71" activePane="bottomLeft" state="frozen"/>
      <selection pane="bottomLeft" activeCell="J798" sqref="J7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6.458333333333334E-2</v>
      </c>
      <c r="L798" s="29"/>
      <c r="M798" s="30">
        <f t="shared" ref="M798:M809" ca="1" si="177">IFERROR(IF(K798="","",IF(L798="",MOD(NOW()-K798,1),IF(L798&gt;=K798,L798-K798,L798+1-K798))),"")</f>
        <v>0.98769837962754536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225</v>
      </c>
      <c r="G810" s="36">
        <f>SUM(G798:G809)</f>
        <v>1104.2</v>
      </c>
      <c r="H810" s="37"/>
      <c r="I810" s="37"/>
      <c r="J810" s="37"/>
      <c r="K810" s="37"/>
      <c r="L810" s="37"/>
      <c r="M810" s="38">
        <f ca="1">IFERROR(SUM(M798:M809),"")</f>
        <v>0.98769837962754536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516</v>
      </c>
      <c r="G811" s="40">
        <f>G797+G810</f>
        <v>1104.2</v>
      </c>
      <c r="H811" s="41"/>
      <c r="I811" s="41"/>
      <c r="J811" s="41"/>
      <c r="K811" s="41"/>
      <c r="L811" s="41"/>
      <c r="M811" s="42">
        <f ca="1">IFERROR(M797+M810,"")</f>
        <v>1.0689483796275452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H2:H900 G824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1" activePane="bottomLeft" state="frozen"/>
      <selection pane="bottomLeft" activeCell="F804" sqref="F8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0.81269837962463498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0.97033726851352387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1.0800594907357461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0.79117060184944421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0.9620039351827776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1.1071428240716665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/>
      <c r="M799" s="35">
        <f t="shared" ca="1" si="177"/>
        <v>1.408726851514075E-2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104</v>
      </c>
      <c r="G810" s="36">
        <f>SUM(G798:G809)</f>
        <v>436.8</v>
      </c>
      <c r="H810" s="37"/>
      <c r="I810" s="37"/>
      <c r="J810" s="37"/>
      <c r="K810" s="37"/>
      <c r="L810" s="37"/>
      <c r="M810" s="38">
        <f ca="1">IFERROR(SUM(M798:M809),"")</f>
        <v>2.4503935181807414E-2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258</v>
      </c>
      <c r="G811" s="40">
        <f>G797+G810</f>
        <v>1089.2</v>
      </c>
      <c r="H811" s="41"/>
      <c r="I811" s="41"/>
      <c r="J811" s="41"/>
      <c r="K811" s="41"/>
      <c r="L811" s="41"/>
      <c r="M811" s="42">
        <f ca="1">IFERROR(M797+M810,"")</f>
        <v>0.14533726851514064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4" sqref="F8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36</v>
      </c>
      <c r="G810" s="36">
        <f>SUM(G798:G809)</f>
        <v>151.20000000000002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130</v>
      </c>
      <c r="G811" s="40">
        <f>G797+G810</f>
        <v>551.6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4" sqref="F8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0.80297615740710171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1.0022817129626573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1.3696428240737684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66</v>
      </c>
      <c r="G810" s="36">
        <f>SUM(G798:G809)</f>
        <v>277.20000000000005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88</v>
      </c>
      <c r="G811" s="40">
        <f>G797+G810</f>
        <v>369.6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2026-07-31T05:15:43Z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