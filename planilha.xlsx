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08" documentId="8_{C51EB6CB-002B-4D6B-B68F-DDEBDB4460C0}" xr6:coauthVersionLast="47" xr6:coauthVersionMax="47" xr10:uidLastSave="{CFA82422-AB86-4196-905A-10671B21A8F2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<sst xmlns="http://schemas.openxmlformats.org/spreadsheetml/2006/main" count="1817" uniqueCount="257">
  <si>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</si>
  <si>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</si>
  <si>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</si>
  <si>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</si>
  <si>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</si>
  <si>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</si>
  <si>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</si>
  <si>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</si>
  <si>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</si>
  <si>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</si>
  <si>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</si>
  <si>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</si>
  <si>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</si>
  <si>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</si>
  <si>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</si>
  <si>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</si>
  <si>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</si>
  <si>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</si>
  <si>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</si>
  <si>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</si>
  <si>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</si>
  <si>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</si>
  <si>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</si>
  <si>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</si>
  <si>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</si>
  <si>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</si>
  <si>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</si>
  <si>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</si>
  <si>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</si>
  <si>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</si>
  <si>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</si>
  <si>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</si>
  <si>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</si>
  <si>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</si>
  <si>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</si>
  <si>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</si>
  <si>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</si>
  <si>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</si>
  <si>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</si>
  <si>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</si>
  <si>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</si>
  <si>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</si>
  <si>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</si>
  <si>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</si>
  <si>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</si>
  <si>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</si>
  <si>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</si>
  <si>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</si>
  <si>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</si>
  <si>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</si>
  <si>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</si>
  <si>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</si>
  <si>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</si>
  <si>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</si>
  <si>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</si>
  <si>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</si>
  <si>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</si>
  <si>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</si>
  <si>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</si>
  <si>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</si>
  <si>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</si>
  <si>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</si>
  <si>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</si>
  <si>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</si>
  <si>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</si>
  <si>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</si>
  <si>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</si>
  <si>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</si>
  <si>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</si>
  <si>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</si>
  <si>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</si>
  <si>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</si>
  <si>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</si>
  <si>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</si>
  <si>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</si>
  <si>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</si>
  <si>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</si>
  <si>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</si>
  <si>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</si>
  <si>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</si>
  <si>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</si>
  <si>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</si>
  <si>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</si>
  <si>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</si>
  <si>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</si>
  <si>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</si>
  <si>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</si>
  <si>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</si>
  <si>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</si>
  <si>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</si>
  <si>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</si>
  <si>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</si>
  <si>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</si>
  <si>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</si>
  <si>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</si>
  <si>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</si>
  <si>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</si>
  <si>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</si>
  <si>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</si>
  <si>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</si>
  <si>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</si>
  <si>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</si>
  <si>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</si>
  <si>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</si>
  <si>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</si>
  <si>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</si>
  <si>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</si>
  <si>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</si>
  <si>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</si>
  <si>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</si>
  <si>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</si>
  <si>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</si>
  <si>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</si>
  <si>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</si>
  <si>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</si>
  <si>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</si>
  <si>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</si>
  <si>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</si>
  <si>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</si>
  <si>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</si>
  <si>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</si>
  <si>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</si>
  <si>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</si>
  <si>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</si>
  <si>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</si>
  <si>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</si>
  <si>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</si>
  <si>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</si>
  <si>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</si>
  <si>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</si>
  <si>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</si>
  <si>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</si>
  <si>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</si>
  <si>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</si>
  <si>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</si>
  <si>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</si>
  <si>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</si>
  <si>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</si>
  <si>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</si>
  <si>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</si>
  <si>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</si>
  <si>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</si>
  <si>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</si>
  <si>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</si>
  <si>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</si>
  <si>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</si>
  <si>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</si>
  <si>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</si>
  <si>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</si>
  <si>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</si>
  <si>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</si>
  <si>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</si>
  <si>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</si>
  <si>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</si>
  <si>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</si>
  <si>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</si>
  <si>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</si>
  <si>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</si>
  <si>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</si>
  <si>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</si>
  <si>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</si>
  <si>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</si>
  <si>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</si>
  <si>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</si>
  <si>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</si>
  <si>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</si>
  <si>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</si>
  <si>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</si>
  <si>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</si>
  <si>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</si>
  <si>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</si>
  <si>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</si>
  <si>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</si>
  <si>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</si>
  <si>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</si>
  <si>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</si>
  <si>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</si>
  <si>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</si>
  <si>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</si>
  <si>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</si>
  <si>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</si>
  <si>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</si>
  <si>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</si>
  <si>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</si>
  <si>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</si>
  <si>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</si>
  <si>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</si>
  <si>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</si>
  <si>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</si>
  <si>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</si>
  <si>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</si>
  <si>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</si>
  <si>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</si>
  <si>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</si>
  <si>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</si>
  <si>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</si>
  <si>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</si>
  <si>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</si>
  <si>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</si>
  <si>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</si>
  <si>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</si>
  <si>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</si>
  <si>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</si>
  <si>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</si>
  <si>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</si>
  <si>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</si>
  <si>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</si>
  <si>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</si>
  <si>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</si>
  <si>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</si>
  <si>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</si>
  <si>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</si>
  <si>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</si>
  <si>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</si>
  <si>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</si>
  <si>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</si>
  <si>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</si>
  <si>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</si>
  <si>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</si>
  <si>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</si>
  <si>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</si>
  <si>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</si>
  <si>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</si>
  <si>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</si>
  <si>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</si>
  <si>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</si>
  <si>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</si>
  <si>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</si>
  <si>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</si>
  <si>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</si>
  <si>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</si>
  <si>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</si>
  <si>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</si>
  <si>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</si>
  <si>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</si>
  <si>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</si>
  <si>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</si>
  <si>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</si>
  <si>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</si>
  <si>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</si>
  <si>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</si>
  <si>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</si>
  <si>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</si>
  <si>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</si>
  <si>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</si>
  <si>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</si>
  <si>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</si>
  <si>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</si>
  <si>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</si>
  <si>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troca de martelo</t>
  </si>
  <si>
    <t>solda no queixo</t>
  </si>
  <si>
    <t>sem material no estoque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</si>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</sst>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L43" sqref="L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/>
      <c r="M43" s="35">
        <f t="shared" ca="1" si="10"/>
        <v>3.1175925905699842E-3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72</v>
      </c>
      <c r="G54" s="36">
        <f>SUM(G42:G53)</f>
        <v>360</v>
      </c>
      <c r="H54" s="37"/>
      <c r="I54" s="37"/>
      <c r="J54" s="37"/>
      <c r="K54" s="37"/>
      <c r="L54" s="37"/>
      <c r="M54" s="38">
        <f ca="1">IFERROR(SUM(M42:M53),"")</f>
        <v>0.13714537036834773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325</v>
      </c>
      <c r="G55" s="40">
        <f>G41+G54</f>
        <v>1055</v>
      </c>
      <c r="H55" s="41"/>
      <c r="I55" s="41"/>
      <c r="J55" s="41"/>
      <c r="K55" s="41"/>
      <c r="L55" s="41"/>
      <c r="M55" s="42">
        <f ca="1">IFERROR(M41+M54,"")</f>
        <v>0.19686759259056991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E53" sqref="E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20</v>
      </c>
      <c r="I49" s="33" t="s">
        <v>39</v>
      </c>
      <c r="J49" s="33" t="s">
        <v>161</v>
      </c>
      <c r="K49" s="29">
        <v>1.0416666666666666E-2</v>
      </c>
      <c r="L49" s="29"/>
      <c r="M49" s="30">
        <f t="shared" ca="1" si="11"/>
        <v>2.2562037040188443E-2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37"/>
      <c r="L54" s="37"/>
      <c r="M54" s="38">
        <f ca="1">IFERROR(SUM(M42:M53),"")</f>
        <v>8.0895370373521791E-2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130</v>
      </c>
      <c r="G55" s="40">
        <f>G41+G54</f>
        <v>533.4</v>
      </c>
      <c r="H55" s="41"/>
      <c r="I55" s="41"/>
      <c r="J55" s="41"/>
      <c r="K55" s="41"/>
      <c r="L55" s="41"/>
      <c r="M55" s="42">
        <f ca="1">IFERROR(M41+M54,"")</f>
        <v>0.1656175925957441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L48" sqref="L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>
        <v>12</v>
      </c>
      <c r="G46" s="34" t="str">
        <f t="shared" si="9"/>
        <v/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9.652777777777781E-2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107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0.11736111111111118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L47" sqref="L4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191</v>
      </c>
      <c r="G55" s="40">
        <f>G41+G54</f>
        <v>768.6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2026-08-03T04:47:52Z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