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114" documentId="8_{AF585B22-221D-4780-BB9C-493D365A6A02}" xr6:coauthVersionLast="47" xr6:coauthVersionMax="47" xr10:uidLastSave="{A8C29791-3D3A-4679-BA4F-E830C5E13C3C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<sst xmlns="http://schemas.openxmlformats.org/spreadsheetml/2006/main" count="11148" uniqueCount="413">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</sst>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27" activePane="bottomLeft" state="frozen"/>
      <selection pane="bottomLeft" activeCell="F739" sqref="F73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338</v>
      </c>
      <c r="G743" s="36">
        <f>SUM(G731:G742)</f>
        <v>1690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338</v>
      </c>
      <c r="G757" s="40">
        <f>G743+G756</f>
        <v>1690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39" sqref="F7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0.43214328703470528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0.58978217592359417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0.69950439814581633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0.41061550925951451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0.5814488425928479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0.72658773148173683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106</v>
      </c>
      <c r="G743" s="36">
        <f>SUM(G731:G742)</f>
        <v>445.20000000000005</v>
      </c>
      <c r="H743" s="37"/>
      <c r="I743" s="37"/>
      <c r="J743" s="37"/>
      <c r="K743" s="37"/>
      <c r="L743" s="37"/>
      <c r="M743" s="38">
        <f ca="1">IFERROR(SUM(M731:M742),"")</f>
        <v>4.4444444444444398E-2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106</v>
      </c>
      <c r="G757" s="40">
        <f>G743+G756</f>
        <v>445.20000000000005</v>
      </c>
      <c r="H757" s="41"/>
      <c r="I757" s="41"/>
      <c r="J757" s="41"/>
      <c r="K757" s="41"/>
      <c r="L757" s="41"/>
      <c r="M757" s="42">
        <f ca="1">IFERROR(M743+M756,"")</f>
        <v>4.4444444444444398E-2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F739" sqref="F7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>
        <v>6</v>
      </c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>
        <v>0</v>
      </c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>
        <v>0</v>
      </c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>
        <v>15</v>
      </c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>
        <v>6</v>
      </c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51</v>
      </c>
      <c r="G743" s="36">
        <f>SUM(G731:G742)</f>
        <v>4.2</v>
      </c>
      <c r="H743" s="37"/>
      <c r="I743" s="37"/>
      <c r="J743" s="37"/>
      <c r="K743" s="37"/>
      <c r="L743" s="37"/>
      <c r="M743" s="38">
        <f ca="1">IFERROR(SUM(M731:M742),"")</f>
        <v>4.0972222222222243E-2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51</v>
      </c>
      <c r="G757" s="40">
        <f>G743+G756</f>
        <v>4.2</v>
      </c>
      <c r="H757" s="41"/>
      <c r="I757" s="41"/>
      <c r="J757" s="41"/>
      <c r="K757" s="41"/>
      <c r="L757" s="41"/>
      <c r="M757" s="42">
        <f ca="1">IFERROR(M743+M756,"")</f>
        <v>4.0972222222222243E-2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37" sqref="F7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0.42242106481717201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0.62172662037272763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0.98908773148383866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19</v>
      </c>
      <c r="I737" s="33" t="s">
        <v>52</v>
      </c>
      <c r="J737" s="33" t="s">
        <v>27</v>
      </c>
      <c r="K737" s="29">
        <v>0.6069444444444444</v>
      </c>
      <c r="L737" s="29">
        <v>0.61875000000000002</v>
      </c>
      <c r="M737" s="35">
        <f t="shared" ca="1" si="163"/>
        <v>1.1805555555555625E-2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112</v>
      </c>
      <c r="G743" s="36">
        <f>SUM(G731:G742)</f>
        <v>470.4</v>
      </c>
      <c r="H743" s="37"/>
      <c r="I743" s="37"/>
      <c r="J743" s="37"/>
      <c r="K743" s="61"/>
      <c r="L743" s="61"/>
      <c r="M743" s="38">
        <f ca="1">IFERROR(SUM(M731:M742),"")</f>
        <v>9.8611111111111149E-2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112</v>
      </c>
      <c r="G757" s="40">
        <f>G743+G756</f>
        <v>470.4</v>
      </c>
      <c r="H757" s="41"/>
      <c r="I757" s="41"/>
      <c r="J757" s="41"/>
      <c r="K757" s="63"/>
      <c r="L757" s="63"/>
      <c r="M757" s="42">
        <f ca="1">IFERROR(M743+M756,"")</f>
        <v>9.8611111111111149E-2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2026-07-28T20:07:22Z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