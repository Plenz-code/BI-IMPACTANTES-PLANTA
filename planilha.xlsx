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270" documentId="13_ncr:1_{0A10D8D4-8450-4366-8075-B53B08E6B7EA}" xr6:coauthVersionLast="47" xr6:coauthVersionMax="47" xr10:uidLastSave="{FCA00CBC-2998-4947-9CE1-73431C2412B0}"/>
  <bookViews>
    <workbookView xWindow="-120" yWindow="-120" windowWidth="29040" windowHeight="1572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1" i="3" l="1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56" i="6"/>
  <c r="J456" i="6" s="1"/>
  <c r="H457" i="6"/>
  <c r="J457" i="6" s="1"/>
  <c r="H458" i="6"/>
  <c r="J458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55" i="5"/>
  <c r="J455" i="5" s="1"/>
  <c r="H456" i="5"/>
  <c r="J456" i="5" s="1"/>
  <c r="H457" i="5"/>
  <c r="J457" i="5" s="1"/>
  <c r="H458" i="5"/>
  <c r="J458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55" i="4"/>
  <c r="J455" i="4" s="1"/>
  <c r="H456" i="4"/>
  <c r="J456" i="4" s="1"/>
  <c r="H457" i="4"/>
  <c r="J457" i="4" s="1"/>
  <c r="H458" i="4"/>
  <c r="J458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H455" i="6" s="1"/>
  <c r="J455" i="6" s="1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53" i="6" l="1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<sst xmlns="http://schemas.openxmlformats.org/spreadsheetml/2006/main" count="7750" uniqueCount="375">
  <si>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</si>
  <si>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</si>
  <si>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</si>
  <si>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</si>
  <si>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</si>
  <si>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</si>
  <si>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</si>
  <si>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</si>
  <si>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</si>
  <si>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</si>
  <si>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</si>
  <si>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</si>
  <si>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</si>
  <si>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</si>
  <si>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</si>
  <si>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</si>
  <si>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</si>
  <si>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</si>
  <si>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</si>
  <si>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</si>
  <si>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</si>
  <si>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</si>
  <si>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</si>
  <si>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</si>
  <si>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</si>
  <si>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</si>
  <si>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</si>
  <si>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</si>
  <si>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</si>
  <si>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</si>
  <si>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</si>
  <si>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</si>
  <si>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</si>
  <si>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</si>
  <si>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</si>
  <si>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</si>
  <si>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</si>
  <si>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</si>
  <si>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</si>
  <si>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</si>
  <si>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</si>
  <si>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</si>
  <si>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</si>
  <si>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</si>
  <si>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</si>
  <si>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</si>
  <si>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</si>
  <si>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</si>
  <si>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</si>
  <si>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</si>
  <si>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</si>
  <si>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</si>
  <si>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</si>
  <si>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</si>
  <si>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</si>
  <si>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</si>
  <si>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</si>
  <si>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</si>
  <si>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</si>
  <si>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</si>
  <si>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</si>
  <si>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</si>
  <si>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</si>
  <si>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</si>
  <si>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</si>
  <si>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</si>
  <si>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</si>
  <si>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</si>
  <si>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</si>
  <si>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</si>
  <si>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</si>
  <si>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</si>
  <si>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</si>
  <si>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</si>
  <si>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</si>
  <si>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</si>
  <si>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</si>
  <si>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</si>
  <si>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</si>
  <si>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</si>
  <si>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</si>
  <si>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</si>
  <si>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</si>
  <si>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</si>
  <si>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</si>
  <si>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</si>
  <si>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</si>
  <si>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</si>
  <si>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</si>
  <si>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</si>
  <si>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</si>
  <si>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</si>
  <si>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</si>
  <si>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</si>
  <si>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</si>
  <si>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</si>
  <si>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</si>
  <si>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</si>
  <si>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</si>
  <si>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</si>
  <si>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</si>
  <si>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</si>
  <si>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</si>
  <si>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</si>
  <si>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</si>
  <si>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</si>
  <si>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</si>
  <si>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</si>
  <si>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</si>
  <si>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</si>
  <si>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</si>
  <si>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</si>
  <si>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</si>
  <si>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</si>
  <si>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</si>
  <si>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</si>
  <si>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</si>
  <si>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</si>
  <si>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</si>
  <si>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</si>
  <si>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</si>
  <si>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</si>
  <si>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</si>
  <si>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</si>
  <si>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</si>
  <si>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</si>
  <si>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</si>
  <si>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</si>
  <si>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</si>
  <si>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</si>
  <si>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</si>
  <si>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</si>
  <si>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</si>
  <si>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</si>
  <si>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</si>
  <si>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</si>
  <si>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</si>
  <si>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</si>
  <si>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</si>
  <si>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</si>
  <si>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</si>
  <si>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</si>
  <si>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</si>
  <si>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</si>
  <si>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</si>
  <si>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</si>
  <si>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</si>
  <si>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</si>
  <si>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</si>
  <si>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</si>
  <si>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</si>
  <si>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</si>
  <si>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</si>
  <si>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</si>
  <si>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</si>
  <si>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</si>
  <si>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</si>
  <si>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</si>
  <si>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</si>
  <si>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</si>
  <si>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</si>
  <si>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</si>
  <si>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</si>
  <si>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</si>
  <si>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</si>
  <si>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</si>
  <si>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</si>
  <si>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</si>
  <si>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</si>
  <si>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</si>
  <si>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</si>
  <si>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</si>
  <si>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</si>
  <si>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</si>
  <si>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</si>
  <si>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</si>
  <si>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</si>
  <si>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</si>
  <si>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</si>
  <si>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</si>
  <si>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</si>
  <si>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</si>
  <si>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</si>
  <si>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</si>
  <si>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</si>
  <si>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</si>
  <si>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</si>
  <si>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</si>
  <si>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</si>
  <si>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</si>
  <si>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</si>
  <si>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</si>
  <si>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</si>
  <si>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</si>
  <si>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</si>
  <si>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</si>
  <si>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</si>
  <si>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</si>
  <si>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</si>
  <si>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</si>
  <si>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</si>
  <si>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</si>
  <si>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</si>
  <si>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</si>
  <si>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</si>
  <si>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</si>
  <si>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</si>
  <si>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</si>
  <si>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</si>
  <si>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</si>
  <si>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</si>
  <si>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</si>
  <si>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</si>
  <si>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</si>
  <si>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</si>
  <si>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</si>
  <si>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</si>
  <si>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</si>
  <si>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</si>
  <si>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</si>
  <si>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</si>
  <si>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</si>
  <si>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</si>
  <si>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</si>
  <si>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</si>
  <si>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</si>
  <si>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</si>
  <si>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</si>
  <si>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</si>
  <si>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</si>
  <si>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</si>
  <si>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</si>
  <si>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</si>
  <si>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</si>
  <si>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</si>
  <si>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</si>
  <si>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</si>
  <si>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</si>
  <si>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</si>
  <si>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</si>
  <si>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</si>
  <si>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</si>
  <si>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</si>
  <si>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</si>
  <si>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</si>
  <si>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</si>
  <si>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</si>
  <si>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</si>
  <si>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</si>
  <si>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</si>
  <si>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</si>
  <si>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</si>
  <si>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</si>
  <si>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</si>
  <si>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</si>
  <si>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</si>
  <si>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</si>
  <si>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</si>
  <si>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</si>
  <si>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</si>
  <si>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</si>
  <si>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</si>
  <si>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</si>
  <si>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</si>
  <si>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</si>
  <si>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</si>
  <si>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</si>
  <si>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</si>
  <si>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</si>
  <si>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</si>
  <si>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</si>
  <si>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</si>
  <si>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</si>
  <si>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</si>
  <si>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</si>
  <si>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</si>
  <si>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</si>
  <si>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</si>
  <si>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</si>
  <si>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</si>
  <si>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</si>
  <si>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</si>
  <si>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</si>
  <si>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</si>
  <si>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</si>
  <si>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</si>
  <si>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</si>
  <si>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</si>
  <si>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</si>
  <si>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</si>
  <si>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</si>
  <si>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</si>
  <si>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</si>
  <si>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</si>
  <si>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</si>
  <si>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</si>
  <si>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</si>
  <si>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</si>
  <si>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</si>
  <si>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</si>
  <si>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</si>
  <si>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</si>
  <si>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</si>
  <si>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</si>
  <si>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</si>
  <si>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</si>
  <si>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</si>
  <si>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</si>
  <si>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</si>
  <si>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</si>
  <si>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</si>
  <si>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</si>
  <si>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</si>
  <si>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</si>
  <si>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</si>
  <si>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</si>
  <si>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</si>
  <si>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02:!5</t>
  </si>
  <si>
    <t>troca de martelo mm1, solda grelha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</si>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</sst>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9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74" t="s">
        <v>0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</row>
    <row r="2" spans="1:11" ht="30" customHeight="1">
      <c r="A2" s="172"/>
      <c r="B2" s="17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1619380</v>
      </c>
      <c r="D20" s="8">
        <f>IFERROR('Linha 1'!S460,"")</f>
        <v>449020</v>
      </c>
      <c r="E20" s="8">
        <f>IFERROR('Linha 2'!S460,"")</f>
        <v>389280</v>
      </c>
      <c r="F20" s="8">
        <f>IFERROR('Linha 3'!S460,"")</f>
        <v>833920</v>
      </c>
      <c r="G20" s="9">
        <f t="shared" si="0"/>
        <v>1672220</v>
      </c>
      <c r="H20" s="96">
        <f>IFERROR('Linha 1'!T460+'Linha 2'!T460+'Linha 3'!T460,0)</f>
        <v>345.75255540983602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73" t="s">
        <v>14</v>
      </c>
      <c r="B35" s="173"/>
      <c r="C35" s="13">
        <f t="shared" ref="C35:H35" si="2">IFERROR(SUM(C4:C34),"")</f>
        <v>61474110</v>
      </c>
      <c r="D35" s="13">
        <f t="shared" si="2"/>
        <v>19986290</v>
      </c>
      <c r="E35" s="13">
        <f t="shared" si="2"/>
        <v>10451720</v>
      </c>
      <c r="F35" s="13">
        <f t="shared" si="2"/>
        <v>25736290</v>
      </c>
      <c r="G35" s="13">
        <f t="shared" si="2"/>
        <v>56174300</v>
      </c>
      <c r="H35" s="97">
        <f t="shared" si="2"/>
        <v>4032.7540882005683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6" t="s">
        <v>15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7"/>
      <c r="N1" s="178" t="s">
        <v>16</v>
      </c>
      <c r="O1" s="178"/>
      <c r="P1" s="178"/>
      <c r="Q1" s="178"/>
      <c r="R1" s="178"/>
    </row>
    <row r="2" spans="1:18" ht="4.5" customHeight="1">
      <c r="M2" s="17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7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7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7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7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7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7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7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77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7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7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7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7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7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7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77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7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7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7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7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7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7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7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7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7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7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7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7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7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7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7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7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7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7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7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7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7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77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77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77"/>
      <c r="N59" s="17"/>
      <c r="O59" s="17"/>
      <c r="P59" s="17" t="s">
        <v>219</v>
      </c>
      <c r="Q59" s="17"/>
      <c r="R59" s="17"/>
    </row>
    <row r="60" spans="1:18" ht="15" customHeight="1">
      <c r="M60" s="177"/>
      <c r="N60" s="16"/>
      <c r="O60" s="16"/>
      <c r="P60" s="77" t="s">
        <v>112</v>
      </c>
      <c r="Q60" s="16"/>
      <c r="R60" s="16"/>
    </row>
    <row r="61" spans="1:18" ht="15" customHeight="1">
      <c r="M61" s="177"/>
      <c r="N61" s="17"/>
      <c r="O61" s="17"/>
      <c r="P61" s="17" t="s">
        <v>220</v>
      </c>
      <c r="Q61" s="17"/>
      <c r="R61" s="17"/>
    </row>
    <row r="62" spans="1:18" ht="15" customHeight="1">
      <c r="M62" s="177"/>
      <c r="N62" s="16"/>
      <c r="O62" s="16"/>
      <c r="P62" s="16" t="s">
        <v>221</v>
      </c>
      <c r="Q62" s="16"/>
      <c r="R62" s="16"/>
    </row>
    <row r="63" spans="1:18" ht="15" customHeight="1">
      <c r="M63" s="177"/>
      <c r="N63" s="17"/>
      <c r="O63" s="17"/>
      <c r="P63" s="17" t="s">
        <v>222</v>
      </c>
      <c r="Q63" s="17"/>
      <c r="R63" s="17"/>
    </row>
    <row r="64" spans="1:18" ht="15" customHeight="1">
      <c r="M64" s="177"/>
      <c r="N64" s="16"/>
      <c r="O64" s="16"/>
      <c r="P64" s="16" t="s">
        <v>223</v>
      </c>
      <c r="Q64" s="16"/>
      <c r="R64" s="16"/>
    </row>
    <row r="65" spans="13:18" ht="15" customHeight="1">
      <c r="M65" s="177"/>
      <c r="N65" s="17"/>
      <c r="O65" s="17"/>
      <c r="P65" s="17" t="s">
        <v>224</v>
      </c>
      <c r="Q65" s="17"/>
      <c r="R65" s="17"/>
    </row>
    <row r="66" spans="13:18" ht="15" customHeight="1">
      <c r="M66" s="177"/>
      <c r="N66" s="16"/>
      <c r="O66" s="16"/>
      <c r="P66" s="16" t="s">
        <v>225</v>
      </c>
      <c r="Q66" s="16"/>
      <c r="R66" s="16"/>
    </row>
    <row r="67" spans="13:18" ht="15" customHeight="1">
      <c r="M67" s="177"/>
      <c r="N67" s="17"/>
      <c r="O67" s="17"/>
      <c r="P67" s="17" t="s">
        <v>226</v>
      </c>
      <c r="Q67" s="17"/>
      <c r="R67" s="17"/>
    </row>
    <row r="68" spans="13:18" ht="15" customHeight="1">
      <c r="M68" s="177"/>
      <c r="N68" s="16"/>
      <c r="O68" s="16"/>
      <c r="P68" s="16" t="s">
        <v>227</v>
      </c>
      <c r="Q68" s="16"/>
      <c r="R68" s="16"/>
    </row>
    <row r="69" spans="13:18" ht="15" customHeight="1">
      <c r="M69" s="177"/>
      <c r="N69" s="17"/>
      <c r="O69" s="17"/>
      <c r="P69" s="17" t="s">
        <v>228</v>
      </c>
      <c r="Q69" s="17"/>
      <c r="R69" s="17"/>
    </row>
    <row r="70" spans="13:18" ht="15" customHeight="1">
      <c r="M70" s="177"/>
      <c r="N70" s="16"/>
      <c r="O70" s="16"/>
      <c r="P70" s="16" t="s">
        <v>229</v>
      </c>
      <c r="Q70" s="16"/>
      <c r="R70" s="16"/>
    </row>
    <row r="71" spans="13:18" ht="15" customHeight="1">
      <c r="M71" s="177"/>
      <c r="N71" s="17"/>
      <c r="O71" s="17"/>
      <c r="P71" s="17" t="s">
        <v>230</v>
      </c>
      <c r="Q71" s="17"/>
      <c r="R71" s="17"/>
    </row>
    <row r="72" spans="13:18" ht="15" customHeight="1">
      <c r="M72" s="177"/>
      <c r="N72" s="16"/>
      <c r="O72" s="16"/>
      <c r="P72" s="16" t="s">
        <v>231</v>
      </c>
      <c r="Q72" s="16"/>
      <c r="R72" s="16"/>
    </row>
    <row r="73" spans="13:18" ht="15" customHeight="1">
      <c r="M73" s="177"/>
      <c r="N73" s="17"/>
      <c r="O73" s="17"/>
      <c r="P73" s="17" t="s">
        <v>232</v>
      </c>
      <c r="Q73" s="17"/>
      <c r="R73" s="17"/>
    </row>
    <row r="74" spans="13:18" ht="15" customHeight="1">
      <c r="M74" s="177"/>
      <c r="N74" s="16"/>
      <c r="O74" s="16"/>
      <c r="P74" s="16" t="s">
        <v>233</v>
      </c>
      <c r="Q74" s="16"/>
      <c r="R74" s="16"/>
    </row>
    <row r="75" spans="13:18" ht="15" customHeight="1">
      <c r="M75" s="177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26" activePane="bottomLeft" state="frozen"/>
      <selection pane="bottomLeft" activeCell="F456" sqref="F456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0" t="s">
        <v>246</v>
      </c>
      <c r="B14" s="161"/>
      <c r="C14" s="161"/>
      <c r="D14" s="161"/>
      <c r="E14" s="16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0" t="s">
        <v>249</v>
      </c>
      <c r="B27" s="161"/>
      <c r="C27" s="161"/>
      <c r="D27" s="161"/>
      <c r="E27" s="16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3" t="s">
        <v>250</v>
      </c>
      <c r="B28" s="164"/>
      <c r="C28" s="164"/>
      <c r="D28" s="16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0" t="s">
        <v>246</v>
      </c>
      <c r="B41" s="161"/>
      <c r="C41" s="161"/>
      <c r="D41" s="161"/>
      <c r="E41" s="16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0" t="s">
        <v>249</v>
      </c>
      <c r="B54" s="161"/>
      <c r="C54" s="161"/>
      <c r="D54" s="161"/>
      <c r="E54" s="16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3" t="s">
        <v>250</v>
      </c>
      <c r="B55" s="164"/>
      <c r="C55" s="164"/>
      <c r="D55" s="16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0" t="s">
        <v>246</v>
      </c>
      <c r="B68" s="161"/>
      <c r="C68" s="161"/>
      <c r="D68" s="161"/>
      <c r="E68" s="16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0" t="s">
        <v>249</v>
      </c>
      <c r="B81" s="161"/>
      <c r="C81" s="161"/>
      <c r="D81" s="161"/>
      <c r="E81" s="16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3" t="s">
        <v>250</v>
      </c>
      <c r="B82" s="164"/>
      <c r="C82" s="164"/>
      <c r="D82" s="16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0" t="s">
        <v>246</v>
      </c>
      <c r="B95" s="161"/>
      <c r="C95" s="161"/>
      <c r="D95" s="161"/>
      <c r="E95" s="16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0" t="s">
        <v>249</v>
      </c>
      <c r="B108" s="161"/>
      <c r="C108" s="161"/>
      <c r="D108" s="161"/>
      <c r="E108" s="16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3" t="s">
        <v>250</v>
      </c>
      <c r="B109" s="164"/>
      <c r="C109" s="164"/>
      <c r="D109" s="16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0" t="s">
        <v>246</v>
      </c>
      <c r="B122" s="161"/>
      <c r="C122" s="161"/>
      <c r="D122" s="161"/>
      <c r="E122" s="16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0" t="s">
        <v>249</v>
      </c>
      <c r="B135" s="161"/>
      <c r="C135" s="161"/>
      <c r="D135" s="161"/>
      <c r="E135" s="16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3" t="s">
        <v>250</v>
      </c>
      <c r="B136" s="164"/>
      <c r="C136" s="164"/>
      <c r="D136" s="16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0" t="s">
        <v>246</v>
      </c>
      <c r="B149" s="161"/>
      <c r="C149" s="161"/>
      <c r="D149" s="161"/>
      <c r="E149" s="16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0" t="s">
        <v>249</v>
      </c>
      <c r="B162" s="161"/>
      <c r="C162" s="161"/>
      <c r="D162" s="161"/>
      <c r="E162" s="16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3" t="s">
        <v>250</v>
      </c>
      <c r="B163" s="164"/>
      <c r="C163" s="164"/>
      <c r="D163" s="16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0" t="s">
        <v>246</v>
      </c>
      <c r="B176" s="161"/>
      <c r="C176" s="161"/>
      <c r="D176" s="161"/>
      <c r="E176" s="16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0" t="s">
        <v>249</v>
      </c>
      <c r="B189" s="161"/>
      <c r="C189" s="161"/>
      <c r="D189" s="161"/>
      <c r="E189" s="16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3" t="s">
        <v>250</v>
      </c>
      <c r="B190" s="164"/>
      <c r="C190" s="164"/>
      <c r="D190" s="16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0" t="s">
        <v>246</v>
      </c>
      <c r="B203" s="161"/>
      <c r="C203" s="161"/>
      <c r="D203" s="161"/>
      <c r="E203" s="16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0" t="s">
        <v>249</v>
      </c>
      <c r="B216" s="161"/>
      <c r="C216" s="161"/>
      <c r="D216" s="161"/>
      <c r="E216" s="16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3" t="s">
        <v>250</v>
      </c>
      <c r="B217" s="164"/>
      <c r="C217" s="164"/>
      <c r="D217" s="16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6" t="s">
        <v>246</v>
      </c>
      <c r="B230" s="167"/>
      <c r="C230" s="167"/>
      <c r="D230" s="167"/>
      <c r="E230" s="168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0" t="s">
        <v>249</v>
      </c>
      <c r="B243" s="161"/>
      <c r="C243" s="161"/>
      <c r="D243" s="161"/>
      <c r="E243" s="16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3" t="s">
        <v>250</v>
      </c>
      <c r="B244" s="164"/>
      <c r="C244" s="164"/>
      <c r="D244" s="16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0" t="s">
        <v>246</v>
      </c>
      <c r="B257" s="161"/>
      <c r="C257" s="161"/>
      <c r="D257" s="161"/>
      <c r="E257" s="16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0" t="s">
        <v>249</v>
      </c>
      <c r="B270" s="161"/>
      <c r="C270" s="161"/>
      <c r="D270" s="161"/>
      <c r="E270" s="16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3" t="s">
        <v>250</v>
      </c>
      <c r="B271" s="164"/>
      <c r="C271" s="164"/>
      <c r="D271" s="16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0" t="s">
        <v>246</v>
      </c>
      <c r="B284" s="161"/>
      <c r="C284" s="161"/>
      <c r="D284" s="161"/>
      <c r="E284" s="16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0" t="s">
        <v>249</v>
      </c>
      <c r="B297" s="161"/>
      <c r="C297" s="161"/>
      <c r="D297" s="161"/>
      <c r="E297" s="16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3" t="s">
        <v>250</v>
      </c>
      <c r="B298" s="164"/>
      <c r="C298" s="164"/>
      <c r="D298" s="16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0" t="s">
        <v>246</v>
      </c>
      <c r="B311" s="161"/>
      <c r="C311" s="161"/>
      <c r="D311" s="161"/>
      <c r="E311" s="16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0" t="s">
        <v>249</v>
      </c>
      <c r="B324" s="161"/>
      <c r="C324" s="161"/>
      <c r="D324" s="161"/>
      <c r="E324" s="16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3" t="s">
        <v>250</v>
      </c>
      <c r="B325" s="164"/>
      <c r="C325" s="164"/>
      <c r="D325" s="16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0" t="s">
        <v>246</v>
      </c>
      <c r="B338" s="161"/>
      <c r="C338" s="161"/>
      <c r="D338" s="161"/>
      <c r="E338" s="16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0" t="s">
        <v>249</v>
      </c>
      <c r="B351" s="161"/>
      <c r="C351" s="161"/>
      <c r="D351" s="161"/>
      <c r="E351" s="16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3" t="s">
        <v>250</v>
      </c>
      <c r="B352" s="164"/>
      <c r="C352" s="164"/>
      <c r="D352" s="164"/>
      <c r="E352" s="16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0" t="s">
        <v>246</v>
      </c>
      <c r="B365" s="161"/>
      <c r="C365" s="161"/>
      <c r="D365" s="161"/>
      <c r="E365" s="16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0" t="s">
        <v>249</v>
      </c>
      <c r="B378" s="161"/>
      <c r="C378" s="161"/>
      <c r="D378" s="161"/>
      <c r="E378" s="16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3" t="s">
        <v>250</v>
      </c>
      <c r="B379" s="164"/>
      <c r="C379" s="164"/>
      <c r="D379" s="164"/>
      <c r="E379" s="16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0" t="s">
        <v>246</v>
      </c>
      <c r="B392" s="161"/>
      <c r="C392" s="161"/>
      <c r="D392" s="161"/>
      <c r="E392" s="16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0" t="s">
        <v>249</v>
      </c>
      <c r="B405" s="161"/>
      <c r="C405" s="161"/>
      <c r="D405" s="161"/>
      <c r="E405" s="16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3" t="s">
        <v>250</v>
      </c>
      <c r="B406" s="164"/>
      <c r="C406" s="164"/>
      <c r="D406" s="164"/>
      <c r="E406" s="16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0" t="s">
        <v>246</v>
      </c>
      <c r="B419" s="161"/>
      <c r="C419" s="161"/>
      <c r="D419" s="161"/>
      <c r="E419" s="16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0" t="s">
        <v>249</v>
      </c>
      <c r="B432" s="161"/>
      <c r="C432" s="161"/>
      <c r="D432" s="161"/>
      <c r="E432" s="16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3" t="s">
        <v>250</v>
      </c>
      <c r="B433" s="164"/>
      <c r="C433" s="164"/>
      <c r="D433" s="164"/>
      <c r="E433" s="165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0" t="s">
        <v>246</v>
      </c>
      <c r="B446" s="161"/>
      <c r="C446" s="161"/>
      <c r="D446" s="161"/>
      <c r="E446" s="16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>
        <v>35</v>
      </c>
      <c r="G455" s="151" t="s">
        <v>271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/>
      <c r="G457" s="151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0" t="s">
        <v>249</v>
      </c>
      <c r="B459" s="161"/>
      <c r="C459" s="161"/>
      <c r="D459" s="161"/>
      <c r="E459" s="162">
        <f>SUM(E447:E458)</f>
        <v>0</v>
      </c>
      <c r="F459" s="36">
        <f>SUM(F447:F458)</f>
        <v>307</v>
      </c>
      <c r="G459" s="36">
        <f>SUM(G447:G458)</f>
        <v>1360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/>
    </row>
    <row r="460" spans="1:15" ht="18" customHeight="1">
      <c r="A460" s="163" t="s">
        <v>250</v>
      </c>
      <c r="B460" s="164"/>
      <c r="C460" s="164"/>
      <c r="D460" s="164"/>
      <c r="E460" s="165">
        <f>E446+E459</f>
        <v>0</v>
      </c>
      <c r="F460" s="40">
        <f>F446+F459</f>
        <v>475</v>
      </c>
      <c r="G460" s="40">
        <f>G446+G459</f>
        <v>2200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1619380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60" t="s">
        <v>246</v>
      </c>
      <c r="B473" s="161"/>
      <c r="C473" s="161"/>
      <c r="D473" s="161"/>
      <c r="E473" s="16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247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60" t="s">
        <v>249</v>
      </c>
      <c r="B486" s="161"/>
      <c r="C486" s="161"/>
      <c r="D486" s="161"/>
      <c r="E486" s="16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3" t="s">
        <v>250</v>
      </c>
      <c r="B487" s="164"/>
      <c r="C487" s="164"/>
      <c r="D487" s="16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251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60" t="s">
        <v>246</v>
      </c>
      <c r="B500" s="161"/>
      <c r="C500" s="161"/>
      <c r="D500" s="161"/>
      <c r="E500" s="16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60" t="s">
        <v>249</v>
      </c>
      <c r="B513" s="161"/>
      <c r="C513" s="161"/>
      <c r="D513" s="161"/>
      <c r="E513" s="16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3" t="s">
        <v>250</v>
      </c>
      <c r="B514" s="164"/>
      <c r="C514" s="164"/>
      <c r="D514" s="16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60" t="s">
        <v>246</v>
      </c>
      <c r="B527" s="161"/>
      <c r="C527" s="161"/>
      <c r="D527" s="161"/>
      <c r="E527" s="16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60" t="s">
        <v>249</v>
      </c>
      <c r="B540" s="161"/>
      <c r="C540" s="161"/>
      <c r="D540" s="161"/>
      <c r="E540" s="16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3" t="s">
        <v>250</v>
      </c>
      <c r="B541" s="164"/>
      <c r="C541" s="164"/>
      <c r="D541" s="16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60" t="s">
        <v>246</v>
      </c>
      <c r="B554" s="161"/>
      <c r="C554" s="161"/>
      <c r="D554" s="161"/>
      <c r="E554" s="16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60" t="s">
        <v>249</v>
      </c>
      <c r="B567" s="161"/>
      <c r="C567" s="161"/>
      <c r="D567" s="161"/>
      <c r="E567" s="16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3" t="s">
        <v>250</v>
      </c>
      <c r="B568" s="164"/>
      <c r="C568" s="164"/>
      <c r="D568" s="16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60" t="s">
        <v>246</v>
      </c>
      <c r="B581" s="161"/>
      <c r="C581" s="161"/>
      <c r="D581" s="161"/>
      <c r="E581" s="16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60" t="s">
        <v>249</v>
      </c>
      <c r="B594" s="161"/>
      <c r="C594" s="161"/>
      <c r="D594" s="161"/>
      <c r="E594" s="16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3" t="s">
        <v>250</v>
      </c>
      <c r="B595" s="164"/>
      <c r="C595" s="164"/>
      <c r="D595" s="16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60" t="s">
        <v>246</v>
      </c>
      <c r="B608" s="161"/>
      <c r="C608" s="161"/>
      <c r="D608" s="161"/>
      <c r="E608" s="16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60" t="s">
        <v>249</v>
      </c>
      <c r="B621" s="161"/>
      <c r="C621" s="161"/>
      <c r="D621" s="161"/>
      <c r="E621" s="16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3" t="s">
        <v>250</v>
      </c>
      <c r="B622" s="164"/>
      <c r="C622" s="164"/>
      <c r="D622" s="16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60" t="s">
        <v>246</v>
      </c>
      <c r="B635" s="161"/>
      <c r="C635" s="161"/>
      <c r="D635" s="161"/>
      <c r="E635" s="16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60" t="s">
        <v>249</v>
      </c>
      <c r="B648" s="161"/>
      <c r="C648" s="161"/>
      <c r="D648" s="161"/>
      <c r="E648" s="16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3" t="s">
        <v>250</v>
      </c>
      <c r="B649" s="164"/>
      <c r="C649" s="164"/>
      <c r="D649" s="16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60" t="s">
        <v>246</v>
      </c>
      <c r="B662" s="161"/>
      <c r="C662" s="161"/>
      <c r="D662" s="161"/>
      <c r="E662" s="16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60" t="s">
        <v>249</v>
      </c>
      <c r="B675" s="161"/>
      <c r="C675" s="161"/>
      <c r="D675" s="161"/>
      <c r="E675" s="16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3" t="s">
        <v>250</v>
      </c>
      <c r="B676" s="164"/>
      <c r="C676" s="164"/>
      <c r="D676" s="16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60" t="s">
        <v>246</v>
      </c>
      <c r="B689" s="161"/>
      <c r="C689" s="161"/>
      <c r="D689" s="161"/>
      <c r="E689" s="16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60" t="s">
        <v>249</v>
      </c>
      <c r="B702" s="161"/>
      <c r="C702" s="161"/>
      <c r="D702" s="161"/>
      <c r="E702" s="16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3" t="s">
        <v>250</v>
      </c>
      <c r="B703" s="164"/>
      <c r="C703" s="164"/>
      <c r="D703" s="16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60" t="s">
        <v>246</v>
      </c>
      <c r="B716" s="161"/>
      <c r="C716" s="161"/>
      <c r="D716" s="161"/>
      <c r="E716" s="16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60" t="s">
        <v>249</v>
      </c>
      <c r="B729" s="161"/>
      <c r="C729" s="161"/>
      <c r="D729" s="161"/>
      <c r="E729" s="16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3" t="s">
        <v>250</v>
      </c>
      <c r="B730" s="164"/>
      <c r="C730" s="164"/>
      <c r="D730" s="16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60" t="s">
        <v>246</v>
      </c>
      <c r="B743" s="161"/>
      <c r="C743" s="161"/>
      <c r="D743" s="161"/>
      <c r="E743" s="16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60" t="s">
        <v>249</v>
      </c>
      <c r="B756" s="161"/>
      <c r="C756" s="161"/>
      <c r="D756" s="161"/>
      <c r="E756" s="16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3" t="s">
        <v>250</v>
      </c>
      <c r="B757" s="164"/>
      <c r="C757" s="164"/>
      <c r="D757" s="16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60" t="s">
        <v>246</v>
      </c>
      <c r="B770" s="161"/>
      <c r="C770" s="161"/>
      <c r="D770" s="161"/>
      <c r="E770" s="16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60" t="s">
        <v>249</v>
      </c>
      <c r="B783" s="161"/>
      <c r="C783" s="161"/>
      <c r="D783" s="161"/>
      <c r="E783" s="16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3" t="s">
        <v>250</v>
      </c>
      <c r="B784" s="164"/>
      <c r="C784" s="164"/>
      <c r="D784" s="16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60" t="s">
        <v>246</v>
      </c>
      <c r="B797" s="161"/>
      <c r="C797" s="161"/>
      <c r="D797" s="161"/>
      <c r="E797" s="16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60" t="s">
        <v>249</v>
      </c>
      <c r="B810" s="161"/>
      <c r="C810" s="161"/>
      <c r="D810" s="161"/>
      <c r="E810" s="16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69" t="s">
        <v>250</v>
      </c>
      <c r="B811" s="170"/>
      <c r="C811" s="170"/>
      <c r="D811" s="170"/>
      <c r="E811" s="171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60" t="s">
        <v>246</v>
      </c>
      <c r="B824" s="161"/>
      <c r="C824" s="161"/>
      <c r="D824" s="161"/>
      <c r="E824" s="16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60" t="s">
        <v>249</v>
      </c>
      <c r="B837" s="161"/>
      <c r="C837" s="161"/>
      <c r="D837" s="161"/>
      <c r="E837" s="16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3" t="s">
        <v>250</v>
      </c>
      <c r="B838" s="164"/>
      <c r="C838" s="164"/>
      <c r="D838" s="16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27" activePane="bottomLeft" state="frozen"/>
      <selection pane="bottomLeft" activeCell="G455" sqref="G455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280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281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282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283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284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0" t="s">
        <v>246</v>
      </c>
      <c r="B41" s="161"/>
      <c r="C41" s="161"/>
      <c r="D41" s="161"/>
      <c r="E41" s="161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285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286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287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4.5519791659899056E-2</v>
      </c>
      <c r="R53" s="46" t="s">
        <v>288</v>
      </c>
      <c r="S53" s="31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0.18440868054878795</v>
      </c>
      <c r="R54" s="36" t="s">
        <v>247</v>
      </c>
      <c r="S54" s="75">
        <v>352430</v>
      </c>
      <c r="T54" s="117"/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0.26913090277101026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280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289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290</v>
      </c>
      <c r="Q96" s="30" t="str">
        <f t="shared" ref="Q96:Q107" ca="1" si="22">IFERROR(IF(O96="","",IF(P96="",MOD(NOW()-O96,1),IF(P96&gt;=O96,P96-O96,P96+1-O96))),"")</f>
        <v/>
      </c>
      <c r="R96" s="46" t="s">
        <v>291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292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293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294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295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296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297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0" t="s">
        <v>246</v>
      </c>
      <c r="B149" s="161"/>
      <c r="C149" s="161"/>
      <c r="D149" s="161"/>
      <c r="E149" s="161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299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300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301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294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289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303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304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6" t="s">
        <v>246</v>
      </c>
      <c r="B230" s="167"/>
      <c r="C230" s="167"/>
      <c r="D230" s="167"/>
      <c r="E230" s="167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0" t="s">
        <v>246</v>
      </c>
      <c r="B257" s="161"/>
      <c r="C257" s="161"/>
      <c r="D257" s="161"/>
      <c r="E257" s="161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305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306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307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308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309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0" t="s">
        <v>246</v>
      </c>
      <c r="B338" s="161"/>
      <c r="C338" s="161"/>
      <c r="D338" s="161"/>
      <c r="E338" s="161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301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296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289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0" t="s">
        <v>246</v>
      </c>
      <c r="B365" s="161"/>
      <c r="C365" s="161"/>
      <c r="D365" s="161"/>
      <c r="E365" s="161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310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311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312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313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314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315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2.5257374999999995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7.5772124999999999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94.294199999999989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94.294199999999989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10"/>
        <v>0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10"/>
        <v>0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09" t="s">
        <v>245</v>
      </c>
      <c r="F450" s="134">
        <f>IFERROR(IF($D450="","",VLOOKUP($D450,Cadastro!$C$4:$E$7,3,FALSE)),"")</f>
        <v>0.35</v>
      </c>
      <c r="G450" s="105">
        <v>13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10"/>
        <v>0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261</v>
      </c>
      <c r="F451" s="134">
        <f>IFERROR(IF($D451="","",VLOOKUP($D451,Cadastro!$C$4:$E$7,3,FALSE)),"")</f>
        <v>0.35</v>
      </c>
      <c r="G451" s="105">
        <v>13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10"/>
        <v>0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261</v>
      </c>
      <c r="F452" s="134">
        <f>IFERROR(IF($D452="","",VLOOKUP($D452,Cadastro!$C$4:$E$7,3,FALSE)),"")</f>
        <v>0.35</v>
      </c>
      <c r="G452" s="105">
        <v>12</v>
      </c>
      <c r="H452" s="134">
        <f>IFERROR(IF($G452="","",$G452*$S$459/$G$459/Cadastro!$E$33),"")</f>
        <v>0</v>
      </c>
      <c r="I452" s="135">
        <f>IFERROR(IF($D452="","",VLOOKUP($D452,Cadastro!$C$4:$G$7,5,FALSE)),"")</f>
        <v>0.6</v>
      </c>
      <c r="J452" s="136">
        <f t="shared" si="110"/>
        <v>0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316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0</v>
      </c>
      <c r="I453" s="135">
        <f>IFERROR(IF($D453="","",VLOOKUP($D453,Cadastro!$C$4:$G$7,5,FALSE)),"")</f>
        <v>0.6</v>
      </c>
      <c r="J453" s="136">
        <f t="shared" si="110"/>
        <v>0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 t="s">
        <v>317</v>
      </c>
      <c r="P453" s="29">
        <v>0.13541666666666666</v>
      </c>
      <c r="Q453" s="35" t="str">
        <f t="shared" ca="1" si="112"/>
        <v/>
      </c>
      <c r="R453" s="46" t="s">
        <v>318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0</v>
      </c>
      <c r="I454" s="135">
        <f>IFERROR(IF($D454="","",VLOOKUP($D454,Cadastro!$C$4:$G$7,5,FALSE)),"")</f>
        <v>0.6</v>
      </c>
      <c r="J454" s="136">
        <f t="shared" si="110"/>
        <v>0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91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392.60000000000008</v>
      </c>
      <c r="L459" s="37"/>
      <c r="M459" s="37"/>
      <c r="N459" s="37"/>
      <c r="O459" s="37"/>
      <c r="P459" s="37"/>
      <c r="Q459" s="38">
        <f ca="1">IFERROR(SUM(Q447:Q458),"")</f>
        <v>5.3472222222222129E-2</v>
      </c>
      <c r="R459" s="36" t="s">
        <v>247</v>
      </c>
      <c r="S459" s="45"/>
      <c r="T459" s="122">
        <f>IFERROR(J459,"")</f>
        <v>0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203</v>
      </c>
      <c r="H460" s="112">
        <f>IFERROR(H446+H459,"")</f>
        <v>449.02</v>
      </c>
      <c r="I460" s="116"/>
      <c r="J460" s="125">
        <f>IFERROR(J446+J459,"")</f>
        <v>94.294199999999989</v>
      </c>
      <c r="K460" s="40">
        <f>K446+K459</f>
        <v>863.00000000000011</v>
      </c>
      <c r="L460" s="41"/>
      <c r="M460" s="41"/>
      <c r="N460" s="41"/>
      <c r="O460" s="41"/>
      <c r="P460" s="41"/>
      <c r="Q460" s="42">
        <f ca="1">IFERROR(Q446+Q459,"")</f>
        <v>0.12083333333333333</v>
      </c>
      <c r="R460" s="40" t="s">
        <v>251</v>
      </c>
      <c r="S460" s="143">
        <f>IFERROR(S446+S459,"")</f>
        <v>449020</v>
      </c>
      <c r="T460" s="144">
        <f>IFERROR(J460,"")</f>
        <v>94.294199999999989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247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251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27" activePane="bottomLeft" state="frozen"/>
      <selection pane="bottomLeft" activeCell="G455" sqref="G455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319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283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320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0" t="s">
        <v>246</v>
      </c>
      <c r="B41" s="161"/>
      <c r="C41" s="161"/>
      <c r="D41" s="161"/>
      <c r="E41" s="161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289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319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319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321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322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323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324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326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327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297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0" t="s">
        <v>246</v>
      </c>
      <c r="B149" s="161"/>
      <c r="C149" s="161"/>
      <c r="D149" s="161"/>
      <c r="E149" s="161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289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328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329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300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330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331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332</v>
      </c>
      <c r="Q222" s="30" t="str">
        <f t="shared" ca="1" si="49"/>
        <v/>
      </c>
      <c r="R222" s="27" t="s">
        <v>333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0" t="s">
        <v>246</v>
      </c>
      <c r="B230" s="161"/>
      <c r="C230" s="161"/>
      <c r="D230" s="161"/>
      <c r="E230" s="161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334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0" t="s">
        <v>246</v>
      </c>
      <c r="B257" s="161"/>
      <c r="C257" s="161"/>
      <c r="D257" s="161"/>
      <c r="E257" s="161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307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335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308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0" t="s">
        <v>246</v>
      </c>
      <c r="B338" s="161"/>
      <c r="C338" s="161"/>
      <c r="D338" s="161"/>
      <c r="E338" s="161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289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0" t="s">
        <v>246</v>
      </c>
      <c r="B365" s="161"/>
      <c r="C365" s="161"/>
      <c r="D365" s="161"/>
      <c r="E365" s="161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336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311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337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338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0" t="s">
        <v>249</v>
      </c>
      <c r="B432" s="161"/>
      <c r="C432" s="161"/>
      <c r="D432" s="161"/>
      <c r="E432" s="161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3" t="s">
        <v>250</v>
      </c>
      <c r="B433" s="164"/>
      <c r="C433" s="164"/>
      <c r="D433" s="164"/>
      <c r="E433" s="164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339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339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12.502757647058823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10.579256470588234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81.748799999999989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81.748799999999989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0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08"/>
        <v>0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08"/>
        <v>0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340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29</v>
      </c>
      <c r="E450" s="109" t="s">
        <v>261</v>
      </c>
      <c r="F450" s="134">
        <f>IFERROR(IF($D450="","",VLOOKUP($D450,Cadastro!$C$4:$E$7,3,FALSE)),"")</f>
        <v>0.35</v>
      </c>
      <c r="G450" s="105">
        <v>11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08"/>
        <v>0</v>
      </c>
      <c r="K450" s="28">
        <f t="shared" si="109"/>
        <v>46.2</v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29</v>
      </c>
      <c r="E451" s="109" t="s">
        <v>261</v>
      </c>
      <c r="F451" s="134">
        <f>IFERROR(IF($D451="","",VLOOKUP($D451,Cadastro!$C$4:$E$7,3,FALSE)),"")</f>
        <v>0.35</v>
      </c>
      <c r="G451" s="105">
        <v>3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08"/>
        <v>0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29</v>
      </c>
      <c r="E452" s="109" t="s">
        <v>261</v>
      </c>
      <c r="F452" s="134">
        <f>IFERROR(IF($D452="","",VLOOKUP($D452,Cadastro!$C$4:$E$7,3,FALSE)),"")</f>
        <v>0.35</v>
      </c>
      <c r="G452" s="105">
        <v>8</v>
      </c>
      <c r="H452" s="134">
        <f>IFERROR(IF($G452="","",$G452*$S$459/$G$459/Cadastro!$E$33),"")</f>
        <v>0</v>
      </c>
      <c r="I452" s="135">
        <f>IFERROR(IF($D452="","",VLOOKUP($D452,Cadastro!$C$4:$G$7,5,FALSE)),"")</f>
        <v>0.6</v>
      </c>
      <c r="J452" s="136">
        <f t="shared" si="108"/>
        <v>0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0</v>
      </c>
      <c r="I453" s="135">
        <f>IFERROR(IF($D453="","",VLOOKUP($D453,Cadastro!$C$4:$G$7,5,FALSE)),"")</f>
        <v>0.6</v>
      </c>
      <c r="J453" s="136">
        <f t="shared" si="108"/>
        <v>0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0</v>
      </c>
      <c r="I454" s="135">
        <f>IFERROR(IF($D454="","",VLOOKUP($D454,Cadastro!$C$4:$G$7,5,FALSE)),"")</f>
        <v>0.6</v>
      </c>
      <c r="J454" s="136">
        <f t="shared" si="108"/>
        <v>0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71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298.19999999999993</v>
      </c>
      <c r="L459" s="37"/>
      <c r="M459" s="37"/>
      <c r="N459" s="37"/>
      <c r="O459" s="37"/>
      <c r="P459" s="37"/>
      <c r="Q459" s="38">
        <f ca="1">IFERROR(SUM(Q447:Q458),"")</f>
        <v>3.9583333333333283E-2</v>
      </c>
      <c r="R459" s="36" t="s">
        <v>247</v>
      </c>
      <c r="S459" s="39"/>
      <c r="T459" s="119">
        <f>IFERROR(J459,"")</f>
        <v>0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156</v>
      </c>
      <c r="H460" s="112">
        <f>IFERROR(H446+H459,"")</f>
        <v>389.28</v>
      </c>
      <c r="I460" s="116"/>
      <c r="J460" s="125">
        <f>IFERROR(J446+J459,"")</f>
        <v>81.748799999999989</v>
      </c>
      <c r="K460" s="40">
        <f>K446+K459</f>
        <v>655.20000000000005</v>
      </c>
      <c r="L460" s="41"/>
      <c r="M460" s="41"/>
      <c r="N460" s="41"/>
      <c r="O460" s="41"/>
      <c r="P460" s="41"/>
      <c r="Q460" s="42">
        <f ca="1">IFERROR(Q446+Q459,"")</f>
        <v>8.4722222222222171E-2</v>
      </c>
      <c r="R460" s="40" t="s">
        <v>251</v>
      </c>
      <c r="S460" s="48">
        <f>IFERROR(S446+S459,"")</f>
        <v>389280</v>
      </c>
      <c r="T460" s="121">
        <f>IFERROR(J460,"")</f>
        <v>81.748799999999989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0" t="s">
        <v>249</v>
      </c>
      <c r="B513" s="161"/>
      <c r="C513" s="161"/>
      <c r="D513" s="161"/>
      <c r="E513" s="16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3" t="s">
        <v>250</v>
      </c>
      <c r="B514" s="164"/>
      <c r="C514" s="164"/>
      <c r="D514" s="164"/>
      <c r="E514" s="16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433" activePane="bottomLeft" state="frozen"/>
      <selection pane="bottomLeft" activeCell="G456" sqref="G456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341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286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319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342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343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0" t="s">
        <v>246</v>
      </c>
      <c r="B41" s="161"/>
      <c r="C41" s="161"/>
      <c r="D41" s="161"/>
      <c r="E41" s="161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344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345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346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347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319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319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348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349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319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350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351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297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352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353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354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356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357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358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359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360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361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0" t="s">
        <v>246</v>
      </c>
      <c r="B230" s="161"/>
      <c r="C230" s="161"/>
      <c r="D230" s="161"/>
      <c r="E230" s="161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362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363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364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0" t="s">
        <v>246</v>
      </c>
      <c r="B257" s="161"/>
      <c r="C257" s="161"/>
      <c r="D257" s="161"/>
      <c r="E257" s="161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0" t="s">
        <v>246</v>
      </c>
      <c r="B338" s="161"/>
      <c r="C338" s="161"/>
      <c r="D338" s="161"/>
      <c r="E338" s="161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365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366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367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368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369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311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370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371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372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373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0" t="s">
        <v>249</v>
      </c>
      <c r="B432" s="161"/>
      <c r="C432" s="161"/>
      <c r="D432" s="161"/>
      <c r="E432" s="161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3" t="s">
        <v>250</v>
      </c>
      <c r="B433" s="164"/>
      <c r="C433" s="164"/>
      <c r="D433" s="164"/>
      <c r="E433" s="164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11.483488524590163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14.354360655737704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169.70955540983604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169.70955540983604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374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10"/>
        <v>0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10"/>
        <v>0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59" t="s">
        <v>261</v>
      </c>
      <c r="F450" s="134">
        <f>IFERROR(IF($D450="","",VLOOKUP($D450,Cadastro!$C$4:$E$7,3,FALSE)),"")</f>
        <v>0.35</v>
      </c>
      <c r="G450" s="105">
        <v>24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10"/>
        <v>0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261</v>
      </c>
      <c r="F451" s="134">
        <f>IFERROR(IF($D451="","",VLOOKUP($D451,Cadastro!$C$4:$E$7,3,FALSE)),"")</f>
        <v>0.35</v>
      </c>
      <c r="G451" s="105">
        <v>9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10"/>
        <v>0</v>
      </c>
      <c r="K451" s="151">
        <f>IF(G451="","",IF(E452="PC 17",G451*4.2,IF(E452="PC 19",G451*5,"")))</f>
        <v>37.800000000000004</v>
      </c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261</v>
      </c>
      <c r="F452" s="134">
        <f>IFERROR(IF($D452="","",VLOOKUP($D452,Cadastro!$C$4:$E$7,3,FALSE)),"")</f>
        <v>0.35</v>
      </c>
      <c r="G452" s="105">
        <v>8</v>
      </c>
      <c r="H452" s="134">
        <f>IFERROR(IF($G452="","",$G452*$S$459/$G$459/Cadastro!$E$33),"")</f>
        <v>0</v>
      </c>
      <c r="I452" s="135">
        <f>IFERROR(IF($D452="","",VLOOKUP($D452,Cadastro!$C$4:$G$7,5,FALSE)),"")</f>
        <v>0.6</v>
      </c>
      <c r="J452" s="136">
        <f t="shared" si="110"/>
        <v>0</v>
      </c>
      <c r="K452" s="28">
        <f>IF(G452="","",IF(E453="PC 17",G452*4.2,IF(E453="PC 19",G452*5,"")))</f>
        <v>33.6</v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0</v>
      </c>
      <c r="I453" s="135">
        <f>IFERROR(IF($D453="","",VLOOKUP($D453,Cadastro!$C$4:$G$7,5,FALSE)),"")</f>
        <v>0.6</v>
      </c>
      <c r="J453" s="136">
        <f t="shared" si="110"/>
        <v>0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0</v>
      </c>
      <c r="I454" s="135">
        <f>IFERROR(IF($D454="","",VLOOKUP($D454,Cadastro!$C$4:$G$7,5,FALSE)),"")</f>
        <v>0.6</v>
      </c>
      <c r="J454" s="136">
        <f t="shared" si="110"/>
        <v>0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14</v>
      </c>
      <c r="H455" s="134">
        <f>IFERROR(IF($G455="","",$G455*$S$459/$G$459/Cadastro!$E$33),"")</f>
        <v>0</v>
      </c>
      <c r="I455" s="135">
        <f>IFERROR(IF($D455="","",VLOOKUP($D455,Cadastro!$C$4:$G$7,5,FALSE)),"")</f>
        <v>0.6</v>
      </c>
      <c r="J455" s="136">
        <f t="shared" si="110"/>
        <v>0</v>
      </c>
      <c r="K455" s="151">
        <f>IF(G455="","",IF(E456="PC 17",G455*4.2,IF(E456="PC 19",G455*5,"")))</f>
        <v>58.800000000000004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10"/>
        <v/>
      </c>
      <c r="K456" s="28" t="str">
        <f>IF(G456="","",IF(E457="PC 17",G456*4.2,IF(E457="PC 19",G456*5,"")))</f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151" t="str">
        <f>IF(G457="","",IF(E458="PC 17",G457*4.2,IF(E458="PC 19",G457*5,"")))</f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188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789.59999999999991</v>
      </c>
      <c r="L459" s="37"/>
      <c r="M459" s="37"/>
      <c r="N459" s="37"/>
      <c r="O459" s="61"/>
      <c r="P459" s="61"/>
      <c r="Q459" s="38">
        <f ca="1">IFERROR(SUM(Q447:Q458),"")</f>
        <v>6.1111111111111137E-2</v>
      </c>
      <c r="R459" s="36" t="s">
        <v>247</v>
      </c>
      <c r="S459" s="39"/>
      <c r="T459" s="119">
        <f>IFERROR(J459,"")</f>
        <v>0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371</v>
      </c>
      <c r="H460" s="112">
        <f>IFERROR(H446+H459,"")</f>
        <v>833.92000000000019</v>
      </c>
      <c r="I460" s="116"/>
      <c r="J460" s="125">
        <f>IFERROR(J446+J459,"")</f>
        <v>169.70955540983604</v>
      </c>
      <c r="K460" s="40">
        <f>K446+K459</f>
        <v>1558.2</v>
      </c>
      <c r="L460" s="41"/>
      <c r="M460" s="41"/>
      <c r="N460" s="41"/>
      <c r="O460" s="63"/>
      <c r="P460" s="63"/>
      <c r="Q460" s="42">
        <f ca="1">IFERROR(Q446+Q459,"")</f>
        <v>9.7222222222222238E-2</v>
      </c>
      <c r="R460" s="40" t="s">
        <v>251</v>
      </c>
      <c r="S460" s="48">
        <f>IFERROR(S446+S459,"")</f>
        <v>833920</v>
      </c>
      <c r="T460" s="121">
        <f>IFERROR(J460,"")</f>
        <v>169.70955540983604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0" t="s">
        <v>249</v>
      </c>
      <c r="B513" s="161"/>
      <c r="C513" s="161"/>
      <c r="D513" s="161"/>
      <c r="E513" s="16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3" t="s">
        <v>250</v>
      </c>
      <c r="B514" s="164"/>
      <c r="C514" s="164"/>
      <c r="D514" s="164"/>
      <c r="E514" s="16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2026-08-18T08:00:58Z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