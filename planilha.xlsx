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91" documentId="13_ncr:1_{0A10D8D4-8450-4366-8075-B53B08E6B7EA}" xr6:coauthVersionLast="47" xr6:coauthVersionMax="47" xr10:uidLastSave="{C60828B6-19E1-421F-8CFC-0D3972753693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7" i="6" s="1"/>
  <c r="J347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7" i="5" s="1"/>
  <c r="J347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7" i="4" s="1"/>
  <c r="J347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5" i="6" l="1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<sst xmlns="http://schemas.openxmlformats.org/spreadsheetml/2006/main" count="6133" uniqueCount="340">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</sst>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210</v>
      </c>
      <c r="G351" s="36">
        <f>SUM(G339:G350)</f>
        <v>1050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442</v>
      </c>
      <c r="G352" s="40">
        <f>G338+G351</f>
        <v>2210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G348" sqref="G3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4.5240972220199183E-2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0.18412986110908808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0.26885208333131039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525</v>
      </c>
      <c r="L351" s="37"/>
      <c r="M351" s="37"/>
      <c r="N351" s="37"/>
      <c r="O351" s="37"/>
      <c r="P351" s="37"/>
      <c r="Q351" s="38">
        <f ca="1">IFERROR(SUM(Q339:Q350),"")</f>
        <v>0.12152777777777793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162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698</v>
      </c>
      <c r="L352" s="41"/>
      <c r="M352" s="41"/>
      <c r="N352" s="41"/>
      <c r="O352" s="41"/>
      <c r="P352" s="41"/>
      <c r="Q352" s="42">
        <f ca="1">IFERROR(Q338+Q351,"")</f>
        <v>0.46388888888888891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G348" sqref="G3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47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197.40000000000003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108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494.40000000000003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15" activePane="bottomLeft" state="frozen"/>
      <selection pane="bottomLeft" activeCell="G348" sqref="G3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200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840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1808.2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2026-08-14T08:00:26Z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