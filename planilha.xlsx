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895" documentId="13_ncr:1_{A6DBCFB4-28D9-4249-9038-216934055CA6}" xr6:coauthVersionLast="47" xr6:coauthVersionMax="47" xr10:uidLastSave="{2376D2DF-1359-4AAB-A417-22294F9C8868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1" i="6" l="1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<sst xmlns="http://schemas.openxmlformats.org/spreadsheetml/2006/main" count="9519" uniqueCount="419">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</sst>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766150</v>
      </c>
      <c r="G24" s="20">
        <f t="shared" si="0"/>
        <v>1547050</v>
      </c>
      <c r="H24" s="21">
        <f>IFERROR('Linha 1'!T568+'Linha 2'!T568+'Linha 3'!T568,0)</f>
        <v>222.77519999999998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32182760</v>
      </c>
      <c r="G35" s="30">
        <f t="shared" si="2"/>
        <v>70337830</v>
      </c>
      <c r="H35" s="31">
        <f t="shared" si="2"/>
        <v>6388.4606726915117</v>
      </c>
      <c r="I35" s="31">
        <f t="shared" si="2"/>
        <v>4967.05</v>
      </c>
      <c r="J35" s="32">
        <f>I35/H35</f>
        <v>0.77750341662623723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O568" sqref="O56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7" activePane="bottomLeft" state="frozen"/>
      <selection pane="bottomLeft" activeCell="P556" sqref="P556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0.16989884259237442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0.30878773148126215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0.39350995370348496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48" activePane="bottomLeft" state="frozen"/>
      <selection pane="bottomLeft" activeCell="S568" sqref="S56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359</v>
      </c>
      <c r="Q222" s="66" t="str">
        <f t="shared" ca="1" si="49"/>
        <v/>
      </c>
      <c r="R222" s="63" t="s">
        <v>360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353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369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370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371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372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373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374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346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3" activePane="bottomLeft" state="frozen"/>
      <selection pane="bottomLeft" activeCell="G567" sqref="G56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411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412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413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414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415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0</v>
      </c>
      <c r="I561" s="90">
        <f>IFERROR(IF($D561="","",VLOOKUP($D561,Cadastro!$C$4:$G$7,5,FALSE())),"")</f>
        <v>0.6</v>
      </c>
      <c r="J561" s="91">
        <f t="shared" si="142"/>
        <v>0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416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0</v>
      </c>
      <c r="I562" s="90">
        <f>IFERROR(IF($D562="","",VLOOKUP($D562,Cadastro!$C$4:$G$7,5,FALSE())),"")</f>
        <v>0.6</v>
      </c>
      <c r="J562" s="91">
        <f t="shared" si="142"/>
        <v>0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417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0</v>
      </c>
      <c r="I563" s="90">
        <f>IFERROR(IF($D563="","",VLOOKUP($D563,Cadastro!$C$4:$G$7,5,FALSE())),"")</f>
        <v>0.6</v>
      </c>
      <c r="J563" s="91">
        <f t="shared" si="142"/>
        <v>0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0</v>
      </c>
      <c r="I564" s="90">
        <f>IFERROR(IF($D564="","",VLOOKUP($D564,Cadastro!$C$4:$G$7,5,FALSE())),"")</f>
        <v>0.6</v>
      </c>
      <c r="J564" s="91">
        <f t="shared" si="142"/>
        <v>0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418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0</v>
      </c>
      <c r="I565" s="90">
        <f>IFERROR(IF($D565="","",VLOOKUP($D565,Cadastro!$C$4:$G$7,5,FALSE())),"")</f>
        <v>0.6</v>
      </c>
      <c r="J565" s="91">
        <f t="shared" si="142"/>
        <v>0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401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0</v>
      </c>
      <c r="I566" s="93">
        <f>IFERROR(IF($D566="","",VLOOKUP($D566,Cadastro!$C$4:$G$7,5,FALSE())),"")</f>
        <v>0.6</v>
      </c>
      <c r="J566" s="94">
        <f t="shared" si="142"/>
        <v>0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2026-08-22T10:59:56Z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