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5" documentId="8_{AF585B22-221D-4780-BB9C-493D365A6A02}" xr6:coauthVersionLast="47" xr6:coauthVersionMax="47" xr10:uidLastSave="{21D2F576-79BB-49B6-8557-ED293EF7632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<sst xmlns="http://schemas.openxmlformats.org/spreadsheetml/2006/main" count="1681" uniqueCount="210">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</sst>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" activePane="bottomLeft" state="frozen"/>
      <selection pane="bottomLeft" activeCell="F51" sqref="F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147</v>
      </c>
      <c r="G55" s="40">
        <f>G41+G54</f>
        <v>735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H44" sqref="H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51</v>
      </c>
      <c r="G54" s="36">
        <f>SUM(G42:G53)</f>
        <v>214.19999999999996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139</v>
      </c>
      <c r="G55" s="40">
        <f>G41+G54</f>
        <v>583.79999999999995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9" activePane="bottomLeft" state="frozen"/>
      <selection pane="bottomLeft" activeCell="F51" sqref="F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22</v>
      </c>
      <c r="G54" s="36">
        <f>SUM(G42:G53)</f>
        <v>92.4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0" activePane="bottomLeft" state="frozen"/>
      <selection pane="bottomLeft" activeCell="L43" sqref="L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52</v>
      </c>
      <c r="J43" s="33" t="s">
        <v>28</v>
      </c>
      <c r="K43" s="29">
        <v>0.18402777777777779</v>
      </c>
      <c r="L43" s="29"/>
      <c r="M43" s="35">
        <f t="shared" ca="1" si="10"/>
        <v>5.2314814820419997E-4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120</v>
      </c>
      <c r="G54" s="36">
        <f>SUM(G42:G53)</f>
        <v>504.00000000000011</v>
      </c>
      <c r="H54" s="37"/>
      <c r="I54" s="37"/>
      <c r="J54" s="37"/>
      <c r="K54" s="61"/>
      <c r="L54" s="61"/>
      <c r="M54" s="38">
        <f ca="1">IFERROR(SUM(M42:M53),"")</f>
        <v>5.260648148153757E-2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205</v>
      </c>
      <c r="G55" s="40">
        <f>G41+G54</f>
        <v>861.00000000000011</v>
      </c>
      <c r="H55" s="41"/>
      <c r="I55" s="41"/>
      <c r="J55" s="41"/>
      <c r="K55" s="63"/>
      <c r="L55" s="63"/>
      <c r="M55" s="42">
        <f ca="1">IFERROR(M41+M54,"")</f>
        <v>0.27691203703709322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2026-07-03T08:26:16Z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