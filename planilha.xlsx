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11" documentId="13_ncr:1_{0A10D8D4-8450-4366-8075-B53B08E6B7EA}" xr6:coauthVersionLast="47" xr6:coauthVersionMax="47" xr10:uidLastSave="{276B7B1F-FE81-45E9-A386-6DB2BB31AFBC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71" i="6"/>
  <c r="J371" i="6" s="1"/>
  <c r="H372" i="6"/>
  <c r="J372" i="6" s="1"/>
  <c r="H373" i="6"/>
  <c r="J373" i="6" s="1"/>
  <c r="H374" i="6"/>
  <c r="J374" i="6" s="1"/>
  <c r="H375" i="6"/>
  <c r="J375" i="6" s="1"/>
  <c r="H376" i="6"/>
  <c r="J376" i="6" s="1"/>
  <c r="H377" i="6"/>
  <c r="J377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71" i="5"/>
  <c r="J371" i="5" s="1"/>
  <c r="H372" i="5"/>
  <c r="J372" i="5" s="1"/>
  <c r="H373" i="5"/>
  <c r="J373" i="5" s="1"/>
  <c r="H374" i="5"/>
  <c r="J374" i="5" s="1"/>
  <c r="H375" i="5"/>
  <c r="J375" i="5" s="1"/>
  <c r="H376" i="5"/>
  <c r="J376" i="5" s="1"/>
  <c r="H377" i="5"/>
  <c r="J377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71" i="4"/>
  <c r="J371" i="4" s="1"/>
  <c r="H372" i="4"/>
  <c r="J372" i="4" s="1"/>
  <c r="H373" i="4"/>
  <c r="J373" i="4" s="1"/>
  <c r="H374" i="4"/>
  <c r="J374" i="4" s="1"/>
  <c r="H375" i="4"/>
  <c r="J375" i="4" s="1"/>
  <c r="H376" i="4"/>
  <c r="J376" i="4" s="1"/>
  <c r="H377" i="4"/>
  <c r="J377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H370" i="6" s="1"/>
  <c r="J370" i="6" s="1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H370" i="5" s="1"/>
  <c r="J370" i="5" s="1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H370" i="4" s="1"/>
  <c r="J370" i="4" s="1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68" i="6" l="1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<sst xmlns="http://schemas.openxmlformats.org/spreadsheetml/2006/main" count="6543" uniqueCount="348">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</sst>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M25" sqref="M25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622270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1839520</v>
      </c>
      <c r="H17" s="96">
        <f>IFERROR('Linha 1'!T379+'Linha 2'!T379+'Linha 3'!T379,0)</f>
        <v>386.29919999999993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15846860</v>
      </c>
      <c r="E35" s="13">
        <f t="shared" si="2"/>
        <v>8105130</v>
      </c>
      <c r="F35" s="13">
        <f t="shared" si="2"/>
        <v>20706730</v>
      </c>
      <c r="G35" s="13">
        <f t="shared" si="2"/>
        <v>44658720</v>
      </c>
      <c r="H35" s="97">
        <f t="shared" si="2"/>
        <v>1373.4490685373516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F370" sqref="F370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160</v>
      </c>
      <c r="G378" s="36">
        <f>SUM(G366:G377)</f>
        <v>800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560</v>
      </c>
      <c r="G379" s="40">
        <f>G365+G378</f>
        <v>2766.4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M368" sqref="M36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0.90693148147693137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1.0458203703658202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1.1305425925880426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58.800000000000004</v>
      </c>
      <c r="L368" s="26" t="s">
        <v>26</v>
      </c>
      <c r="M368" s="26" t="s">
        <v>168</v>
      </c>
      <c r="N368" s="26"/>
      <c r="O368" s="29">
        <v>2.7777777777777776E-2</v>
      </c>
      <c r="P368" s="29"/>
      <c r="Q368" s="30">
        <f t="shared" ca="1" si="88"/>
        <v>6.8148147693136707E-4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88.2</v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71.400000000000006</v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68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285.60000000000002</v>
      </c>
      <c r="L378" s="37"/>
      <c r="M378" s="37"/>
      <c r="N378" s="37"/>
      <c r="O378" s="37"/>
      <c r="P378" s="37"/>
      <c r="Q378" s="38">
        <f ca="1">IFERROR(SUM(Q366:Q377),"")</f>
        <v>5.5542592588042616E-2</v>
      </c>
      <c r="R378" s="36" t="s">
        <v>245</v>
      </c>
      <c r="S378" s="45"/>
      <c r="T378" s="122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176</v>
      </c>
      <c r="H379" s="112">
        <f>IFERROR(H365+H378,"")</f>
        <v>622.2700000000001</v>
      </c>
      <c r="I379" s="116"/>
      <c r="J379" s="125">
        <f>IFERROR(J365+J378,"")</f>
        <v>130.67669999999998</v>
      </c>
      <c r="K379" s="40">
        <f>K365+K378</f>
        <v>739.2</v>
      </c>
      <c r="L379" s="41"/>
      <c r="M379" s="41"/>
      <c r="N379" s="41"/>
      <c r="O379" s="41"/>
      <c r="P379" s="41"/>
      <c r="Q379" s="42">
        <f ca="1">IFERROR(Q365+Q378,"")</f>
        <v>0.13887592592137588</v>
      </c>
      <c r="R379" s="40" t="s">
        <v>249</v>
      </c>
      <c r="S379" s="143">
        <f>IFERROR(S365+S378,"")</f>
        <v>622270</v>
      </c>
      <c r="T379" s="144">
        <f>IFERROR(J379,"")</f>
        <v>130.67669999999998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1" sqref="G37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16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67.2</v>
      </c>
      <c r="L378" s="37"/>
      <c r="M378" s="37"/>
      <c r="N378" s="37"/>
      <c r="O378" s="37"/>
      <c r="P378" s="37"/>
      <c r="Q378" s="38">
        <f ca="1">IFERROR(SUM(Q366:Q377),"")</f>
        <v>0.10069444444444453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106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445.2000000000001</v>
      </c>
      <c r="L379" s="41"/>
      <c r="M379" s="41"/>
      <c r="N379" s="41"/>
      <c r="O379" s="41"/>
      <c r="P379" s="41"/>
      <c r="Q379" s="42">
        <f ca="1">IFERROR(Q365+Q378,"")</f>
        <v>0.29583333333333334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P371" sqref="P371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/>
      <c r="H371" s="134" t="str">
        <f>IFERROR(IF($G371="","",$G371*$S$378/$G$378/Cadastro!$E$33),"")</f>
        <v/>
      </c>
      <c r="I371" s="135">
        <f>IFERROR(IF($D371="","",VLOOKUP($D371,Cadastro!$C$4:$G$7,5,FALSE)),"")</f>
        <v>0.6</v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/>
      <c r="H372" s="134" t="str">
        <f>IFERROR(IF($G372="","",$G372*$S$378/$G$378/Cadastro!$E$33),"")</f>
        <v/>
      </c>
      <c r="I372" s="135">
        <f>IFERROR(IF($D372="","",VLOOKUP($D372,Cadastro!$C$4:$G$7,5,FALSE)),"")</f>
        <v>0.6</v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/>
      <c r="H373" s="134" t="str">
        <f>IFERROR(IF($G373="","",$G373*$S$378/$G$378/Cadastro!$E$33),"")</f>
        <v/>
      </c>
      <c r="I373" s="135">
        <f>IFERROR(IF($D373="","",VLOOKUP($D373,Cadastro!$C$4:$G$7,5,FALSE)),"")</f>
        <v>0.6</v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/>
      <c r="H374" s="134" t="str">
        <f>IFERROR(IF($G374="","",$G374*$S$378/$G$378/Cadastro!$E$33),"")</f>
        <v/>
      </c>
      <c r="I374" s="135">
        <f>IFERROR(IF($D374="","",VLOOKUP($D374,Cadastro!$C$4:$G$7,5,FALSE)),"")</f>
        <v>0.6</v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/>
      <c r="H375" s="134" t="str">
        <f>IFERROR(IF($G375="","",$G375*$S$378/$G$378/Cadastro!$E$33),"")</f>
        <v/>
      </c>
      <c r="I375" s="135">
        <f>IFERROR(IF($D375="","",VLOOKUP($D375,Cadastro!$C$4:$G$7,5,FALSE)),"")</f>
        <v>0.6</v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/>
      <c r="H376" s="134" t="str">
        <f>IFERROR(IF($G376="","",$G376*$S$378/$G$378/Cadastro!$E$33),"")</f>
        <v/>
      </c>
      <c r="I376" s="135">
        <f>IFERROR(IF($D376="","",VLOOKUP($D376,Cadastro!$C$4:$G$7,5,FALSE)),"")</f>
        <v>0.6</v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/>
      <c r="H377" s="137" t="str">
        <f>IFERROR(IF($G377="","",$G377*$S$378/$G$378/Cadastro!$E$33),"")</f>
        <v/>
      </c>
      <c r="I377" s="138">
        <f>IFERROR(IF($D377="","",VLOOKUP($D377,Cadastro!$C$4:$G$7,5,FALSE)),"")</f>
        <v>0.6</v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100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419.99999999999994</v>
      </c>
      <c r="L378" s="37"/>
      <c r="M378" s="37"/>
      <c r="N378" s="37"/>
      <c r="O378" s="61"/>
      <c r="P378" s="61"/>
      <c r="Q378" s="38">
        <f ca="1">IFERROR(SUM(Q366:Q377),"")</f>
        <v>5.763888888888892E-2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296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1243.2</v>
      </c>
      <c r="L379" s="41"/>
      <c r="M379" s="41"/>
      <c r="N379" s="41"/>
      <c r="O379" s="63"/>
      <c r="P379" s="63"/>
      <c r="Q379" s="42">
        <f ca="1">IFERROR(Q365+Q378,"")</f>
        <v>0.1756944444444446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2026-08-15T04:41:19Z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