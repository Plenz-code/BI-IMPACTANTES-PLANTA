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99" documentId="8_{AF585B22-221D-4780-BB9C-493D365A6A02}" xr6:coauthVersionLast="47" xr6:coauthVersionMax="47" xr10:uidLastSave="{AE9D250D-4E0D-4875-A9A7-3D52E1C68BB2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<sst xmlns="http://schemas.openxmlformats.org/spreadsheetml/2006/main" count="3582" uniqueCount="262">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</sst>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70" activePane="bottomLeft" state="frozen"/>
      <selection pane="bottomLeft" activeCell="H191" sqref="H19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18</v>
      </c>
      <c r="I191" s="33" t="s">
        <v>23</v>
      </c>
      <c r="J191" s="33"/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124</v>
      </c>
      <c r="G203" s="36">
        <f>SUM(G191:G202)</f>
        <v>620</v>
      </c>
      <c r="H203" s="37"/>
      <c r="I203" s="37"/>
      <c r="J203" s="37"/>
      <c r="K203" s="37"/>
      <c r="L203" s="37"/>
      <c r="M203" s="38">
        <f ca="1">IFERROR(SUM(M191:M202),"")</f>
        <v>1.3194444444444509E-2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124</v>
      </c>
      <c r="G217" s="40">
        <f>G203+G216</f>
        <v>620</v>
      </c>
      <c r="H217" s="41"/>
      <c r="I217" s="41"/>
      <c r="J217" s="41"/>
      <c r="K217" s="41"/>
      <c r="L217" s="41"/>
      <c r="M217" s="42">
        <f ca="1">IFERROR(M203+M216,"")</f>
        <v>1.3194444444444509E-2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F196" sqref="F1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163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2</v>
      </c>
      <c r="G193" s="34">
        <f t="shared" si="42"/>
        <v>8.4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0</v>
      </c>
      <c r="G194" s="28">
        <f t="shared" si="42"/>
        <v>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16</v>
      </c>
      <c r="G203" s="36">
        <f>SUM(G191:G202)</f>
        <v>67.2</v>
      </c>
      <c r="H203" s="37"/>
      <c r="I203" s="37"/>
      <c r="J203" s="37"/>
      <c r="K203" s="37"/>
      <c r="L203" s="37"/>
      <c r="M203" s="38">
        <f ca="1">IFERROR(SUM(M191:M202),"")</f>
        <v>0.12152777777777785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16</v>
      </c>
      <c r="G217" s="40">
        <f>G203+G216</f>
        <v>67.2</v>
      </c>
      <c r="H217" s="41"/>
      <c r="I217" s="41"/>
      <c r="J217" s="41"/>
      <c r="K217" s="41"/>
      <c r="L217" s="41"/>
      <c r="M217" s="42">
        <f ca="1">IFERROR(M203+M216,"")</f>
        <v>0.12152777777777785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F196" sqref="F19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0.27314456018939381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0.47245011574494944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0.83981122685606047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 t="s">
        <v>19</v>
      </c>
      <c r="I192" s="26" t="s">
        <v>154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15</v>
      </c>
      <c r="G193" s="34">
        <f t="shared" si="42"/>
        <v>63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15</v>
      </c>
      <c r="G194" s="28">
        <f t="shared" si="42"/>
        <v>63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85</v>
      </c>
      <c r="G203" s="36">
        <f>SUM(G191:G202)</f>
        <v>357</v>
      </c>
      <c r="H203" s="37"/>
      <c r="I203" s="37"/>
      <c r="J203" s="37"/>
      <c r="K203" s="61"/>
      <c r="L203" s="61"/>
      <c r="M203" s="38">
        <f ca="1">IFERROR(SUM(M191:M202),"")</f>
        <v>2.5694444444444464E-2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85</v>
      </c>
      <c r="G217" s="40">
        <f>G203+G216</f>
        <v>357</v>
      </c>
      <c r="H217" s="41"/>
      <c r="I217" s="41"/>
      <c r="J217" s="41"/>
      <c r="K217" s="63"/>
      <c r="L217" s="63"/>
      <c r="M217" s="42">
        <f ca="1">IFERROR(M203+M216,"")</f>
        <v>2.5694444444444464E-2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2026-07-08T16:32:35Z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