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59" documentId="13_ncr:1_{9DFDFEE8-78F7-4C04-B87C-99924EE6CC37}" xr6:coauthVersionLast="47" xr6:coauthVersionMax="47" xr10:uidLastSave="{F6A4E6D8-9C5F-4868-818B-E45C8FC99418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<sst xmlns="http://schemas.openxmlformats.org/spreadsheetml/2006/main" count="8732" uniqueCount="2873">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</sst>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D1" zoomScaleNormal="100" workbookViewId="0">
      <pane ySplit="3" topLeftCell="A23" activePane="bottomLeft" state="frozen"/>
      <selection activeCell="B1" sqref="B1"/>
      <selection pane="bottomLeft" activeCell="N1" sqref="N1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customWidth="1"/>
    <col min="9" max="9" width="18.5546875" customWidth="1"/>
    <col min="10" max="10" width="13.109375" customWidth="1"/>
    <col min="11" max="11" width="22.109375" customWidth="1"/>
    <col min="12" max="12" width="8.5546875" customWidth="1"/>
  </cols>
  <sheetData>
    <row r="1" spans="1:12" ht="31.5" customHeight="1" x14ac:dyDescent="0.3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3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1656.9</v>
      </c>
      <c r="J35" s="33">
        <f>IFERROR(IF(OR(H35="",I35="",H35=0,I35=0),"",MIN(H35,I35)/MAX(H35,I35)),"")</f>
        <v>0.94363990586099522</v>
      </c>
      <c r="K35" s="160">
        <f>SUM(K4:K34)</f>
        <v>0</v>
      </c>
      <c r="L35" s="34">
        <f>IFERROR(SUM(L4:L34),"")</f>
        <v>0</v>
      </c>
    </row>
    <row r="36" spans="1:12" ht="15" customHeight="1" x14ac:dyDescent="0.3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3">
      <c r="M2" s="173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3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3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3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3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3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3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3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3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3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3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3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3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3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3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3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3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3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3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3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3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3">
      <c r="M61" s="173"/>
      <c r="N61" s="40"/>
      <c r="O61" s="40"/>
      <c r="P61" s="40" t="s">
        <v>230</v>
      </c>
      <c r="Q61" s="40"/>
      <c r="R61" s="40"/>
    </row>
    <row r="62" spans="1:18" ht="15" customHeight="1" x14ac:dyDescent="0.3">
      <c r="M62" s="173"/>
      <c r="N62" s="37"/>
      <c r="O62" s="37"/>
      <c r="P62" s="37" t="s">
        <v>231</v>
      </c>
      <c r="Q62" s="37"/>
      <c r="R62" s="37"/>
    </row>
    <row r="63" spans="1:18" ht="15" customHeight="1" x14ac:dyDescent="0.3">
      <c r="M63" s="173"/>
      <c r="N63" s="40"/>
      <c r="O63" s="40"/>
      <c r="P63" s="40" t="s">
        <v>232</v>
      </c>
      <c r="Q63" s="40"/>
      <c r="R63" s="40"/>
    </row>
    <row r="64" spans="1:18" ht="15" customHeight="1" x14ac:dyDescent="0.3">
      <c r="M64" s="173"/>
      <c r="N64" s="37"/>
      <c r="O64" s="37"/>
      <c r="P64" s="37" t="s">
        <v>233</v>
      </c>
      <c r="Q64" s="37"/>
      <c r="R64" s="37"/>
    </row>
    <row r="65" spans="13:18" ht="15" customHeight="1" x14ac:dyDescent="0.3">
      <c r="M65" s="173"/>
      <c r="N65" s="40"/>
      <c r="O65" s="40"/>
      <c r="P65" s="40" t="s">
        <v>234</v>
      </c>
      <c r="Q65" s="40"/>
      <c r="R65" s="40"/>
    </row>
    <row r="66" spans="13:18" ht="15" customHeight="1" x14ac:dyDescent="0.3">
      <c r="M66" s="173"/>
      <c r="N66" s="37"/>
      <c r="O66" s="37"/>
      <c r="P66" s="37" t="s">
        <v>235</v>
      </c>
      <c r="Q66" s="37"/>
      <c r="R66" s="37"/>
    </row>
    <row r="67" spans="13:18" ht="15" customHeight="1" x14ac:dyDescent="0.3">
      <c r="M67" s="173"/>
      <c r="N67" s="40"/>
      <c r="O67" s="40"/>
      <c r="P67" s="40" t="s">
        <v>236</v>
      </c>
      <c r="Q67" s="40"/>
      <c r="R67" s="40"/>
    </row>
    <row r="68" spans="13:18" ht="15" customHeight="1" x14ac:dyDescent="0.3">
      <c r="M68" s="173"/>
      <c r="N68" s="37"/>
      <c r="O68" s="37"/>
      <c r="P68" s="37" t="s">
        <v>237</v>
      </c>
      <c r="Q68" s="37"/>
      <c r="R68" s="37"/>
    </row>
    <row r="69" spans="13:18" ht="15" customHeight="1" x14ac:dyDescent="0.3">
      <c r="M69" s="173"/>
      <c r="N69" s="40"/>
      <c r="O69" s="40"/>
      <c r="P69" s="40" t="s">
        <v>238</v>
      </c>
      <c r="Q69" s="40"/>
      <c r="R69" s="40"/>
    </row>
    <row r="70" spans="13:18" ht="15" customHeight="1" x14ac:dyDescent="0.3">
      <c r="M70" s="173"/>
      <c r="N70" s="37"/>
      <c r="O70" s="37"/>
      <c r="P70" s="37" t="s">
        <v>239</v>
      </c>
      <c r="Q70" s="37"/>
      <c r="R70" s="37"/>
    </row>
    <row r="71" spans="13:18" ht="15" customHeight="1" x14ac:dyDescent="0.3">
      <c r="M71" s="173"/>
      <c r="N71" s="40"/>
      <c r="O71" s="40"/>
      <c r="P71" s="40" t="s">
        <v>240</v>
      </c>
      <c r="Q71" s="40"/>
      <c r="R71" s="40"/>
    </row>
    <row r="72" spans="13:18" ht="15" customHeight="1" x14ac:dyDescent="0.3">
      <c r="M72" s="173"/>
      <c r="N72" s="37"/>
      <c r="O72" s="37"/>
      <c r="P72" s="37" t="s">
        <v>241</v>
      </c>
      <c r="Q72" s="37"/>
      <c r="R72" s="37"/>
    </row>
    <row r="73" spans="13:18" ht="15" customHeight="1" x14ac:dyDescent="0.3">
      <c r="M73" s="173"/>
      <c r="N73" s="40"/>
      <c r="O73" s="40"/>
      <c r="P73" s="40" t="s">
        <v>242</v>
      </c>
      <c r="Q73" s="40"/>
      <c r="R73" s="40"/>
    </row>
    <row r="74" spans="13:18" ht="15" customHeight="1" x14ac:dyDescent="0.3">
      <c r="M74" s="173"/>
      <c r="N74" s="37"/>
      <c r="O74" s="37"/>
      <c r="P74" s="37" t="s">
        <v>243</v>
      </c>
      <c r="Q74" s="37"/>
      <c r="R74" s="37"/>
    </row>
    <row r="75" spans="13:18" ht="15" customHeight="1" x14ac:dyDescent="0.3">
      <c r="M75" s="173"/>
      <c r="N75" s="40"/>
      <c r="O75" s="40"/>
      <c r="P75" s="40" t="s">
        <v>244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3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5" sqref="F65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37.3320312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3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3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67" t="s">
        <v>269</v>
      </c>
      <c r="B68" s="167"/>
      <c r="C68" s="167"/>
      <c r="D68" s="167"/>
      <c r="E68" s="167"/>
      <c r="F68" s="2">
        <f>SUM(F56:F67)</f>
        <v>295</v>
      </c>
      <c r="G68" s="2">
        <f>SUM(G56:G67)</f>
        <v>1451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 x14ac:dyDescent="0.3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 x14ac:dyDescent="0.3">
      <c r="A82" s="168" t="s">
        <v>256</v>
      </c>
      <c r="B82" s="168"/>
      <c r="C82" s="168"/>
      <c r="D82" s="168"/>
      <c r="E82" s="168"/>
      <c r="F82" s="1">
        <f>F68+F81</f>
        <v>295</v>
      </c>
      <c r="G82" s="1">
        <f>G68+G81</f>
        <v>1451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 x14ac:dyDescent="0.3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 x14ac:dyDescent="0.3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 x14ac:dyDescent="0.3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 x14ac:dyDescent="0.3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 x14ac:dyDescent="0.3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 x14ac:dyDescent="0.3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 x14ac:dyDescent="0.3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5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3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3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3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3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3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3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3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5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3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3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3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3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3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3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3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3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3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3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3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3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3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3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3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3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3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3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3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3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3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3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3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3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3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3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3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3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3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3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3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3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3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3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3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3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3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3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3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3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3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3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3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3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3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3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3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3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3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3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3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3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3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3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3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3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3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3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3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3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3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3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3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3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3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3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3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3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3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3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3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3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3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3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3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3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3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3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3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3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3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3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3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3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3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3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3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3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3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3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3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3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3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3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3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3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3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8" activePane="bottomLeft" state="frozen"/>
      <selection pane="bottomLeft" activeCell="P58" sqref="P58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3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77" t="s">
        <v>269</v>
      </c>
      <c r="B68" s="177"/>
      <c r="C68" s="177"/>
      <c r="D68" s="177"/>
      <c r="E68" s="177"/>
      <c r="F68" s="114"/>
      <c r="G68" s="115">
        <f>SUM(G56:G67)</f>
        <v>136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571.19999999999993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/>
      <c r="T68" s="134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 x14ac:dyDescent="0.3">
      <c r="A82" s="176" t="s">
        <v>256</v>
      </c>
      <c r="B82" s="176"/>
      <c r="C82" s="176"/>
      <c r="D82" s="176"/>
      <c r="E82" s="176"/>
      <c r="F82" s="127"/>
      <c r="G82" s="128">
        <f>G68+G81</f>
        <v>136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571.19999999999993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 x14ac:dyDescent="0.3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 x14ac:dyDescent="0.3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3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3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7" activePane="bottomLeft" state="frozen"/>
      <selection activeCell="B1" sqref="B1"/>
      <selection pane="bottomLeft" activeCell="G64" sqref="G64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3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77" t="s">
        <v>269</v>
      </c>
      <c r="B68" s="177"/>
      <c r="C68" s="177"/>
      <c r="D68" s="177"/>
      <c r="E68" s="177"/>
      <c r="F68" s="114"/>
      <c r="G68" s="115">
        <f>SUM(G56:G67)</f>
        <v>101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424.2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 x14ac:dyDescent="0.3">
      <c r="A82" s="176" t="s">
        <v>256</v>
      </c>
      <c r="B82" s="176"/>
      <c r="C82" s="176"/>
      <c r="D82" s="176"/>
      <c r="E82" s="176"/>
      <c r="F82" s="127"/>
      <c r="G82" s="128">
        <f>G68+G81</f>
        <v>101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424.2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3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 x14ac:dyDescent="0.3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M62" sqref="M62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3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77" t="s">
        <v>269</v>
      </c>
      <c r="B68" s="177"/>
      <c r="C68" s="177"/>
      <c r="D68" s="177"/>
      <c r="E68" s="177"/>
      <c r="F68" s="114"/>
      <c r="G68" s="115">
        <f>SUM(G56:G67)</f>
        <v>140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588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 x14ac:dyDescent="0.3">
      <c r="A82" s="176" t="s">
        <v>256</v>
      </c>
      <c r="B82" s="176"/>
      <c r="C82" s="176"/>
      <c r="D82" s="176"/>
      <c r="E82" s="176"/>
      <c r="F82" s="127"/>
      <c r="G82" s="128">
        <f>G68+G81</f>
        <v>140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588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3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3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 x14ac:dyDescent="0.3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3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 x14ac:dyDescent="0.3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E640" s="163"/>
      <c r="K640" s="163"/>
      <c r="Q640" s="163"/>
      <c r="R640" s="163"/>
      <c r="S640" s="163"/>
    </row>
    <row r="641" spans="5:19" x14ac:dyDescent="0.3">
      <c r="E641" s="163"/>
      <c r="K641" s="163"/>
      <c r="Q641" s="163"/>
      <c r="R641" s="163"/>
      <c r="S641" s="163"/>
    </row>
    <row r="642" spans="5:19" x14ac:dyDescent="0.3">
      <c r="E642" s="163"/>
      <c r="K642" s="163"/>
      <c r="Q642" s="163"/>
      <c r="R642" s="163"/>
      <c r="S642" s="163"/>
    </row>
    <row r="643" spans="5:19" x14ac:dyDescent="0.3">
      <c r="E643" s="163"/>
      <c r="K643" s="163"/>
      <c r="Q643" s="163"/>
      <c r="R643" s="163"/>
      <c r="S643" s="163"/>
    </row>
    <row r="644" spans="5:19" x14ac:dyDescent="0.3">
      <c r="E644" s="163"/>
      <c r="K644" s="163"/>
      <c r="Q644" s="163"/>
      <c r="R644" s="163"/>
      <c r="S644" s="163"/>
    </row>
    <row r="645" spans="5:19" x14ac:dyDescent="0.3">
      <c r="E645" s="163"/>
      <c r="K645" s="163"/>
      <c r="Q645" s="163"/>
      <c r="R645" s="163"/>
      <c r="S645" s="163"/>
    </row>
    <row r="646" spans="5:19" x14ac:dyDescent="0.3">
      <c r="E646" s="163"/>
      <c r="K646" s="163"/>
      <c r="Q646" s="163"/>
      <c r="R646" s="163"/>
      <c r="S646" s="163"/>
    </row>
    <row r="647" spans="5:19" x14ac:dyDescent="0.3">
      <c r="E647" s="163"/>
      <c r="K647" s="163"/>
      <c r="Q647" s="163"/>
      <c r="R647" s="163"/>
      <c r="S647" s="163"/>
    </row>
    <row r="648" spans="5:19" x14ac:dyDescent="0.3">
      <c r="E648" s="163"/>
      <c r="K648" s="163"/>
      <c r="Q648" s="163"/>
      <c r="R648" s="163"/>
      <c r="S648" s="163"/>
    </row>
    <row r="649" spans="5:19" x14ac:dyDescent="0.3">
      <c r="E649" s="163"/>
      <c r="K649" s="163"/>
      <c r="Q649" s="163"/>
      <c r="R649" s="163"/>
      <c r="S649" s="163"/>
    </row>
    <row r="650" spans="5:19" x14ac:dyDescent="0.3">
      <c r="E650" s="163"/>
      <c r="K650" s="163"/>
      <c r="Q650" s="163"/>
      <c r="R650" s="163"/>
      <c r="S650" s="163"/>
    </row>
    <row r="651" spans="5:19" x14ac:dyDescent="0.3">
      <c r="E651" s="163"/>
      <c r="K651" s="163"/>
      <c r="Q651" s="163"/>
      <c r="R651" s="163"/>
      <c r="S651" s="163"/>
    </row>
    <row r="652" spans="5:19" x14ac:dyDescent="0.3">
      <c r="E652" s="163"/>
      <c r="K652" s="163"/>
      <c r="Q652" s="163"/>
      <c r="R652" s="163"/>
      <c r="S652" s="163"/>
    </row>
    <row r="653" spans="5:19" x14ac:dyDescent="0.3">
      <c r="E653" s="163"/>
      <c r="K653" s="163"/>
      <c r="Q653" s="163"/>
      <c r="R653" s="163"/>
      <c r="S653" s="163"/>
    </row>
    <row r="654" spans="5:19" x14ac:dyDescent="0.3">
      <c r="E654" s="163"/>
      <c r="K654" s="163"/>
      <c r="Q654" s="163"/>
      <c r="R654" s="163"/>
      <c r="S654" s="163"/>
    </row>
    <row r="655" spans="5:19" x14ac:dyDescent="0.3">
      <c r="E655" s="163"/>
      <c r="K655" s="163"/>
      <c r="Q655" s="163"/>
      <c r="R655" s="163"/>
      <c r="S655" s="163"/>
    </row>
    <row r="656" spans="5:19" x14ac:dyDescent="0.3">
      <c r="E656" s="163"/>
      <c r="K656" s="163"/>
      <c r="Q656" s="163"/>
      <c r="R656" s="163"/>
      <c r="S656" s="163"/>
    </row>
    <row r="657" spans="5:19" x14ac:dyDescent="0.3">
      <c r="E657" s="163"/>
      <c r="K657" s="163"/>
      <c r="Q657" s="163"/>
      <c r="R657" s="163"/>
      <c r="S657" s="163"/>
    </row>
    <row r="658" spans="5:19" x14ac:dyDescent="0.3">
      <c r="E658" s="163"/>
      <c r="K658" s="163"/>
      <c r="Q658" s="163"/>
      <c r="R658" s="163"/>
      <c r="S658" s="163"/>
    </row>
    <row r="659" spans="5:19" x14ac:dyDescent="0.3">
      <c r="E659" s="163"/>
      <c r="K659" s="163"/>
      <c r="Q659" s="163"/>
      <c r="R659" s="163"/>
      <c r="S659" s="163"/>
    </row>
    <row r="660" spans="5:19" x14ac:dyDescent="0.3">
      <c r="E660" s="163"/>
      <c r="K660" s="163"/>
      <c r="Q660" s="163"/>
      <c r="R660" s="163"/>
      <c r="S660" s="163"/>
    </row>
    <row r="661" spans="5:19" x14ac:dyDescent="0.3">
      <c r="E661" s="163"/>
      <c r="K661" s="163"/>
      <c r="Q661" s="163"/>
      <c r="R661" s="163"/>
      <c r="S661" s="163"/>
    </row>
    <row r="662" spans="5:19" x14ac:dyDescent="0.3">
      <c r="E662" s="163"/>
      <c r="K662" s="163"/>
      <c r="Q662" s="163"/>
      <c r="R662" s="163"/>
      <c r="S662" s="163"/>
    </row>
    <row r="663" spans="5:19" x14ac:dyDescent="0.3">
      <c r="E663" s="163"/>
      <c r="K663" s="163"/>
      <c r="Q663" s="163"/>
      <c r="R663" s="163"/>
      <c r="S663" s="163"/>
    </row>
    <row r="664" spans="5:19" x14ac:dyDescent="0.3">
      <c r="E664" s="163"/>
      <c r="K664" s="163"/>
      <c r="Q664" s="163"/>
      <c r="R664" s="163"/>
      <c r="S664" s="163"/>
    </row>
    <row r="665" spans="5:19" x14ac:dyDescent="0.3">
      <c r="E665" s="163"/>
      <c r="K665" s="163"/>
      <c r="Q665" s="163"/>
      <c r="R665" s="163"/>
      <c r="S665" s="163"/>
    </row>
    <row r="666" spans="5:19" x14ac:dyDescent="0.3">
      <c r="E666" s="163"/>
      <c r="K666" s="163"/>
      <c r="Q666" s="163"/>
      <c r="R666" s="163"/>
      <c r="S666" s="163"/>
    </row>
    <row r="667" spans="5:19" x14ac:dyDescent="0.3">
      <c r="E667" s="163"/>
      <c r="K667" s="163"/>
      <c r="Q667" s="163"/>
      <c r="R667" s="163"/>
      <c r="S667" s="163"/>
    </row>
    <row r="668" spans="5:19" x14ac:dyDescent="0.3">
      <c r="E668" s="163"/>
      <c r="K668" s="163"/>
      <c r="Q668" s="163"/>
      <c r="R668" s="163"/>
      <c r="S668" s="163"/>
    </row>
    <row r="669" spans="5:19" x14ac:dyDescent="0.3">
      <c r="E669" s="163"/>
      <c r="K669" s="163"/>
      <c r="Q669" s="163"/>
      <c r="R669" s="163"/>
      <c r="S669" s="163"/>
    </row>
    <row r="670" spans="5:19" x14ac:dyDescent="0.3">
      <c r="E670" s="163"/>
      <c r="K670" s="163"/>
      <c r="Q670" s="163"/>
      <c r="R670" s="163"/>
      <c r="S670" s="163"/>
    </row>
    <row r="671" spans="5:19" x14ac:dyDescent="0.3">
      <c r="E671" s="163"/>
      <c r="K671" s="163"/>
      <c r="Q671" s="163"/>
      <c r="R671" s="163"/>
      <c r="S671" s="163"/>
    </row>
    <row r="672" spans="5:19" x14ac:dyDescent="0.3">
      <c r="E672" s="163"/>
      <c r="K672" s="163"/>
      <c r="Q672" s="163"/>
      <c r="R672" s="163"/>
      <c r="S672" s="163"/>
    </row>
    <row r="673" spans="5:19" x14ac:dyDescent="0.3">
      <c r="E673" s="163"/>
      <c r="K673" s="163"/>
      <c r="Q673" s="163"/>
      <c r="R673" s="163"/>
      <c r="S673" s="163"/>
    </row>
    <row r="674" spans="5:19" x14ac:dyDescent="0.3">
      <c r="E674" s="163"/>
      <c r="K674" s="163"/>
      <c r="Q674" s="163"/>
      <c r="R674" s="163"/>
      <c r="S674" s="163"/>
    </row>
    <row r="675" spans="5:19" x14ac:dyDescent="0.3">
      <c r="E675" s="163"/>
      <c r="K675" s="163"/>
      <c r="Q675" s="163"/>
      <c r="R675" s="163"/>
      <c r="S675" s="163"/>
    </row>
    <row r="676" spans="5:19" x14ac:dyDescent="0.3">
      <c r="E676" s="163"/>
      <c r="K676" s="163"/>
      <c r="Q676" s="163"/>
      <c r="R676" s="163"/>
      <c r="S676" s="163"/>
    </row>
    <row r="677" spans="5:19" x14ac:dyDescent="0.3">
      <c r="E677" s="163"/>
      <c r="K677" s="163"/>
      <c r="Q677" s="163"/>
      <c r="R677" s="163"/>
      <c r="S677" s="163"/>
    </row>
    <row r="678" spans="5:19" x14ac:dyDescent="0.3">
      <c r="E678" s="163"/>
      <c r="K678" s="163"/>
      <c r="Q678" s="163"/>
      <c r="R678" s="163"/>
      <c r="S678" s="163"/>
    </row>
    <row r="679" spans="5:19" x14ac:dyDescent="0.3">
      <c r="E679" s="163"/>
      <c r="K679" s="163"/>
      <c r="Q679" s="163"/>
      <c r="R679" s="163"/>
      <c r="S679" s="163"/>
    </row>
    <row r="680" spans="5:19" x14ac:dyDescent="0.3">
      <c r="E680" s="163"/>
      <c r="K680" s="163"/>
      <c r="Q680" s="163"/>
      <c r="R680" s="163"/>
      <c r="S680" s="163"/>
    </row>
    <row r="681" spans="5:19" x14ac:dyDescent="0.3">
      <c r="E681" s="163"/>
      <c r="K681" s="163"/>
      <c r="Q681" s="163"/>
      <c r="R681" s="163"/>
      <c r="S681" s="163"/>
    </row>
    <row r="682" spans="5:19" x14ac:dyDescent="0.3">
      <c r="E682" s="163"/>
      <c r="K682" s="163"/>
      <c r="Q682" s="163"/>
      <c r="R682" s="163"/>
      <c r="S682" s="163"/>
    </row>
    <row r="683" spans="5:19" x14ac:dyDescent="0.3">
      <c r="E683" s="163"/>
      <c r="K683" s="163"/>
      <c r="Q683" s="163"/>
      <c r="R683" s="163"/>
      <c r="S683" s="163"/>
    </row>
    <row r="684" spans="5:19" x14ac:dyDescent="0.3">
      <c r="E684" s="163"/>
      <c r="K684" s="163"/>
      <c r="Q684" s="163"/>
      <c r="R684" s="163"/>
      <c r="S684" s="163"/>
    </row>
    <row r="685" spans="5:19" x14ac:dyDescent="0.3">
      <c r="E685" s="163"/>
      <c r="K685" s="163"/>
      <c r="Q685" s="163"/>
      <c r="R685" s="163"/>
      <c r="S685" s="163"/>
    </row>
    <row r="686" spans="5:19" x14ac:dyDescent="0.3">
      <c r="E686" s="163"/>
      <c r="K686" s="163"/>
      <c r="Q686" s="163"/>
      <c r="R686" s="163"/>
      <c r="S686" s="163"/>
    </row>
    <row r="687" spans="5:19" x14ac:dyDescent="0.3">
      <c r="E687" s="163"/>
      <c r="K687" s="163"/>
      <c r="Q687" s="163"/>
      <c r="R687" s="163"/>
      <c r="S687" s="163"/>
    </row>
    <row r="688" spans="5:19" x14ac:dyDescent="0.3">
      <c r="E688" s="163"/>
      <c r="K688" s="163"/>
      <c r="Q688" s="163"/>
      <c r="R688" s="163"/>
      <c r="S688" s="163"/>
    </row>
    <row r="689" spans="5:19" x14ac:dyDescent="0.3">
      <c r="E689" s="163"/>
      <c r="K689" s="163"/>
      <c r="Q689" s="163"/>
      <c r="R689" s="163"/>
      <c r="S689" s="163"/>
    </row>
    <row r="690" spans="5:19" x14ac:dyDescent="0.3">
      <c r="E690" s="163"/>
      <c r="K690" s="163"/>
      <c r="Q690" s="163"/>
      <c r="R690" s="163"/>
      <c r="S690" s="163"/>
    </row>
    <row r="691" spans="5:19" x14ac:dyDescent="0.3">
      <c r="E691" s="163"/>
      <c r="K691" s="163"/>
      <c r="Q691" s="163"/>
      <c r="R691" s="163"/>
      <c r="S691" s="163"/>
    </row>
    <row r="692" spans="5:19" x14ac:dyDescent="0.3">
      <c r="E692" s="163"/>
      <c r="K692" s="163"/>
      <c r="Q692" s="163"/>
      <c r="R692" s="163"/>
      <c r="S692" s="163"/>
    </row>
    <row r="693" spans="5:19" x14ac:dyDescent="0.3">
      <c r="E693" s="163"/>
      <c r="K693" s="163"/>
      <c r="Q693" s="163"/>
      <c r="R693" s="163"/>
      <c r="S693" s="163"/>
    </row>
    <row r="694" spans="5:19" x14ac:dyDescent="0.3">
      <c r="E694" s="163"/>
      <c r="K694" s="163"/>
      <c r="Q694" s="163"/>
      <c r="R694" s="163"/>
      <c r="S694" s="163"/>
    </row>
    <row r="695" spans="5:19" x14ac:dyDescent="0.3">
      <c r="E695" s="163"/>
      <c r="K695" s="163"/>
      <c r="Q695" s="163"/>
      <c r="R695" s="163"/>
      <c r="S695" s="163"/>
    </row>
    <row r="696" spans="5:19" x14ac:dyDescent="0.3">
      <c r="E696" s="163"/>
      <c r="K696" s="163"/>
      <c r="Q696" s="163"/>
      <c r="R696" s="163"/>
      <c r="S696" s="163"/>
    </row>
    <row r="697" spans="5:19" x14ac:dyDescent="0.3">
      <c r="E697" s="163"/>
      <c r="K697" s="163"/>
      <c r="Q697" s="163"/>
      <c r="R697" s="163"/>
      <c r="S697" s="163"/>
    </row>
    <row r="698" spans="5:19" x14ac:dyDescent="0.3">
      <c r="E698" s="163"/>
      <c r="K698" s="163"/>
      <c r="Q698" s="163"/>
      <c r="R698" s="163"/>
      <c r="S698" s="163"/>
    </row>
    <row r="699" spans="5:19" x14ac:dyDescent="0.3">
      <c r="E699" s="163"/>
      <c r="K699" s="163"/>
      <c r="Q699" s="163"/>
      <c r="R699" s="163"/>
      <c r="S699" s="163"/>
    </row>
    <row r="700" spans="5:19" x14ac:dyDescent="0.3">
      <c r="E700" s="163"/>
      <c r="K700" s="163"/>
      <c r="Q700" s="163"/>
      <c r="R700" s="163"/>
      <c r="S700" s="163"/>
    </row>
    <row r="701" spans="5:19" x14ac:dyDescent="0.3">
      <c r="E701" s="163"/>
      <c r="K701" s="163"/>
      <c r="Q701" s="163"/>
      <c r="R701" s="163"/>
      <c r="S701" s="163"/>
    </row>
    <row r="702" spans="5:19" x14ac:dyDescent="0.3">
      <c r="E702" s="163"/>
      <c r="K702" s="163"/>
      <c r="Q702" s="163"/>
      <c r="R702" s="163"/>
      <c r="S702" s="163"/>
    </row>
    <row r="703" spans="5:19" x14ac:dyDescent="0.3">
      <c r="E703" s="163"/>
      <c r="K703" s="163"/>
      <c r="Q703" s="163"/>
      <c r="R703" s="163"/>
      <c r="S703" s="163"/>
    </row>
    <row r="704" spans="5:19" x14ac:dyDescent="0.3">
      <c r="E704" s="163"/>
      <c r="K704" s="163"/>
      <c r="Q704" s="163"/>
      <c r="R704" s="163"/>
      <c r="S704" s="163"/>
    </row>
    <row r="705" spans="5:19" x14ac:dyDescent="0.3">
      <c r="E705" s="163"/>
      <c r="K705" s="163"/>
      <c r="Q705" s="163"/>
      <c r="R705" s="163"/>
      <c r="S705" s="163"/>
    </row>
    <row r="706" spans="5:19" x14ac:dyDescent="0.3">
      <c r="E706" s="163"/>
      <c r="K706" s="163"/>
      <c r="Q706" s="163"/>
      <c r="R706" s="163"/>
      <c r="S706" s="163"/>
    </row>
    <row r="707" spans="5:19" x14ac:dyDescent="0.3">
      <c r="E707" s="163"/>
      <c r="K707" s="163"/>
      <c r="Q707" s="163"/>
      <c r="R707" s="163"/>
      <c r="S707" s="163"/>
    </row>
    <row r="708" spans="5:19" x14ac:dyDescent="0.3">
      <c r="E708" s="163"/>
      <c r="K708" s="163"/>
      <c r="Q708" s="163"/>
      <c r="R708" s="163"/>
      <c r="S708" s="163"/>
    </row>
    <row r="709" spans="5:19" x14ac:dyDescent="0.3">
      <c r="E709" s="163"/>
      <c r="K709" s="163"/>
      <c r="Q709" s="163"/>
      <c r="R709" s="163"/>
      <c r="S709" s="163"/>
    </row>
    <row r="710" spans="5:19" x14ac:dyDescent="0.3">
      <c r="E710" s="163"/>
      <c r="K710" s="163"/>
      <c r="Q710" s="163"/>
      <c r="R710" s="163"/>
      <c r="S710" s="163"/>
    </row>
    <row r="711" spans="5:19" x14ac:dyDescent="0.3">
      <c r="E711" s="163"/>
      <c r="K711" s="163"/>
      <c r="Q711" s="163"/>
      <c r="R711" s="163"/>
      <c r="S711" s="163"/>
    </row>
    <row r="712" spans="5:19" x14ac:dyDescent="0.3">
      <c r="E712" s="163"/>
      <c r="K712" s="163"/>
      <c r="Q712" s="163"/>
      <c r="R712" s="163"/>
      <c r="S712" s="163"/>
    </row>
    <row r="713" spans="5:19" x14ac:dyDescent="0.3">
      <c r="E713" s="163"/>
      <c r="K713" s="163"/>
      <c r="Q713" s="163"/>
      <c r="R713" s="163"/>
      <c r="S713" s="163"/>
    </row>
    <row r="714" spans="5:19" x14ac:dyDescent="0.3">
      <c r="E714" s="163"/>
      <c r="K714" s="163"/>
      <c r="Q714" s="163"/>
      <c r="R714" s="163"/>
      <c r="S714" s="163"/>
    </row>
    <row r="715" spans="5:19" x14ac:dyDescent="0.3">
      <c r="E715" s="163"/>
      <c r="K715" s="163"/>
      <c r="Q715" s="163"/>
      <c r="R715" s="163"/>
      <c r="S715" s="163"/>
    </row>
    <row r="716" spans="5:19" x14ac:dyDescent="0.3">
      <c r="E716" s="163"/>
      <c r="K716" s="163"/>
      <c r="Q716" s="163"/>
      <c r="R716" s="163"/>
      <c r="S716" s="163"/>
    </row>
    <row r="717" spans="5:19" x14ac:dyDescent="0.3">
      <c r="E717" s="163"/>
      <c r="K717" s="163"/>
      <c r="Q717" s="163"/>
      <c r="R717" s="163"/>
      <c r="S717" s="163"/>
    </row>
    <row r="718" spans="5:19" x14ac:dyDescent="0.3">
      <c r="E718" s="163"/>
      <c r="K718" s="163"/>
      <c r="Q718" s="163"/>
      <c r="R718" s="163"/>
      <c r="S718" s="163"/>
    </row>
    <row r="719" spans="5:19" x14ac:dyDescent="0.3">
      <c r="E719" s="163"/>
      <c r="K719" s="163"/>
      <c r="Q719" s="163"/>
      <c r="R719" s="163"/>
      <c r="S719" s="163"/>
    </row>
    <row r="720" spans="5:19" x14ac:dyDescent="0.3">
      <c r="E720" s="163"/>
      <c r="K720" s="163"/>
      <c r="Q720" s="163"/>
      <c r="R720" s="163"/>
      <c r="S720" s="163"/>
    </row>
    <row r="721" spans="5:19" x14ac:dyDescent="0.3">
      <c r="E721" s="163"/>
      <c r="K721" s="163"/>
      <c r="Q721" s="163"/>
      <c r="R721" s="163"/>
      <c r="S721" s="163"/>
    </row>
    <row r="722" spans="5:19" x14ac:dyDescent="0.3">
      <c r="E722" s="163"/>
      <c r="K722" s="163"/>
      <c r="Q722" s="163"/>
      <c r="R722" s="163"/>
      <c r="S722" s="163"/>
    </row>
    <row r="723" spans="5:19" x14ac:dyDescent="0.3">
      <c r="E723" s="163"/>
      <c r="K723" s="163"/>
      <c r="Q723" s="163"/>
      <c r="R723" s="163"/>
      <c r="S723" s="163"/>
    </row>
    <row r="724" spans="5:19" x14ac:dyDescent="0.3">
      <c r="E724" s="163"/>
      <c r="K724" s="163"/>
      <c r="Q724" s="163"/>
      <c r="R724" s="163"/>
      <c r="S724" s="163"/>
    </row>
    <row r="725" spans="5:19" x14ac:dyDescent="0.3">
      <c r="E725" s="163"/>
      <c r="K725" s="163"/>
      <c r="Q725" s="163"/>
      <c r="R725" s="163"/>
      <c r="S725" s="163"/>
    </row>
    <row r="726" spans="5:19" x14ac:dyDescent="0.3">
      <c r="E726" s="163"/>
      <c r="K726" s="163"/>
      <c r="Q726" s="163"/>
      <c r="R726" s="163"/>
      <c r="S726" s="163"/>
    </row>
    <row r="727" spans="5:19" x14ac:dyDescent="0.3">
      <c r="E727" s="163"/>
      <c r="K727" s="163"/>
      <c r="Q727" s="163"/>
      <c r="R727" s="163"/>
      <c r="S727" s="163"/>
    </row>
    <row r="728" spans="5:19" x14ac:dyDescent="0.3">
      <c r="E728" s="163"/>
      <c r="K728" s="163"/>
      <c r="Q728" s="163"/>
      <c r="R728" s="163"/>
      <c r="S728" s="163"/>
    </row>
    <row r="729" spans="5:19" x14ac:dyDescent="0.3">
      <c r="E729" s="163"/>
      <c r="K729" s="163"/>
      <c r="Q729" s="163"/>
      <c r="R729" s="163"/>
      <c r="S729" s="163"/>
    </row>
    <row r="730" spans="5:19" x14ac:dyDescent="0.3">
      <c r="E730" s="163"/>
      <c r="K730" s="163"/>
      <c r="Q730" s="163"/>
      <c r="R730" s="163"/>
      <c r="S730" s="163"/>
    </row>
    <row r="731" spans="5:19" x14ac:dyDescent="0.3">
      <c r="E731" s="163"/>
      <c r="K731" s="163"/>
      <c r="Q731" s="163"/>
      <c r="R731" s="163"/>
      <c r="S731" s="163"/>
    </row>
    <row r="732" spans="5:19" x14ac:dyDescent="0.3">
      <c r="E732" s="163"/>
      <c r="K732" s="163"/>
      <c r="Q732" s="163"/>
      <c r="R732" s="163"/>
      <c r="S732" s="163"/>
    </row>
    <row r="733" spans="5:19" x14ac:dyDescent="0.3">
      <c r="E733" s="163"/>
      <c r="K733" s="163"/>
      <c r="Q733" s="163"/>
      <c r="R733" s="163"/>
      <c r="S733" s="163"/>
    </row>
    <row r="734" spans="5:19" x14ac:dyDescent="0.3">
      <c r="E734" s="163"/>
      <c r="K734" s="163"/>
      <c r="Q734" s="163"/>
      <c r="R734" s="163"/>
      <c r="S734" s="163"/>
    </row>
    <row r="735" spans="5:19" x14ac:dyDescent="0.3">
      <c r="E735" s="163"/>
      <c r="K735" s="163"/>
      <c r="Q735" s="163"/>
      <c r="R735" s="163"/>
      <c r="S735" s="163"/>
    </row>
    <row r="736" spans="5:19" x14ac:dyDescent="0.3">
      <c r="E736" s="163"/>
      <c r="K736" s="163"/>
      <c r="Q736" s="163"/>
      <c r="R736" s="163"/>
      <c r="S736" s="163"/>
    </row>
    <row r="737" spans="5:19" x14ac:dyDescent="0.3">
      <c r="E737" s="163"/>
      <c r="K737" s="163"/>
      <c r="Q737" s="163"/>
      <c r="R737" s="163"/>
      <c r="S737" s="163"/>
    </row>
    <row r="738" spans="5:19" x14ac:dyDescent="0.3">
      <c r="E738" s="163"/>
      <c r="K738" s="163"/>
      <c r="Q738" s="163"/>
      <c r="R738" s="163"/>
      <c r="S738" s="163"/>
    </row>
    <row r="739" spans="5:19" x14ac:dyDescent="0.3">
      <c r="E739" s="163"/>
      <c r="K739" s="163"/>
      <c r="Q739" s="163"/>
      <c r="R739" s="163"/>
      <c r="S739" s="163"/>
    </row>
    <row r="740" spans="5:19" x14ac:dyDescent="0.3">
      <c r="E740" s="163"/>
      <c r="K740" s="163"/>
      <c r="Q740" s="163"/>
      <c r="R740" s="163"/>
      <c r="S740" s="163"/>
    </row>
    <row r="741" spans="5:19" x14ac:dyDescent="0.3">
      <c r="E741" s="163"/>
      <c r="K741" s="163"/>
      <c r="Q741" s="163"/>
      <c r="R741" s="163"/>
      <c r="S741" s="163"/>
    </row>
    <row r="742" spans="5:19" x14ac:dyDescent="0.3">
      <c r="E742" s="163"/>
      <c r="K742" s="163"/>
      <c r="Q742" s="163"/>
      <c r="R742" s="163"/>
      <c r="S742" s="163"/>
    </row>
    <row r="743" spans="5:19" x14ac:dyDescent="0.3">
      <c r="E743" s="163"/>
      <c r="K743" s="163"/>
      <c r="Q743" s="163"/>
      <c r="R743" s="163"/>
      <c r="S743" s="163"/>
    </row>
    <row r="744" spans="5:19" x14ac:dyDescent="0.3">
      <c r="E744" s="163"/>
      <c r="K744" s="163"/>
      <c r="Q744" s="163"/>
      <c r="R744" s="163"/>
      <c r="S744" s="163"/>
    </row>
    <row r="745" spans="5:19" x14ac:dyDescent="0.3">
      <c r="E745" s="163"/>
      <c r="K745" s="163"/>
      <c r="Q745" s="163"/>
      <c r="R745" s="163"/>
      <c r="S745" s="163"/>
    </row>
    <row r="746" spans="5:19" x14ac:dyDescent="0.3">
      <c r="E746" s="163"/>
      <c r="K746" s="163"/>
      <c r="Q746" s="163"/>
      <c r="R746" s="163"/>
      <c r="S746" s="163"/>
    </row>
    <row r="747" spans="5:19" x14ac:dyDescent="0.3">
      <c r="E747" s="163"/>
      <c r="K747" s="163"/>
      <c r="Q747" s="163"/>
      <c r="R747" s="163"/>
      <c r="S747" s="163"/>
    </row>
    <row r="748" spans="5:19" x14ac:dyDescent="0.3">
      <c r="E748" s="163"/>
      <c r="K748" s="163"/>
      <c r="Q748" s="163"/>
      <c r="R748" s="163"/>
      <c r="S748" s="163"/>
    </row>
    <row r="749" spans="5:19" x14ac:dyDescent="0.3">
      <c r="E749" s="163"/>
      <c r="K749" s="163"/>
      <c r="Q749" s="163"/>
      <c r="R749" s="163"/>
      <c r="S749" s="163"/>
    </row>
    <row r="750" spans="5:19" x14ac:dyDescent="0.3">
      <c r="E750" s="163"/>
      <c r="K750" s="163"/>
      <c r="Q750" s="163"/>
      <c r="R750" s="163"/>
      <c r="S750" s="163"/>
    </row>
    <row r="751" spans="5:19" x14ac:dyDescent="0.3">
      <c r="E751" s="163"/>
      <c r="K751" s="163"/>
      <c r="Q751" s="163"/>
      <c r="R751" s="163"/>
      <c r="S751" s="163"/>
    </row>
    <row r="752" spans="5:19" x14ac:dyDescent="0.3">
      <c r="E752" s="163"/>
      <c r="K752" s="163"/>
      <c r="Q752" s="163"/>
      <c r="R752" s="163"/>
      <c r="S752" s="163"/>
    </row>
    <row r="753" spans="5:19" x14ac:dyDescent="0.3">
      <c r="E753" s="163"/>
      <c r="K753" s="163"/>
      <c r="Q753" s="163"/>
      <c r="R753" s="163"/>
      <c r="S753" s="163"/>
    </row>
    <row r="754" spans="5:19" x14ac:dyDescent="0.3">
      <c r="E754" s="163"/>
      <c r="K754" s="163"/>
      <c r="Q754" s="163"/>
      <c r="R754" s="163"/>
      <c r="S754" s="163"/>
    </row>
    <row r="755" spans="5:19" x14ac:dyDescent="0.3">
      <c r="E755" s="163"/>
      <c r="K755" s="163"/>
      <c r="Q755" s="163"/>
      <c r="R755" s="163"/>
      <c r="S755" s="163"/>
    </row>
    <row r="756" spans="5:19" x14ac:dyDescent="0.3">
      <c r="E756" s="163"/>
      <c r="K756" s="163"/>
      <c r="Q756" s="163"/>
      <c r="R756" s="163"/>
      <c r="S756" s="163"/>
    </row>
    <row r="757" spans="5:19" x14ac:dyDescent="0.3">
      <c r="E757" s="163"/>
      <c r="K757" s="163"/>
      <c r="Q757" s="163"/>
      <c r="R757" s="163"/>
      <c r="S757" s="163"/>
    </row>
    <row r="758" spans="5:19" x14ac:dyDescent="0.3">
      <c r="E758" s="163"/>
      <c r="K758" s="163"/>
      <c r="Q758" s="163"/>
      <c r="R758" s="163"/>
      <c r="S758" s="163"/>
    </row>
    <row r="759" spans="5:19" x14ac:dyDescent="0.3">
      <c r="E759" s="163"/>
      <c r="K759" s="163"/>
      <c r="Q759" s="163"/>
      <c r="R759" s="163"/>
      <c r="S759" s="163"/>
    </row>
    <row r="760" spans="5:19" x14ac:dyDescent="0.3">
      <c r="E760" s="163"/>
      <c r="K760" s="163"/>
      <c r="Q760" s="163"/>
      <c r="R760" s="163"/>
      <c r="S760" s="163"/>
    </row>
    <row r="761" spans="5:19" x14ac:dyDescent="0.3">
      <c r="E761" s="163"/>
      <c r="K761" s="163"/>
      <c r="Q761" s="163"/>
      <c r="R761" s="163"/>
      <c r="S761" s="163"/>
    </row>
    <row r="762" spans="5:19" x14ac:dyDescent="0.3">
      <c r="E762" s="163"/>
      <c r="K762" s="163"/>
      <c r="Q762" s="163"/>
      <c r="R762" s="163"/>
      <c r="S762" s="163"/>
    </row>
    <row r="763" spans="5:19" x14ac:dyDescent="0.3">
      <c r="E763" s="163"/>
      <c r="K763" s="163"/>
      <c r="Q763" s="163"/>
      <c r="R763" s="163"/>
      <c r="S763" s="163"/>
    </row>
    <row r="764" spans="5:19" x14ac:dyDescent="0.3">
      <c r="E764" s="163"/>
      <c r="K764" s="163"/>
      <c r="Q764" s="163"/>
      <c r="R764" s="163"/>
      <c r="S764" s="163"/>
    </row>
    <row r="765" spans="5:19" x14ac:dyDescent="0.3">
      <c r="E765" s="163"/>
      <c r="K765" s="163"/>
      <c r="Q765" s="163"/>
      <c r="R765" s="163"/>
      <c r="S765" s="163"/>
    </row>
    <row r="766" spans="5:19" x14ac:dyDescent="0.3">
      <c r="E766" s="163"/>
      <c r="K766" s="163"/>
      <c r="Q766" s="163"/>
      <c r="R766" s="163"/>
      <c r="S766" s="163"/>
    </row>
    <row r="767" spans="5:19" x14ac:dyDescent="0.3">
      <c r="E767" s="163"/>
      <c r="K767" s="163"/>
      <c r="Q767" s="163"/>
      <c r="R767" s="163"/>
      <c r="S767" s="163"/>
    </row>
    <row r="768" spans="5:19" x14ac:dyDescent="0.3">
      <c r="E768" s="163"/>
      <c r="K768" s="163"/>
      <c r="Q768" s="163"/>
      <c r="R768" s="163"/>
      <c r="S768" s="163"/>
    </row>
    <row r="769" spans="5:19" x14ac:dyDescent="0.3">
      <c r="E769" s="163"/>
      <c r="K769" s="163"/>
      <c r="Q769" s="163"/>
      <c r="R769" s="163"/>
      <c r="S769" s="163"/>
    </row>
    <row r="770" spans="5:19" x14ac:dyDescent="0.3">
      <c r="E770" s="163"/>
      <c r="K770" s="163"/>
      <c r="Q770" s="163"/>
      <c r="R770" s="163"/>
      <c r="S770" s="163"/>
    </row>
    <row r="771" spans="5:19" x14ac:dyDescent="0.3">
      <c r="E771" s="163"/>
      <c r="K771" s="163"/>
      <c r="Q771" s="163"/>
      <c r="R771" s="163"/>
      <c r="S771" s="163"/>
    </row>
    <row r="772" spans="5:19" x14ac:dyDescent="0.3">
      <c r="E772" s="163"/>
      <c r="K772" s="163"/>
      <c r="Q772" s="163"/>
      <c r="R772" s="163"/>
      <c r="S772" s="163"/>
    </row>
    <row r="773" spans="5:19" x14ac:dyDescent="0.3">
      <c r="E773" s="163"/>
      <c r="K773" s="163"/>
      <c r="Q773" s="163"/>
      <c r="R773" s="163"/>
      <c r="S773" s="163"/>
    </row>
    <row r="774" spans="5:19" x14ac:dyDescent="0.3">
      <c r="E774" s="163"/>
      <c r="K774" s="163"/>
      <c r="Q774" s="163"/>
      <c r="R774" s="163"/>
      <c r="S774" s="163"/>
    </row>
    <row r="775" spans="5:19" x14ac:dyDescent="0.3">
      <c r="E775" s="163"/>
      <c r="K775" s="163"/>
      <c r="Q775" s="163"/>
      <c r="R775" s="163"/>
      <c r="S775" s="163"/>
    </row>
    <row r="776" spans="5:19" x14ac:dyDescent="0.3">
      <c r="E776" s="163"/>
      <c r="K776" s="163"/>
      <c r="Q776" s="163"/>
      <c r="R776" s="163"/>
      <c r="S776" s="163"/>
    </row>
    <row r="777" spans="5:19" x14ac:dyDescent="0.3">
      <c r="E777" s="163"/>
      <c r="K777" s="163"/>
      <c r="Q777" s="163"/>
      <c r="R777" s="163"/>
      <c r="S777" s="163"/>
    </row>
    <row r="778" spans="5:19" x14ac:dyDescent="0.3">
      <c r="E778" s="163"/>
      <c r="K778" s="163"/>
      <c r="Q778" s="163"/>
      <c r="R778" s="163"/>
      <c r="S778" s="163"/>
    </row>
    <row r="779" spans="5:19" x14ac:dyDescent="0.3">
      <c r="E779" s="163"/>
      <c r="K779" s="163"/>
      <c r="Q779" s="163"/>
      <c r="R779" s="163"/>
      <c r="S779" s="163"/>
    </row>
    <row r="780" spans="5:19" x14ac:dyDescent="0.3">
      <c r="E780" s="163"/>
      <c r="K780" s="163"/>
      <c r="Q780" s="163"/>
      <c r="R780" s="163"/>
      <c r="S780" s="163"/>
    </row>
    <row r="781" spans="5:19" x14ac:dyDescent="0.3">
      <c r="E781" s="163"/>
      <c r="K781" s="163"/>
      <c r="Q781" s="163"/>
      <c r="R781" s="163"/>
      <c r="S781" s="163"/>
    </row>
    <row r="782" spans="5:19" x14ac:dyDescent="0.3">
      <c r="E782" s="163"/>
      <c r="K782" s="163"/>
      <c r="Q782" s="163"/>
      <c r="R782" s="163"/>
      <c r="S782" s="163"/>
    </row>
    <row r="783" spans="5:19" x14ac:dyDescent="0.3">
      <c r="E783" s="163"/>
      <c r="K783" s="163"/>
      <c r="Q783" s="163"/>
      <c r="R783" s="163"/>
      <c r="S783" s="163"/>
    </row>
    <row r="784" spans="5:19" x14ac:dyDescent="0.3">
      <c r="E784" s="163"/>
      <c r="K784" s="163"/>
      <c r="Q784" s="163"/>
      <c r="R784" s="163"/>
      <c r="S784" s="163"/>
    </row>
    <row r="785" spans="5:19" x14ac:dyDescent="0.3">
      <c r="E785" s="163"/>
      <c r="K785" s="163"/>
      <c r="Q785" s="163"/>
      <c r="R785" s="163"/>
      <c r="S785" s="163"/>
    </row>
    <row r="786" spans="5:19" x14ac:dyDescent="0.3">
      <c r="E786" s="163"/>
      <c r="K786" s="163"/>
      <c r="Q786" s="163"/>
      <c r="R786" s="163"/>
      <c r="S786" s="163"/>
    </row>
    <row r="787" spans="5:19" x14ac:dyDescent="0.3">
      <c r="E787" s="163"/>
      <c r="K787" s="163"/>
      <c r="Q787" s="163"/>
      <c r="R787" s="163"/>
      <c r="S787" s="163"/>
    </row>
    <row r="788" spans="5:19" x14ac:dyDescent="0.3">
      <c r="E788" s="163"/>
      <c r="K788" s="163"/>
      <c r="Q788" s="163"/>
      <c r="R788" s="163"/>
      <c r="S788" s="163"/>
    </row>
    <row r="789" spans="5:19" x14ac:dyDescent="0.3">
      <c r="E789" s="163"/>
      <c r="K789" s="163"/>
      <c r="Q789" s="163"/>
      <c r="R789" s="163"/>
      <c r="S789" s="163"/>
    </row>
    <row r="790" spans="5:19" x14ac:dyDescent="0.3">
      <c r="E790" s="163"/>
      <c r="K790" s="163"/>
      <c r="Q790" s="163"/>
      <c r="R790" s="163"/>
      <c r="S790" s="163"/>
    </row>
    <row r="791" spans="5:19" x14ac:dyDescent="0.3">
      <c r="E791" s="163"/>
      <c r="K791" s="163"/>
      <c r="Q791" s="163"/>
      <c r="R791" s="163"/>
      <c r="S791" s="163"/>
    </row>
    <row r="792" spans="5:19" x14ac:dyDescent="0.3">
      <c r="E792" s="163"/>
      <c r="K792" s="163"/>
      <c r="Q792" s="163"/>
      <c r="R792" s="163"/>
      <c r="S792" s="163"/>
    </row>
    <row r="793" spans="5:19" x14ac:dyDescent="0.3">
      <c r="E793" s="163"/>
      <c r="K793" s="163"/>
      <c r="Q793" s="163"/>
      <c r="R793" s="163"/>
      <c r="S793" s="163"/>
    </row>
    <row r="794" spans="5:19" x14ac:dyDescent="0.3">
      <c r="E794" s="163"/>
      <c r="K794" s="163"/>
      <c r="Q794" s="163"/>
      <c r="R794" s="163"/>
      <c r="S794" s="163"/>
    </row>
    <row r="795" spans="5:19" x14ac:dyDescent="0.3">
      <c r="E795" s="163"/>
      <c r="K795" s="163"/>
      <c r="Q795" s="163"/>
      <c r="R795" s="163"/>
      <c r="S795" s="163"/>
    </row>
    <row r="796" spans="5:19" x14ac:dyDescent="0.3">
      <c r="E796" s="163"/>
      <c r="K796" s="163"/>
      <c r="Q796" s="163"/>
      <c r="R796" s="163"/>
      <c r="S796" s="163"/>
    </row>
    <row r="797" spans="5:19" x14ac:dyDescent="0.3">
      <c r="E797" s="163"/>
      <c r="K797" s="163"/>
      <c r="Q797" s="163"/>
      <c r="R797" s="163"/>
      <c r="S797" s="163"/>
    </row>
    <row r="798" spans="5:19" x14ac:dyDescent="0.3">
      <c r="E798" s="163"/>
      <c r="K798" s="163"/>
      <c r="Q798" s="163"/>
      <c r="R798" s="163"/>
      <c r="S798" s="163"/>
    </row>
    <row r="799" spans="5:19" x14ac:dyDescent="0.3">
      <c r="E799" s="163"/>
      <c r="K799" s="163"/>
      <c r="Q799" s="163"/>
      <c r="R799" s="163"/>
      <c r="S799" s="163"/>
    </row>
    <row r="800" spans="5:19" x14ac:dyDescent="0.3">
      <c r="E800" s="163"/>
      <c r="K800" s="163"/>
      <c r="Q800" s="163"/>
      <c r="R800" s="163"/>
      <c r="S800" s="163"/>
    </row>
    <row r="801" spans="5:19" x14ac:dyDescent="0.3">
      <c r="E801" s="163"/>
      <c r="K801" s="163"/>
      <c r="Q801" s="163"/>
      <c r="R801" s="163"/>
      <c r="S801" s="163"/>
    </row>
    <row r="802" spans="5:19" x14ac:dyDescent="0.3">
      <c r="E802" s="163"/>
      <c r="K802" s="163"/>
      <c r="Q802" s="163"/>
      <c r="R802" s="163"/>
      <c r="S802" s="163"/>
    </row>
    <row r="803" spans="5:19" x14ac:dyDescent="0.3">
      <c r="E803" s="163"/>
      <c r="K803" s="163"/>
      <c r="Q803" s="163"/>
      <c r="R803" s="163"/>
      <c r="S803" s="163"/>
    </row>
    <row r="804" spans="5:19" x14ac:dyDescent="0.3">
      <c r="E804" s="163"/>
      <c r="K804" s="163"/>
      <c r="Q804" s="163"/>
      <c r="R804" s="163"/>
      <c r="S804" s="163"/>
    </row>
    <row r="805" spans="5:19" x14ac:dyDescent="0.3">
      <c r="E805" s="163"/>
      <c r="K805" s="163"/>
      <c r="Q805" s="163"/>
      <c r="R805" s="163"/>
      <c r="S805" s="163"/>
    </row>
    <row r="806" spans="5:19" x14ac:dyDescent="0.3">
      <c r="E806" s="163"/>
      <c r="K806" s="163"/>
      <c r="Q806" s="163"/>
      <c r="R806" s="163"/>
      <c r="S806" s="163"/>
    </row>
    <row r="807" spans="5:19" x14ac:dyDescent="0.3">
      <c r="E807" s="163"/>
      <c r="K807" s="163"/>
      <c r="Q807" s="163"/>
      <c r="R807" s="163"/>
      <c r="S807" s="163"/>
    </row>
    <row r="808" spans="5:19" x14ac:dyDescent="0.3">
      <c r="E808" s="163"/>
      <c r="K808" s="163"/>
      <c r="Q808" s="163"/>
      <c r="R808" s="163"/>
      <c r="S808" s="163"/>
    </row>
    <row r="809" spans="5:19" x14ac:dyDescent="0.3">
      <c r="E809" s="163"/>
      <c r="K809" s="163"/>
      <c r="Q809" s="163"/>
      <c r="R809" s="163"/>
      <c r="S809" s="163"/>
    </row>
    <row r="810" spans="5:19" x14ac:dyDescent="0.3">
      <c r="E810" s="163"/>
      <c r="K810" s="163"/>
      <c r="Q810" s="163"/>
      <c r="R810" s="163"/>
      <c r="S810" s="163"/>
    </row>
    <row r="811" spans="5:19" x14ac:dyDescent="0.3">
      <c r="E811" s="163"/>
      <c r="K811" s="163"/>
      <c r="Q811" s="163"/>
      <c r="R811" s="163"/>
      <c r="S811" s="163"/>
    </row>
    <row r="812" spans="5:19" x14ac:dyDescent="0.3">
      <c r="E812" s="163"/>
      <c r="K812" s="163"/>
      <c r="Q812" s="163"/>
      <c r="R812" s="163"/>
      <c r="S812" s="163"/>
    </row>
    <row r="813" spans="5:19" x14ac:dyDescent="0.3">
      <c r="E813" s="163"/>
      <c r="K813" s="163"/>
      <c r="Q813" s="163"/>
      <c r="R813" s="163"/>
      <c r="S813" s="163"/>
    </row>
    <row r="814" spans="5:19" x14ac:dyDescent="0.3">
      <c r="E814" s="163"/>
      <c r="K814" s="163"/>
      <c r="Q814" s="163"/>
      <c r="R814" s="163"/>
      <c r="S814" s="163"/>
    </row>
    <row r="815" spans="5:19" x14ac:dyDescent="0.3">
      <c r="E815" s="163"/>
      <c r="K815" s="163"/>
      <c r="Q815" s="163"/>
      <c r="R815" s="163"/>
      <c r="S815" s="163"/>
    </row>
    <row r="816" spans="5:19" x14ac:dyDescent="0.3">
      <c r="E816" s="163"/>
      <c r="K816" s="163"/>
      <c r="Q816" s="163"/>
      <c r="R816" s="163"/>
      <c r="S816" s="163"/>
    </row>
    <row r="817" spans="5:19" x14ac:dyDescent="0.3">
      <c r="E817" s="163"/>
      <c r="K817" s="163"/>
      <c r="Q817" s="163"/>
      <c r="R817" s="163"/>
      <c r="S817" s="163"/>
    </row>
    <row r="818" spans="5:19" x14ac:dyDescent="0.3">
      <c r="E818" s="163"/>
      <c r="K818" s="163"/>
      <c r="Q818" s="163"/>
      <c r="R818" s="163"/>
      <c r="S818" s="163"/>
    </row>
    <row r="819" spans="5:19" x14ac:dyDescent="0.3">
      <c r="E819" s="163"/>
      <c r="K819" s="163"/>
      <c r="Q819" s="163"/>
      <c r="R819" s="163"/>
      <c r="S819" s="163"/>
    </row>
    <row r="820" spans="5:19" x14ac:dyDescent="0.3">
      <c r="E820" s="163"/>
      <c r="K820" s="163"/>
      <c r="Q820" s="163"/>
      <c r="R820" s="163"/>
      <c r="S820" s="163"/>
    </row>
    <row r="821" spans="5:19" x14ac:dyDescent="0.3">
      <c r="E821" s="163"/>
      <c r="K821" s="163"/>
      <c r="Q821" s="163"/>
      <c r="R821" s="163"/>
      <c r="S821" s="163"/>
    </row>
    <row r="822" spans="5:19" x14ac:dyDescent="0.3">
      <c r="E822" s="163"/>
      <c r="K822" s="163"/>
      <c r="Q822" s="163"/>
      <c r="R822" s="163"/>
      <c r="S822" s="163"/>
    </row>
    <row r="823" spans="5:19" x14ac:dyDescent="0.3">
      <c r="E823" s="163"/>
      <c r="K823" s="163"/>
      <c r="Q823" s="163"/>
      <c r="R823" s="163"/>
      <c r="S823" s="163"/>
    </row>
    <row r="824" spans="5:19" x14ac:dyDescent="0.3">
      <c r="E824" s="163"/>
      <c r="K824" s="163"/>
      <c r="Q824" s="163"/>
      <c r="R824" s="163"/>
      <c r="S824" s="163"/>
    </row>
    <row r="825" spans="5:19" x14ac:dyDescent="0.3">
      <c r="E825" s="163"/>
      <c r="K825" s="163"/>
      <c r="Q825" s="163"/>
      <c r="R825" s="163"/>
      <c r="S825" s="163"/>
    </row>
    <row r="826" spans="5:19" x14ac:dyDescent="0.3">
      <c r="E826" s="163"/>
      <c r="K826" s="163"/>
      <c r="Q826" s="163"/>
      <c r="R826" s="163"/>
      <c r="S826" s="163"/>
    </row>
    <row r="827" spans="5:19" x14ac:dyDescent="0.3">
      <c r="E827" s="163"/>
      <c r="K827" s="163"/>
      <c r="Q827" s="163"/>
      <c r="R827" s="163"/>
      <c r="S827" s="163"/>
    </row>
    <row r="828" spans="5:19" x14ac:dyDescent="0.3">
      <c r="E828" s="163"/>
      <c r="K828" s="163"/>
      <c r="Q828" s="163"/>
      <c r="R828" s="163"/>
      <c r="S828" s="163"/>
    </row>
    <row r="829" spans="5:19" x14ac:dyDescent="0.3">
      <c r="E829" s="163"/>
      <c r="K829" s="163"/>
      <c r="Q829" s="163"/>
      <c r="R829" s="163"/>
      <c r="S829" s="163"/>
    </row>
    <row r="830" spans="5:19" x14ac:dyDescent="0.3">
      <c r="E830" s="163"/>
      <c r="K830" s="163"/>
      <c r="Q830" s="163"/>
      <c r="R830" s="163"/>
      <c r="S830" s="163"/>
    </row>
    <row r="831" spans="5:19" x14ac:dyDescent="0.3">
      <c r="E831" s="163"/>
      <c r="K831" s="163"/>
      <c r="Q831" s="163"/>
      <c r="R831" s="163"/>
      <c r="S831" s="163"/>
    </row>
    <row r="832" spans="5:19" x14ac:dyDescent="0.3">
      <c r="E832" s="163"/>
      <c r="K832" s="163"/>
      <c r="Q832" s="163"/>
      <c r="R832" s="163"/>
      <c r="S832" s="163"/>
    </row>
    <row r="833" spans="5:19" x14ac:dyDescent="0.3">
      <c r="E833" s="163"/>
      <c r="K833" s="163"/>
      <c r="Q833" s="163"/>
      <c r="R833" s="163"/>
      <c r="S833" s="163"/>
    </row>
    <row r="834" spans="5:19" x14ac:dyDescent="0.3">
      <c r="E834" s="163"/>
      <c r="K834" s="163"/>
      <c r="Q834" s="163"/>
      <c r="R834" s="163"/>
      <c r="S834" s="163"/>
    </row>
    <row r="835" spans="5:19" x14ac:dyDescent="0.3">
      <c r="E835" s="163"/>
      <c r="K835" s="163"/>
      <c r="Q835" s="163"/>
      <c r="R835" s="163"/>
      <c r="S835" s="163"/>
    </row>
    <row r="836" spans="5:19" x14ac:dyDescent="0.3">
      <c r="E836" s="163"/>
      <c r="K836" s="163"/>
      <c r="Q836" s="163"/>
      <c r="R836" s="163"/>
      <c r="S836" s="163"/>
    </row>
    <row r="837" spans="5:19" x14ac:dyDescent="0.3">
      <c r="E837" s="163"/>
      <c r="K837" s="163"/>
      <c r="Q837" s="163"/>
      <c r="R837" s="163"/>
      <c r="S837" s="163"/>
    </row>
    <row r="838" spans="5:19" x14ac:dyDescent="0.3">
      <c r="E838" s="163"/>
      <c r="K838" s="163"/>
      <c r="Q838" s="163"/>
      <c r="R838" s="163"/>
      <c r="S838" s="163"/>
    </row>
    <row r="839" spans="5:19" x14ac:dyDescent="0.3">
      <c r="E839" s="163"/>
      <c r="K839" s="163"/>
      <c r="Q839" s="163"/>
      <c r="R839" s="163"/>
      <c r="S839" s="163"/>
    </row>
    <row r="840" spans="5:19" x14ac:dyDescent="0.3">
      <c r="E840" s="163"/>
      <c r="K840" s="163"/>
      <c r="Q840" s="163"/>
      <c r="R840" s="163"/>
      <c r="S840" s="163"/>
    </row>
    <row r="841" spans="5:19" x14ac:dyDescent="0.3">
      <c r="E841" s="163"/>
      <c r="K841" s="163"/>
      <c r="Q841" s="163"/>
      <c r="R841" s="163"/>
      <c r="S841" s="163"/>
    </row>
    <row r="842" spans="5:19" x14ac:dyDescent="0.3">
      <c r="E842" s="163"/>
      <c r="K842" s="163"/>
      <c r="Q842" s="163"/>
      <c r="R842" s="163"/>
      <c r="S842" s="163"/>
    </row>
    <row r="843" spans="5:19" x14ac:dyDescent="0.3">
      <c r="E843" s="163"/>
      <c r="K843" s="163"/>
      <c r="Q843" s="163"/>
      <c r="R843" s="163"/>
      <c r="S843" s="163"/>
    </row>
    <row r="844" spans="5:19" x14ac:dyDescent="0.3">
      <c r="E844" s="163"/>
      <c r="K844" s="163"/>
      <c r="Q844" s="163"/>
      <c r="R844" s="163"/>
      <c r="S844" s="163"/>
    </row>
    <row r="845" spans="5:19" x14ac:dyDescent="0.3">
      <c r="E845" s="163"/>
      <c r="K845" s="163"/>
      <c r="Q845" s="163"/>
      <c r="R845" s="163"/>
      <c r="S845" s="163"/>
    </row>
    <row r="846" spans="5:19" x14ac:dyDescent="0.3">
      <c r="E846" s="163"/>
      <c r="K846" s="163"/>
      <c r="Q846" s="163"/>
      <c r="R846" s="163"/>
      <c r="S846" s="163"/>
    </row>
    <row r="847" spans="5:19" x14ac:dyDescent="0.3">
      <c r="E847" s="163"/>
      <c r="K847" s="163"/>
      <c r="Q847" s="163"/>
      <c r="R847" s="163"/>
      <c r="S847" s="163"/>
    </row>
    <row r="848" spans="5:19" x14ac:dyDescent="0.3">
      <c r="E848" s="163"/>
      <c r="K848" s="163"/>
      <c r="Q848" s="163"/>
      <c r="R848" s="163"/>
      <c r="S848" s="163"/>
    </row>
    <row r="849" spans="5:19" x14ac:dyDescent="0.3">
      <c r="E849" s="163"/>
      <c r="K849" s="163"/>
      <c r="Q849" s="163"/>
      <c r="R849" s="163"/>
      <c r="S849" s="163"/>
    </row>
    <row r="850" spans="5:19" x14ac:dyDescent="0.3">
      <c r="E850" s="163"/>
      <c r="K850" s="163"/>
      <c r="Q850" s="163"/>
      <c r="R850" s="163"/>
      <c r="S850" s="163"/>
    </row>
    <row r="851" spans="5:19" x14ac:dyDescent="0.3">
      <c r="E851" s="163"/>
      <c r="K851" s="163"/>
      <c r="Q851" s="163"/>
      <c r="R851" s="163"/>
      <c r="S851" s="163"/>
    </row>
    <row r="852" spans="5:19" x14ac:dyDescent="0.3">
      <c r="E852" s="163"/>
      <c r="K852" s="163"/>
      <c r="Q852" s="163"/>
      <c r="R852" s="163"/>
      <c r="S852" s="163"/>
    </row>
    <row r="853" spans="5:19" x14ac:dyDescent="0.3">
      <c r="E853" s="163"/>
      <c r="K853" s="163"/>
      <c r="Q853" s="163"/>
      <c r="R853" s="163"/>
      <c r="S853" s="163"/>
    </row>
    <row r="854" spans="5:19" x14ac:dyDescent="0.3">
      <c r="E854" s="163"/>
      <c r="K854" s="163"/>
      <c r="Q854" s="163"/>
      <c r="R854" s="163"/>
      <c r="S854" s="163"/>
    </row>
    <row r="855" spans="5:19" x14ac:dyDescent="0.3">
      <c r="E855" s="163"/>
      <c r="K855" s="163"/>
      <c r="Q855" s="163"/>
      <c r="R855" s="163"/>
      <c r="S855" s="163"/>
    </row>
    <row r="856" spans="5:19" x14ac:dyDescent="0.3">
      <c r="E856" s="163"/>
      <c r="K856" s="163"/>
      <c r="Q856" s="163"/>
      <c r="R856" s="163"/>
      <c r="S856" s="163"/>
    </row>
    <row r="857" spans="5:19" x14ac:dyDescent="0.3">
      <c r="E857" s="163"/>
      <c r="K857" s="163"/>
      <c r="Q857" s="163"/>
      <c r="R857" s="163"/>
      <c r="S857" s="163"/>
    </row>
    <row r="858" spans="5:19" x14ac:dyDescent="0.3">
      <c r="E858" s="163"/>
      <c r="K858" s="163"/>
      <c r="Q858" s="163"/>
      <c r="R858" s="163"/>
      <c r="S858" s="163"/>
    </row>
    <row r="859" spans="5:19" x14ac:dyDescent="0.3">
      <c r="E859" s="163"/>
      <c r="K859" s="163"/>
      <c r="Q859" s="163"/>
      <c r="R859" s="163"/>
      <c r="S859" s="163"/>
    </row>
    <row r="860" spans="5:19" x14ac:dyDescent="0.3">
      <c r="E860" s="163"/>
      <c r="K860" s="163"/>
      <c r="Q860" s="163"/>
      <c r="R860" s="163"/>
      <c r="S860" s="163"/>
    </row>
    <row r="861" spans="5:19" x14ac:dyDescent="0.3">
      <c r="E861" s="163"/>
      <c r="K861" s="163"/>
      <c r="Q861" s="163"/>
      <c r="R861" s="163"/>
      <c r="S861" s="163"/>
    </row>
    <row r="862" spans="5:19" x14ac:dyDescent="0.3">
      <c r="E862" s="163"/>
      <c r="K862" s="163"/>
      <c r="Q862" s="163"/>
      <c r="R862" s="163"/>
      <c r="S862" s="163"/>
    </row>
    <row r="863" spans="5:19" x14ac:dyDescent="0.3">
      <c r="E863" s="163"/>
      <c r="K863" s="163"/>
      <c r="Q863" s="163"/>
      <c r="R863" s="163"/>
      <c r="S863" s="163"/>
    </row>
    <row r="864" spans="5:19" x14ac:dyDescent="0.3">
      <c r="E864" s="163"/>
      <c r="K864" s="163"/>
      <c r="Q864" s="163"/>
      <c r="R864" s="163"/>
      <c r="S864" s="163"/>
    </row>
    <row r="865" spans="5:19" x14ac:dyDescent="0.3">
      <c r="E865" s="163"/>
      <c r="K865" s="163"/>
      <c r="Q865" s="163"/>
      <c r="R865" s="163"/>
      <c r="S865" s="163"/>
    </row>
    <row r="866" spans="5:19" x14ac:dyDescent="0.3">
      <c r="E866" s="163"/>
      <c r="K866" s="163"/>
      <c r="Q866" s="163"/>
      <c r="R866" s="163"/>
      <c r="S866" s="163"/>
    </row>
    <row r="867" spans="5:19" x14ac:dyDescent="0.3">
      <c r="E867" s="163"/>
      <c r="K867" s="163"/>
      <c r="Q867" s="163"/>
      <c r="R867" s="163"/>
      <c r="S867" s="163"/>
    </row>
    <row r="868" spans="5:19" x14ac:dyDescent="0.3">
      <c r="E868" s="163"/>
      <c r="K868" s="163"/>
      <c r="Q868" s="163"/>
      <c r="R868" s="163"/>
      <c r="S868" s="163"/>
    </row>
    <row r="869" spans="5:19" x14ac:dyDescent="0.3">
      <c r="E869" s="163"/>
      <c r="K869" s="163"/>
      <c r="Q869" s="163"/>
      <c r="R869" s="163"/>
      <c r="S869" s="163"/>
    </row>
    <row r="870" spans="5:19" x14ac:dyDescent="0.3">
      <c r="E870" s="163"/>
      <c r="K870" s="163"/>
      <c r="Q870" s="163"/>
      <c r="R870" s="163"/>
      <c r="S870" s="163"/>
    </row>
    <row r="871" spans="5:19" x14ac:dyDescent="0.3">
      <c r="E871" s="163"/>
      <c r="K871" s="163"/>
      <c r="Q871" s="163"/>
      <c r="R871" s="163"/>
      <c r="S871" s="163"/>
    </row>
    <row r="872" spans="5:19" x14ac:dyDescent="0.3">
      <c r="E872" s="163"/>
      <c r="K872" s="163"/>
      <c r="Q872" s="163"/>
      <c r="R872" s="163"/>
      <c r="S872" s="163"/>
    </row>
    <row r="873" spans="5:19" x14ac:dyDescent="0.3">
      <c r="E873" s="163"/>
      <c r="K873" s="163"/>
      <c r="Q873" s="163"/>
      <c r="R873" s="163"/>
      <c r="S873" s="163"/>
    </row>
    <row r="874" spans="5:19" x14ac:dyDescent="0.3">
      <c r="E874" s="163"/>
      <c r="K874" s="163"/>
      <c r="Q874" s="163"/>
      <c r="R874" s="163"/>
      <c r="S874" s="163"/>
    </row>
    <row r="875" spans="5:19" x14ac:dyDescent="0.3">
      <c r="E875" s="163"/>
      <c r="K875" s="163"/>
      <c r="Q875" s="163"/>
      <c r="R875" s="163"/>
      <c r="S875" s="163"/>
    </row>
    <row r="876" spans="5:19" x14ac:dyDescent="0.3">
      <c r="E876" s="163"/>
      <c r="K876" s="163"/>
      <c r="Q876" s="163"/>
      <c r="R876" s="163"/>
      <c r="S876" s="163"/>
    </row>
    <row r="877" spans="5:19" x14ac:dyDescent="0.3">
      <c r="E877" s="163"/>
      <c r="K877" s="163"/>
      <c r="Q877" s="163"/>
      <c r="R877" s="163"/>
      <c r="S877" s="163"/>
    </row>
    <row r="878" spans="5:19" x14ac:dyDescent="0.3">
      <c r="E878" s="163"/>
      <c r="K878" s="163"/>
      <c r="Q878" s="163"/>
      <c r="R878" s="163"/>
      <c r="S878" s="163"/>
    </row>
    <row r="879" spans="5:19" x14ac:dyDescent="0.3">
      <c r="E879" s="163"/>
      <c r="K879" s="163"/>
      <c r="Q879" s="163"/>
      <c r="R879" s="163"/>
      <c r="S879" s="163"/>
    </row>
    <row r="880" spans="5:19" x14ac:dyDescent="0.3">
      <c r="E880" s="163"/>
      <c r="K880" s="163"/>
      <c r="Q880" s="163"/>
      <c r="R880" s="163"/>
      <c r="S880" s="163"/>
    </row>
    <row r="881" spans="5:19" x14ac:dyDescent="0.3">
      <c r="E881" s="163"/>
      <c r="K881" s="163"/>
      <c r="Q881" s="163"/>
      <c r="R881" s="163"/>
      <c r="S881" s="163"/>
    </row>
    <row r="882" spans="5:19" x14ac:dyDescent="0.3">
      <c r="E882" s="163"/>
      <c r="K882" s="163"/>
      <c r="Q882" s="163"/>
      <c r="R882" s="163"/>
      <c r="S882" s="163"/>
    </row>
    <row r="883" spans="5:19" x14ac:dyDescent="0.3">
      <c r="E883" s="163"/>
      <c r="K883" s="163"/>
      <c r="Q883" s="163"/>
      <c r="R883" s="163"/>
      <c r="S883" s="163"/>
    </row>
    <row r="884" spans="5:19" x14ac:dyDescent="0.3">
      <c r="E884" s="163"/>
      <c r="K884" s="163"/>
      <c r="Q884" s="163"/>
      <c r="R884" s="163"/>
      <c r="S884" s="163"/>
    </row>
    <row r="885" spans="5:19" x14ac:dyDescent="0.3">
      <c r="E885" s="163"/>
      <c r="K885" s="163"/>
      <c r="Q885" s="163"/>
      <c r="R885" s="163"/>
      <c r="S885" s="163"/>
    </row>
    <row r="886" spans="5:19" x14ac:dyDescent="0.3">
      <c r="E886" s="163"/>
      <c r="K886" s="163"/>
      <c r="Q886" s="163"/>
      <c r="R886" s="163"/>
      <c r="S886" s="163"/>
    </row>
    <row r="887" spans="5:19" x14ac:dyDescent="0.3">
      <c r="E887" s="163"/>
      <c r="K887" s="163"/>
      <c r="Q887" s="163"/>
      <c r="R887" s="163"/>
      <c r="S887" s="163"/>
    </row>
    <row r="888" spans="5:19" x14ac:dyDescent="0.3">
      <c r="E888" s="163"/>
      <c r="K888" s="163"/>
      <c r="Q888" s="163"/>
      <c r="R888" s="163"/>
      <c r="S888" s="163"/>
    </row>
    <row r="889" spans="5:19" x14ac:dyDescent="0.3">
      <c r="E889" s="163"/>
      <c r="K889" s="163"/>
      <c r="Q889" s="163"/>
      <c r="R889" s="163"/>
      <c r="S889" s="163"/>
    </row>
    <row r="890" spans="5:19" x14ac:dyDescent="0.3">
      <c r="E890" s="163"/>
      <c r="K890" s="163"/>
      <c r="Q890" s="163"/>
      <c r="R890" s="163"/>
      <c r="S890" s="163"/>
    </row>
    <row r="891" spans="5:19" x14ac:dyDescent="0.3">
      <c r="E891" s="163"/>
      <c r="K891" s="163"/>
      <c r="Q891" s="163"/>
      <c r="R891" s="163"/>
      <c r="S891" s="163"/>
    </row>
    <row r="892" spans="5:19" x14ac:dyDescent="0.3">
      <c r="E892" s="163"/>
      <c r="K892" s="163"/>
      <c r="Q892" s="163"/>
      <c r="R892" s="163"/>
      <c r="S892" s="163"/>
    </row>
    <row r="893" spans="5:19" x14ac:dyDescent="0.3">
      <c r="E893" s="163"/>
      <c r="K893" s="163"/>
      <c r="Q893" s="163"/>
      <c r="R893" s="163"/>
      <c r="S893" s="163"/>
    </row>
    <row r="894" spans="5:19" x14ac:dyDescent="0.3">
      <c r="E894" s="163"/>
      <c r="K894" s="163"/>
      <c r="Q894" s="163"/>
      <c r="R894" s="163"/>
      <c r="S894" s="163"/>
    </row>
    <row r="895" spans="5:19" x14ac:dyDescent="0.3">
      <c r="E895" s="163"/>
      <c r="K895" s="163"/>
      <c r="Q895" s="163"/>
      <c r="R895" s="163"/>
      <c r="S895" s="163"/>
    </row>
    <row r="896" spans="5:19" x14ac:dyDescent="0.3">
      <c r="E896" s="163"/>
      <c r="K896" s="163"/>
      <c r="Q896" s="163"/>
      <c r="R896" s="163"/>
      <c r="S896" s="163"/>
    </row>
    <row r="897" spans="5:19" x14ac:dyDescent="0.3">
      <c r="E897" s="163"/>
      <c r="K897" s="163"/>
      <c r="Q897" s="163"/>
      <c r="R897" s="163"/>
      <c r="S897" s="163"/>
    </row>
    <row r="898" spans="5:19" x14ac:dyDescent="0.3">
      <c r="E898" s="163"/>
      <c r="K898" s="163"/>
      <c r="Q898" s="163"/>
      <c r="R898" s="163"/>
      <c r="S898" s="163"/>
    </row>
    <row r="899" spans="5:19" x14ac:dyDescent="0.3">
      <c r="E899" s="163"/>
      <c r="K899" s="163"/>
      <c r="Q899" s="163"/>
      <c r="R899" s="163"/>
      <c r="S899" s="163"/>
    </row>
    <row r="900" spans="5:19" x14ac:dyDescent="0.3">
      <c r="E900" s="163"/>
      <c r="K900" s="163"/>
      <c r="Q900" s="163"/>
      <c r="R900" s="163"/>
      <c r="S900" s="163"/>
    </row>
    <row r="901" spans="5:19" x14ac:dyDescent="0.3">
      <c r="E901" s="163"/>
      <c r="K901" s="163"/>
      <c r="Q901" s="163"/>
      <c r="R901" s="163"/>
      <c r="S901" s="163"/>
    </row>
    <row r="902" spans="5:19" x14ac:dyDescent="0.3">
      <c r="E902" s="163"/>
      <c r="K902" s="163"/>
      <c r="Q902" s="163"/>
      <c r="R902" s="163"/>
      <c r="S902" s="163"/>
    </row>
    <row r="903" spans="5:19" x14ac:dyDescent="0.3">
      <c r="E903" s="163"/>
      <c r="K903" s="163"/>
      <c r="Q903" s="163"/>
      <c r="R903" s="163"/>
      <c r="S903" s="163"/>
    </row>
    <row r="904" spans="5:19" x14ac:dyDescent="0.3">
      <c r="E904" s="163"/>
      <c r="K904" s="163"/>
      <c r="Q904" s="163"/>
      <c r="R904" s="163"/>
      <c r="S904" s="163"/>
    </row>
    <row r="905" spans="5:19" x14ac:dyDescent="0.3">
      <c r="E905" s="163"/>
      <c r="K905" s="163"/>
      <c r="Q905" s="163"/>
      <c r="R905" s="163"/>
      <c r="S905" s="163"/>
    </row>
    <row r="906" spans="5:19" x14ac:dyDescent="0.3">
      <c r="E906" s="163"/>
      <c r="K906" s="163"/>
      <c r="Q906" s="163"/>
      <c r="R906" s="163"/>
      <c r="S906" s="163"/>
    </row>
    <row r="907" spans="5:19" x14ac:dyDescent="0.3">
      <c r="E907" s="163"/>
      <c r="K907" s="163"/>
      <c r="Q907" s="163"/>
      <c r="R907" s="163"/>
      <c r="S907" s="163"/>
    </row>
    <row r="908" spans="5:19" x14ac:dyDescent="0.3">
      <c r="E908" s="163"/>
      <c r="K908" s="163"/>
      <c r="Q908" s="163"/>
      <c r="R908" s="163"/>
      <c r="S908" s="163"/>
    </row>
    <row r="909" spans="5:19" x14ac:dyDescent="0.3">
      <c r="E909" s="163"/>
      <c r="K909" s="163"/>
      <c r="Q909" s="163"/>
      <c r="R909" s="163"/>
      <c r="S909" s="163"/>
    </row>
    <row r="910" spans="5:19" x14ac:dyDescent="0.3">
      <c r="E910" s="163"/>
      <c r="K910" s="163"/>
      <c r="Q910" s="163"/>
      <c r="R910" s="163"/>
      <c r="S910" s="163"/>
    </row>
    <row r="911" spans="5:19" x14ac:dyDescent="0.3">
      <c r="E911" s="163"/>
      <c r="K911" s="163"/>
      <c r="Q911" s="163"/>
      <c r="R911" s="163"/>
      <c r="S911" s="163"/>
    </row>
    <row r="912" spans="5:19" x14ac:dyDescent="0.3">
      <c r="E912" s="163"/>
      <c r="K912" s="163"/>
      <c r="Q912" s="163"/>
      <c r="R912" s="163"/>
      <c r="S912" s="163"/>
    </row>
    <row r="913" spans="5:19" x14ac:dyDescent="0.3">
      <c r="E913" s="163"/>
      <c r="K913" s="163"/>
      <c r="Q913" s="163"/>
      <c r="R913" s="163"/>
      <c r="S913" s="163"/>
    </row>
    <row r="914" spans="5:19" x14ac:dyDescent="0.3">
      <c r="E914" s="163"/>
      <c r="K914" s="163"/>
      <c r="Q914" s="163"/>
      <c r="R914" s="163"/>
      <c r="S914" s="163"/>
    </row>
    <row r="915" spans="5:19" x14ac:dyDescent="0.3">
      <c r="E915" s="163"/>
      <c r="K915" s="163"/>
      <c r="Q915" s="163"/>
      <c r="R915" s="163"/>
      <c r="S915" s="163"/>
    </row>
    <row r="916" spans="5:19" x14ac:dyDescent="0.3">
      <c r="E916" s="163"/>
      <c r="K916" s="163"/>
      <c r="Q916" s="163"/>
      <c r="R916" s="163"/>
      <c r="S916" s="163"/>
    </row>
    <row r="917" spans="5:19" x14ac:dyDescent="0.3">
      <c r="E917" s="163"/>
      <c r="K917" s="163"/>
      <c r="Q917" s="163"/>
      <c r="R917" s="163"/>
      <c r="S917" s="163"/>
    </row>
    <row r="918" spans="5:19" x14ac:dyDescent="0.3">
      <c r="E918" s="163"/>
      <c r="K918" s="163"/>
      <c r="Q918" s="163"/>
      <c r="R918" s="163"/>
      <c r="S918" s="163"/>
    </row>
    <row r="919" spans="5:19" x14ac:dyDescent="0.3">
      <c r="E919" s="163"/>
      <c r="K919" s="163"/>
      <c r="Q919" s="163"/>
      <c r="R919" s="163"/>
      <c r="S919" s="163"/>
    </row>
    <row r="920" spans="5:19" x14ac:dyDescent="0.3">
      <c r="E920" s="163"/>
      <c r="K920" s="163"/>
      <c r="Q920" s="163"/>
      <c r="R920" s="163"/>
      <c r="S920" s="163"/>
    </row>
    <row r="921" spans="5:19" x14ac:dyDescent="0.3">
      <c r="E921" s="163"/>
      <c r="K921" s="163"/>
      <c r="Q921" s="163"/>
      <c r="R921" s="163"/>
      <c r="S921" s="163"/>
    </row>
    <row r="922" spans="5:19" x14ac:dyDescent="0.3">
      <c r="E922" s="163"/>
      <c r="K922" s="163"/>
      <c r="Q922" s="163"/>
      <c r="R922" s="163"/>
      <c r="S922" s="163"/>
    </row>
    <row r="923" spans="5:19" x14ac:dyDescent="0.3">
      <c r="E923" s="163"/>
      <c r="K923" s="163"/>
      <c r="Q923" s="163"/>
      <c r="R923" s="163"/>
      <c r="S923" s="163"/>
    </row>
    <row r="924" spans="5:19" x14ac:dyDescent="0.3">
      <c r="E924" s="163"/>
      <c r="K924" s="163"/>
      <c r="Q924" s="163"/>
      <c r="R924" s="163"/>
      <c r="S924" s="163"/>
    </row>
    <row r="925" spans="5:19" x14ac:dyDescent="0.3">
      <c r="E925" s="163"/>
      <c r="K925" s="163"/>
      <c r="Q925" s="163"/>
      <c r="R925" s="163"/>
      <c r="S925" s="163"/>
    </row>
    <row r="926" spans="5:19" x14ac:dyDescent="0.3">
      <c r="E926" s="163"/>
      <c r="K926" s="163"/>
      <c r="Q926" s="163"/>
      <c r="R926" s="163"/>
      <c r="S926" s="163"/>
    </row>
    <row r="927" spans="5:19" x14ac:dyDescent="0.3">
      <c r="E927" s="163"/>
      <c r="K927" s="163"/>
      <c r="Q927" s="163"/>
      <c r="R927" s="163"/>
      <c r="S927" s="163"/>
    </row>
    <row r="928" spans="5:19" x14ac:dyDescent="0.3">
      <c r="E928" s="163"/>
      <c r="K928" s="163"/>
      <c r="Q928" s="163"/>
      <c r="R928" s="163"/>
      <c r="S928" s="163"/>
    </row>
    <row r="929" spans="5:19" x14ac:dyDescent="0.3">
      <c r="E929" s="163"/>
      <c r="K929" s="163"/>
      <c r="Q929" s="163"/>
      <c r="R929" s="163"/>
      <c r="S929" s="163"/>
    </row>
    <row r="930" spans="5:19" x14ac:dyDescent="0.3">
      <c r="E930" s="163"/>
      <c r="K930" s="163"/>
      <c r="Q930" s="163"/>
      <c r="R930" s="163"/>
      <c r="S930" s="163"/>
    </row>
    <row r="931" spans="5:19" x14ac:dyDescent="0.3">
      <c r="E931" s="163"/>
      <c r="K931" s="163"/>
      <c r="Q931" s="163"/>
      <c r="R931" s="163"/>
      <c r="S931" s="163"/>
    </row>
    <row r="932" spans="5:19" x14ac:dyDescent="0.3">
      <c r="E932" s="163"/>
      <c r="K932" s="163"/>
      <c r="Q932" s="163"/>
      <c r="R932" s="163"/>
      <c r="S932" s="163"/>
    </row>
    <row r="933" spans="5:19" x14ac:dyDescent="0.3">
      <c r="E933" s="163"/>
      <c r="K933" s="163"/>
      <c r="Q933" s="163"/>
      <c r="R933" s="163"/>
      <c r="S933" s="163"/>
    </row>
    <row r="934" spans="5:19" x14ac:dyDescent="0.3">
      <c r="E934" s="163"/>
      <c r="K934" s="163"/>
      <c r="Q934" s="163"/>
      <c r="R934" s="163"/>
      <c r="S934" s="163"/>
    </row>
    <row r="935" spans="5:19" x14ac:dyDescent="0.3">
      <c r="E935" s="163"/>
      <c r="K935" s="163"/>
      <c r="Q935" s="163"/>
      <c r="R935" s="163"/>
      <c r="S935" s="163"/>
    </row>
    <row r="936" spans="5:19" x14ac:dyDescent="0.3">
      <c r="E936" s="163"/>
      <c r="K936" s="163"/>
      <c r="Q936" s="163"/>
      <c r="R936" s="163"/>
      <c r="S936" s="163"/>
    </row>
    <row r="937" spans="5:19" x14ac:dyDescent="0.3">
      <c r="E937" s="163"/>
      <c r="K937" s="163"/>
      <c r="Q937" s="163"/>
      <c r="R937" s="163"/>
      <c r="S937" s="163"/>
    </row>
    <row r="938" spans="5:19" x14ac:dyDescent="0.3">
      <c r="E938" s="163"/>
      <c r="K938" s="163"/>
      <c r="Q938" s="163"/>
      <c r="R938" s="163"/>
      <c r="S938" s="163"/>
    </row>
    <row r="939" spans="5:19" x14ac:dyDescent="0.3">
      <c r="E939" s="163"/>
      <c r="K939" s="163"/>
      <c r="Q939" s="163"/>
      <c r="R939" s="163"/>
      <c r="S939" s="163"/>
    </row>
    <row r="940" spans="5:19" x14ac:dyDescent="0.3">
      <c r="E940" s="163"/>
      <c r="K940" s="163"/>
      <c r="Q940" s="163"/>
      <c r="R940" s="163"/>
      <c r="S940" s="163"/>
    </row>
    <row r="941" spans="5:19" x14ac:dyDescent="0.3">
      <c r="E941" s="163"/>
      <c r="K941" s="163"/>
      <c r="Q941" s="163"/>
      <c r="R941" s="163"/>
      <c r="S941" s="163"/>
    </row>
    <row r="942" spans="5:19" x14ac:dyDescent="0.3">
      <c r="E942" s="163"/>
      <c r="K942" s="163"/>
      <c r="Q942" s="163"/>
      <c r="R942" s="163"/>
      <c r="S942" s="163"/>
    </row>
    <row r="943" spans="5:19" x14ac:dyDescent="0.3">
      <c r="E943" s="163"/>
      <c r="K943" s="163"/>
      <c r="Q943" s="163"/>
      <c r="R943" s="163"/>
      <c r="S943" s="163"/>
    </row>
    <row r="944" spans="5:19" x14ac:dyDescent="0.3">
      <c r="E944" s="163"/>
      <c r="K944" s="163"/>
      <c r="Q944" s="163"/>
      <c r="R944" s="163"/>
      <c r="S944" s="163"/>
    </row>
    <row r="945" spans="5:19" x14ac:dyDescent="0.3">
      <c r="E945" s="163"/>
      <c r="K945" s="163"/>
      <c r="Q945" s="163"/>
      <c r="R945" s="163"/>
      <c r="S945" s="163"/>
    </row>
    <row r="946" spans="5:19" x14ac:dyDescent="0.3">
      <c r="E946" s="163"/>
      <c r="K946" s="163"/>
      <c r="Q946" s="163"/>
      <c r="R946" s="163"/>
      <c r="S946" s="163"/>
    </row>
    <row r="947" spans="5:19" x14ac:dyDescent="0.3">
      <c r="E947" s="163"/>
      <c r="K947" s="163"/>
      <c r="Q947" s="163"/>
      <c r="R947" s="163"/>
      <c r="S947" s="163"/>
    </row>
    <row r="948" spans="5:19" x14ac:dyDescent="0.3">
      <c r="E948" s="163"/>
      <c r="K948" s="163"/>
      <c r="Q948" s="163"/>
      <c r="R948" s="163"/>
      <c r="S948" s="163"/>
    </row>
    <row r="949" spans="5:19" x14ac:dyDescent="0.3">
      <c r="E949" s="163"/>
      <c r="K949" s="163"/>
      <c r="Q949" s="163"/>
      <c r="R949" s="163"/>
      <c r="S949" s="163"/>
    </row>
    <row r="950" spans="5:19" x14ac:dyDescent="0.3">
      <c r="E950" s="163"/>
      <c r="K950" s="163"/>
      <c r="Q950" s="163"/>
      <c r="R950" s="163"/>
      <c r="S950" s="163"/>
    </row>
    <row r="951" spans="5:19" x14ac:dyDescent="0.3">
      <c r="E951" s="163"/>
      <c r="K951" s="163"/>
      <c r="Q951" s="163"/>
      <c r="R951" s="163"/>
      <c r="S951" s="163"/>
    </row>
    <row r="952" spans="5:19" x14ac:dyDescent="0.3">
      <c r="E952" s="163"/>
      <c r="K952" s="163"/>
      <c r="Q952" s="163"/>
      <c r="R952" s="163"/>
      <c r="S952" s="163"/>
    </row>
    <row r="953" spans="5:19" x14ac:dyDescent="0.3">
      <c r="E953" s="163"/>
      <c r="K953" s="163"/>
      <c r="Q953" s="163"/>
      <c r="R953" s="163"/>
      <c r="S953" s="163"/>
    </row>
    <row r="954" spans="5:19" x14ac:dyDescent="0.3">
      <c r="E954" s="163"/>
      <c r="K954" s="163"/>
      <c r="Q954" s="163"/>
      <c r="R954" s="163"/>
      <c r="S954" s="163"/>
    </row>
    <row r="955" spans="5:19" x14ac:dyDescent="0.3">
      <c r="E955" s="163"/>
      <c r="K955" s="163"/>
      <c r="Q955" s="163"/>
      <c r="R955" s="163"/>
      <c r="S955" s="163"/>
    </row>
    <row r="956" spans="5:19" x14ac:dyDescent="0.3">
      <c r="E956" s="163"/>
      <c r="K956" s="163"/>
      <c r="Q956" s="163"/>
      <c r="R956" s="163"/>
      <c r="S956" s="163"/>
    </row>
    <row r="957" spans="5:19" x14ac:dyDescent="0.3">
      <c r="E957" s="163"/>
      <c r="K957" s="163"/>
      <c r="Q957" s="163"/>
      <c r="R957" s="163"/>
      <c r="S957" s="163"/>
    </row>
    <row r="958" spans="5:19" x14ac:dyDescent="0.3">
      <c r="E958" s="163"/>
      <c r="K958" s="163"/>
      <c r="Q958" s="163"/>
      <c r="R958" s="163"/>
      <c r="S958" s="163"/>
    </row>
    <row r="959" spans="5:19" x14ac:dyDescent="0.3">
      <c r="E959" s="163"/>
      <c r="K959" s="163"/>
      <c r="Q959" s="163"/>
      <c r="R959" s="163"/>
      <c r="S959" s="163"/>
    </row>
    <row r="960" spans="5:19" x14ac:dyDescent="0.3">
      <c r="E960" s="163"/>
      <c r="K960" s="163"/>
      <c r="Q960" s="163"/>
      <c r="R960" s="163"/>
      <c r="S960" s="163"/>
    </row>
    <row r="961" spans="5:19" x14ac:dyDescent="0.3">
      <c r="E961" s="163"/>
      <c r="K961" s="163"/>
      <c r="Q961" s="163"/>
      <c r="R961" s="163"/>
      <c r="S961" s="163"/>
    </row>
    <row r="962" spans="5:19" x14ac:dyDescent="0.3">
      <c r="E962" s="163"/>
      <c r="K962" s="163"/>
      <c r="Q962" s="163"/>
      <c r="R962" s="163"/>
      <c r="S962" s="163"/>
    </row>
    <row r="963" spans="5:19" x14ac:dyDescent="0.3">
      <c r="E963" s="163"/>
      <c r="K963" s="163"/>
      <c r="Q963" s="163"/>
      <c r="R963" s="163"/>
      <c r="S963" s="163"/>
    </row>
    <row r="964" spans="5:19" x14ac:dyDescent="0.3">
      <c r="E964" s="163"/>
      <c r="K964" s="163"/>
      <c r="Q964" s="163"/>
      <c r="R964" s="163"/>
      <c r="S964" s="163"/>
    </row>
    <row r="965" spans="5:19" x14ac:dyDescent="0.3">
      <c r="E965" s="163"/>
      <c r="K965" s="163"/>
      <c r="Q965" s="163"/>
      <c r="R965" s="163"/>
      <c r="S965" s="163"/>
    </row>
    <row r="966" spans="5:19" x14ac:dyDescent="0.3">
      <c r="E966" s="163"/>
      <c r="K966" s="163"/>
      <c r="Q966" s="163"/>
      <c r="R966" s="163"/>
      <c r="S966" s="163"/>
    </row>
    <row r="967" spans="5:19" x14ac:dyDescent="0.3">
      <c r="E967" s="163"/>
      <c r="K967" s="163"/>
      <c r="Q967" s="163"/>
      <c r="R967" s="163"/>
      <c r="S967" s="163"/>
    </row>
    <row r="968" spans="5:19" x14ac:dyDescent="0.3">
      <c r="E968" s="163"/>
      <c r="K968" s="163"/>
      <c r="Q968" s="163"/>
      <c r="R968" s="163"/>
      <c r="S968" s="163"/>
    </row>
    <row r="969" spans="5:19" x14ac:dyDescent="0.3">
      <c r="E969" s="163"/>
      <c r="K969" s="163"/>
      <c r="Q969" s="163"/>
      <c r="R969" s="163"/>
      <c r="S969" s="163"/>
    </row>
    <row r="970" spans="5:19" x14ac:dyDescent="0.3">
      <c r="E970" s="163"/>
      <c r="K970" s="163"/>
      <c r="Q970" s="163"/>
      <c r="R970" s="163"/>
      <c r="S970" s="163"/>
    </row>
    <row r="971" spans="5:19" x14ac:dyDescent="0.3">
      <c r="E971" s="163"/>
      <c r="K971" s="163"/>
      <c r="Q971" s="163"/>
      <c r="R971" s="163"/>
      <c r="S971" s="163"/>
    </row>
    <row r="972" spans="5:19" x14ac:dyDescent="0.3">
      <c r="E972" s="163"/>
      <c r="K972" s="163"/>
      <c r="Q972" s="163"/>
      <c r="R972" s="163"/>
      <c r="S972" s="163"/>
    </row>
    <row r="973" spans="5:19" x14ac:dyDescent="0.3">
      <c r="E973" s="163"/>
      <c r="K973" s="163"/>
      <c r="Q973" s="163"/>
      <c r="R973" s="163"/>
      <c r="S973" s="163"/>
    </row>
    <row r="974" spans="5:19" x14ac:dyDescent="0.3">
      <c r="E974" s="163"/>
      <c r="K974" s="163"/>
      <c r="Q974" s="163"/>
      <c r="R974" s="163"/>
      <c r="S974" s="163"/>
    </row>
    <row r="975" spans="5:19" x14ac:dyDescent="0.3">
      <c r="E975" s="163"/>
      <c r="K975" s="163"/>
      <c r="Q975" s="163"/>
      <c r="R975" s="163"/>
      <c r="S975" s="163"/>
    </row>
    <row r="976" spans="5:19" x14ac:dyDescent="0.3">
      <c r="E976" s="163"/>
      <c r="K976" s="163"/>
      <c r="Q976" s="163"/>
      <c r="R976" s="163"/>
      <c r="S976" s="163"/>
    </row>
    <row r="977" spans="5:19" x14ac:dyDescent="0.3">
      <c r="E977" s="163"/>
      <c r="K977" s="163"/>
      <c r="Q977" s="163"/>
      <c r="R977" s="163"/>
      <c r="S977" s="163"/>
    </row>
    <row r="978" spans="5:19" x14ac:dyDescent="0.3">
      <c r="E978" s="163"/>
      <c r="K978" s="163"/>
      <c r="Q978" s="163"/>
      <c r="R978" s="163"/>
      <c r="S978" s="163"/>
    </row>
    <row r="979" spans="5:19" x14ac:dyDescent="0.3">
      <c r="E979" s="163"/>
      <c r="K979" s="163"/>
      <c r="Q979" s="163"/>
      <c r="R979" s="163"/>
      <c r="S979" s="163"/>
    </row>
    <row r="980" spans="5:19" x14ac:dyDescent="0.3">
      <c r="E980" s="163"/>
      <c r="K980" s="163"/>
      <c r="Q980" s="163"/>
      <c r="R980" s="163"/>
      <c r="S980" s="163"/>
    </row>
    <row r="981" spans="5:19" x14ac:dyDescent="0.3">
      <c r="E981" s="163"/>
      <c r="K981" s="163"/>
      <c r="Q981" s="163"/>
      <c r="R981" s="163"/>
      <c r="S981" s="163"/>
    </row>
    <row r="982" spans="5:19" x14ac:dyDescent="0.3">
      <c r="E982" s="163"/>
      <c r="K982" s="163"/>
      <c r="Q982" s="163"/>
      <c r="R982" s="163"/>
      <c r="S982" s="163"/>
    </row>
    <row r="983" spans="5:19" x14ac:dyDescent="0.3">
      <c r="E983" s="163"/>
      <c r="K983" s="163"/>
      <c r="Q983" s="163"/>
      <c r="R983" s="163"/>
      <c r="S983" s="163"/>
    </row>
    <row r="984" spans="5:19" x14ac:dyDescent="0.3">
      <c r="E984" s="163"/>
      <c r="K984" s="163"/>
      <c r="Q984" s="163"/>
      <c r="R984" s="163"/>
      <c r="S984" s="163"/>
    </row>
    <row r="985" spans="5:19" x14ac:dyDescent="0.3">
      <c r="E985" s="163"/>
      <c r="K985" s="163"/>
      <c r="Q985" s="163"/>
      <c r="R985" s="163"/>
      <c r="S985" s="163"/>
    </row>
    <row r="986" spans="5:19" x14ac:dyDescent="0.3">
      <c r="E986" s="163"/>
      <c r="K986" s="163"/>
      <c r="Q986" s="163"/>
      <c r="R986" s="163"/>
      <c r="S986" s="163"/>
    </row>
    <row r="987" spans="5:19" x14ac:dyDescent="0.3">
      <c r="E987" s="163"/>
      <c r="K987" s="163"/>
      <c r="Q987" s="163"/>
      <c r="R987" s="163"/>
      <c r="S987" s="163"/>
    </row>
    <row r="988" spans="5:19" x14ac:dyDescent="0.3">
      <c r="E988" s="163"/>
      <c r="K988" s="163"/>
      <c r="Q988" s="163"/>
      <c r="R988" s="163"/>
      <c r="S988" s="163"/>
    </row>
    <row r="989" spans="5:19" x14ac:dyDescent="0.3">
      <c r="E989" s="163"/>
      <c r="K989" s="163"/>
      <c r="Q989" s="163"/>
      <c r="R989" s="163"/>
      <c r="S989" s="163"/>
    </row>
    <row r="990" spans="5:19" x14ac:dyDescent="0.3">
      <c r="E990" s="163"/>
      <c r="K990" s="163"/>
      <c r="Q990" s="163"/>
      <c r="R990" s="163"/>
      <c r="S990" s="163"/>
    </row>
    <row r="991" spans="5:19" x14ac:dyDescent="0.3">
      <c r="E991" s="163"/>
      <c r="K991" s="163"/>
      <c r="Q991" s="163"/>
      <c r="R991" s="163"/>
      <c r="S991" s="163"/>
    </row>
    <row r="992" spans="5:19" x14ac:dyDescent="0.3">
      <c r="E992" s="163"/>
      <c r="K992" s="163"/>
      <c r="Q992" s="163"/>
      <c r="R992" s="163"/>
      <c r="S992" s="163"/>
    </row>
    <row r="993" spans="5:19" x14ac:dyDescent="0.3">
      <c r="E993" s="163"/>
      <c r="K993" s="163"/>
      <c r="Q993" s="163"/>
      <c r="R993" s="163"/>
      <c r="S993" s="163"/>
    </row>
    <row r="994" spans="5:19" x14ac:dyDescent="0.3">
      <c r="E994" s="163"/>
      <c r="K994" s="163"/>
      <c r="Q994" s="163"/>
      <c r="R994" s="163"/>
      <c r="S994" s="163"/>
    </row>
    <row r="995" spans="5:19" x14ac:dyDescent="0.3">
      <c r="E995" s="163"/>
      <c r="K995" s="163"/>
      <c r="Q995" s="163"/>
      <c r="R995" s="163"/>
      <c r="S995" s="163"/>
    </row>
    <row r="996" spans="5:19" x14ac:dyDescent="0.3">
      <c r="E996" s="163"/>
      <c r="K996" s="163"/>
      <c r="Q996" s="163"/>
      <c r="R996" s="163"/>
      <c r="S996" s="163"/>
    </row>
    <row r="997" spans="5:19" x14ac:dyDescent="0.3">
      <c r="E997" s="163"/>
      <c r="K997" s="163"/>
      <c r="Q997" s="163"/>
      <c r="R997" s="163"/>
      <c r="S997" s="163"/>
    </row>
    <row r="998" spans="5:19" x14ac:dyDescent="0.3">
      <c r="E998" s="163"/>
      <c r="K998" s="163"/>
      <c r="Q998" s="163"/>
      <c r="R998" s="163"/>
      <c r="S998" s="163"/>
    </row>
    <row r="999" spans="5:19" x14ac:dyDescent="0.3">
      <c r="E999" s="163"/>
      <c r="K999" s="163"/>
      <c r="Q999" s="163"/>
      <c r="R999" s="163"/>
      <c r="S999" s="163"/>
    </row>
    <row r="1000" spans="5:19" x14ac:dyDescent="0.3">
      <c r="E1000" s="163"/>
      <c r="K1000" s="163"/>
      <c r="Q1000" s="163"/>
      <c r="R1000" s="163"/>
      <c r="S1000" s="163"/>
    </row>
    <row r="1001" spans="5:19" x14ac:dyDescent="0.3">
      <c r="E1001" s="163"/>
      <c r="K1001" s="163"/>
      <c r="Q1001" s="163"/>
      <c r="R1001" s="163"/>
      <c r="S1001" s="163"/>
    </row>
    <row r="1002" spans="5:19" x14ac:dyDescent="0.3">
      <c r="E1002" s="163"/>
      <c r="K1002" s="163"/>
      <c r="Q1002" s="163"/>
      <c r="R1002" s="163"/>
      <c r="S1002" s="163"/>
    </row>
    <row r="1003" spans="5:19" x14ac:dyDescent="0.3">
      <c r="E1003" s="163"/>
      <c r="K1003" s="163"/>
      <c r="Q1003" s="163"/>
      <c r="R1003" s="163"/>
      <c r="S1003" s="163"/>
    </row>
    <row r="1004" spans="5:19" x14ac:dyDescent="0.3">
      <c r="E1004" s="163"/>
      <c r="K1004" s="163"/>
      <c r="Q1004" s="163"/>
      <c r="R1004" s="163"/>
      <c r="S1004" s="163"/>
    </row>
    <row r="1005" spans="5:19" x14ac:dyDescent="0.3">
      <c r="E1005" s="163"/>
      <c r="K1005" s="163"/>
      <c r="Q1005" s="163"/>
      <c r="R1005" s="163"/>
      <c r="S1005" s="163"/>
    </row>
    <row r="1006" spans="5:19" x14ac:dyDescent="0.3">
      <c r="E1006" s="163"/>
      <c r="K1006" s="163"/>
      <c r="Q1006" s="163"/>
      <c r="R1006" s="163"/>
      <c r="S1006" s="163"/>
    </row>
    <row r="1007" spans="5:19" x14ac:dyDescent="0.3">
      <c r="E1007" s="163"/>
      <c r="K1007" s="163"/>
      <c r="Q1007" s="163"/>
      <c r="R1007" s="163"/>
      <c r="S1007" s="163"/>
    </row>
    <row r="1008" spans="5:19" x14ac:dyDescent="0.3">
      <c r="E1008" s="163"/>
      <c r="K1008" s="163"/>
      <c r="Q1008" s="163"/>
      <c r="R1008" s="163"/>
      <c r="S1008" s="163"/>
    </row>
    <row r="1009" spans="5:19" x14ac:dyDescent="0.3">
      <c r="E1009" s="163"/>
      <c r="K1009" s="163"/>
      <c r="Q1009" s="163"/>
      <c r="R1009" s="163"/>
      <c r="S1009" s="163"/>
    </row>
    <row r="1010" spans="5:19" x14ac:dyDescent="0.3">
      <c r="E1010" s="163"/>
      <c r="K1010" s="163"/>
      <c r="Q1010" s="163"/>
      <c r="R1010" s="163"/>
      <c r="S1010" s="163"/>
    </row>
    <row r="1011" spans="5:19" x14ac:dyDescent="0.3">
      <c r="E1011" s="163"/>
      <c r="K1011" s="163"/>
      <c r="Q1011" s="163"/>
      <c r="R1011" s="163"/>
      <c r="S1011" s="163"/>
    </row>
    <row r="1012" spans="5:19" x14ac:dyDescent="0.3">
      <c r="E1012" s="163"/>
      <c r="K1012" s="163"/>
      <c r="Q1012" s="163"/>
      <c r="R1012" s="163"/>
      <c r="S1012" s="163"/>
    </row>
    <row r="1013" spans="5:19" x14ac:dyDescent="0.3">
      <c r="E1013" s="163"/>
      <c r="K1013" s="163"/>
      <c r="Q1013" s="163"/>
      <c r="R1013" s="163"/>
      <c r="S1013" s="163"/>
    </row>
    <row r="1014" spans="5:19" x14ac:dyDescent="0.3">
      <c r="E1014" s="163"/>
      <c r="K1014" s="163"/>
      <c r="Q1014" s="163"/>
      <c r="R1014" s="163"/>
      <c r="S1014" s="163"/>
    </row>
    <row r="1015" spans="5:19" x14ac:dyDescent="0.3">
      <c r="E1015" s="163"/>
      <c r="K1015" s="163"/>
      <c r="Q1015" s="163"/>
      <c r="R1015" s="163"/>
      <c r="S1015" s="163"/>
    </row>
    <row r="1016" spans="5:19" x14ac:dyDescent="0.3">
      <c r="E1016" s="163"/>
      <c r="K1016" s="163"/>
      <c r="Q1016" s="163"/>
      <c r="R1016" s="163"/>
      <c r="S1016" s="163"/>
    </row>
    <row r="1017" spans="5:19" x14ac:dyDescent="0.3">
      <c r="E1017" s="163"/>
      <c r="K1017" s="163"/>
      <c r="Q1017" s="163"/>
      <c r="R1017" s="163"/>
      <c r="S1017" s="163"/>
    </row>
    <row r="1018" spans="5:19" x14ac:dyDescent="0.3">
      <c r="E1018" s="163"/>
      <c r="K1018" s="163"/>
      <c r="Q1018" s="163"/>
      <c r="R1018" s="163"/>
      <c r="S1018" s="163"/>
    </row>
    <row r="1019" spans="5:19" x14ac:dyDescent="0.3">
      <c r="E1019" s="163"/>
      <c r="K1019" s="163"/>
      <c r="Q1019" s="163"/>
      <c r="R1019" s="163"/>
      <c r="S1019" s="163"/>
    </row>
    <row r="1020" spans="5:19" x14ac:dyDescent="0.3">
      <c r="E1020" s="163"/>
      <c r="K1020" s="163"/>
      <c r="Q1020" s="163"/>
      <c r="R1020" s="163"/>
      <c r="S1020" s="163"/>
    </row>
    <row r="1021" spans="5:19" x14ac:dyDescent="0.3">
      <c r="E1021" s="163"/>
      <c r="K1021" s="163"/>
      <c r="Q1021" s="163"/>
      <c r="R1021" s="163"/>
      <c r="S1021" s="163"/>
    </row>
    <row r="1022" spans="5:19" x14ac:dyDescent="0.3">
      <c r="E1022" s="163"/>
      <c r="K1022" s="163"/>
      <c r="Q1022" s="163"/>
      <c r="R1022" s="163"/>
      <c r="S1022" s="163"/>
    </row>
    <row r="1023" spans="5:19" x14ac:dyDescent="0.3">
      <c r="E1023" s="163"/>
      <c r="K1023" s="163"/>
      <c r="Q1023" s="163"/>
      <c r="R1023" s="163"/>
      <c r="S1023" s="163"/>
    </row>
    <row r="1024" spans="5:19" x14ac:dyDescent="0.3">
      <c r="E1024" s="163"/>
      <c r="K1024" s="163"/>
      <c r="Q1024" s="163"/>
      <c r="R1024" s="163"/>
      <c r="S1024" s="163"/>
    </row>
    <row r="1025" spans="5:19" x14ac:dyDescent="0.3">
      <c r="E1025" s="163"/>
      <c r="K1025" s="163"/>
      <c r="Q1025" s="163"/>
      <c r="R1025" s="163"/>
      <c r="S1025" s="163"/>
    </row>
    <row r="1026" spans="5:19" x14ac:dyDescent="0.3">
      <c r="E1026" s="163"/>
      <c r="K1026" s="163"/>
      <c r="Q1026" s="163"/>
      <c r="R1026" s="163"/>
      <c r="S1026" s="163"/>
    </row>
    <row r="1027" spans="5:19" x14ac:dyDescent="0.3">
      <c r="E1027" s="163"/>
      <c r="K1027" s="163"/>
      <c r="Q1027" s="163"/>
      <c r="R1027" s="163"/>
      <c r="S1027" s="163"/>
    </row>
    <row r="1028" spans="5:19" x14ac:dyDescent="0.3">
      <c r="E1028" s="163"/>
      <c r="K1028" s="163"/>
      <c r="Q1028" s="163"/>
      <c r="R1028" s="163"/>
      <c r="S1028" s="163"/>
    </row>
    <row r="1029" spans="5:19" x14ac:dyDescent="0.3">
      <c r="E1029" s="163"/>
      <c r="K1029" s="163"/>
      <c r="Q1029" s="163"/>
      <c r="R1029" s="163"/>
      <c r="S1029" s="163"/>
    </row>
    <row r="1030" spans="5:19" x14ac:dyDescent="0.3">
      <c r="E1030" s="163"/>
      <c r="K1030" s="163"/>
      <c r="Q1030" s="163"/>
      <c r="R1030" s="163"/>
      <c r="S1030" s="163"/>
    </row>
    <row r="1031" spans="5:19" x14ac:dyDescent="0.3">
      <c r="E1031" s="163"/>
      <c r="K1031" s="163"/>
      <c r="Q1031" s="163"/>
      <c r="R1031" s="163"/>
      <c r="S1031" s="163"/>
    </row>
    <row r="1032" spans="5:19" x14ac:dyDescent="0.3">
      <c r="E1032" s="163"/>
      <c r="K1032" s="163"/>
      <c r="Q1032" s="163"/>
      <c r="R1032" s="163"/>
      <c r="S1032" s="163"/>
    </row>
    <row r="1033" spans="5:19" x14ac:dyDescent="0.3">
      <c r="E1033" s="163"/>
      <c r="K1033" s="163"/>
      <c r="Q1033" s="163"/>
      <c r="R1033" s="163"/>
      <c r="S1033" s="163"/>
    </row>
    <row r="1034" spans="5:19" x14ac:dyDescent="0.3">
      <c r="E1034" s="163"/>
      <c r="K1034" s="163"/>
      <c r="Q1034" s="163"/>
      <c r="R1034" s="163"/>
      <c r="S1034" s="163"/>
    </row>
    <row r="1035" spans="5:19" x14ac:dyDescent="0.3">
      <c r="E1035" s="163"/>
      <c r="K1035" s="163"/>
      <c r="Q1035" s="163"/>
      <c r="R1035" s="163"/>
      <c r="S1035" s="163"/>
    </row>
    <row r="1036" spans="5:19" x14ac:dyDescent="0.3">
      <c r="E1036" s="163"/>
      <c r="K1036" s="163"/>
      <c r="Q1036" s="163"/>
      <c r="R1036" s="163"/>
      <c r="S1036" s="163"/>
    </row>
    <row r="1037" spans="5:19" x14ac:dyDescent="0.3">
      <c r="E1037" s="163"/>
      <c r="K1037" s="163"/>
      <c r="Q1037" s="163"/>
      <c r="R1037" s="163"/>
      <c r="S1037" s="163"/>
    </row>
    <row r="1038" spans="5:19" x14ac:dyDescent="0.3">
      <c r="E1038" s="163"/>
      <c r="K1038" s="163"/>
      <c r="Q1038" s="163"/>
      <c r="R1038" s="163"/>
      <c r="S1038" s="163"/>
    </row>
    <row r="1039" spans="5:19" x14ac:dyDescent="0.3">
      <c r="E1039" s="163"/>
      <c r="K1039" s="163"/>
      <c r="Q1039" s="163"/>
      <c r="R1039" s="163"/>
      <c r="S1039" s="163"/>
    </row>
    <row r="1040" spans="5:19" x14ac:dyDescent="0.3">
      <c r="E1040" s="163"/>
      <c r="K1040" s="163"/>
      <c r="Q1040" s="163"/>
      <c r="R1040" s="163"/>
      <c r="S1040" s="163"/>
    </row>
    <row r="1041" spans="5:19" x14ac:dyDescent="0.3">
      <c r="E1041" s="163"/>
      <c r="K1041" s="163"/>
      <c r="Q1041" s="163"/>
      <c r="R1041" s="163"/>
      <c r="S1041" s="163"/>
    </row>
    <row r="1042" spans="5:19" x14ac:dyDescent="0.3">
      <c r="E1042" s="163"/>
      <c r="K1042" s="163"/>
      <c r="Q1042" s="163"/>
      <c r="R1042" s="163"/>
      <c r="S1042" s="163"/>
    </row>
    <row r="1043" spans="5:19" x14ac:dyDescent="0.3">
      <c r="E1043" s="163"/>
      <c r="K1043" s="163"/>
      <c r="Q1043" s="163"/>
      <c r="R1043" s="163"/>
      <c r="S1043" s="163"/>
    </row>
    <row r="1044" spans="5:19" x14ac:dyDescent="0.3">
      <c r="E1044" s="163"/>
      <c r="K1044" s="163"/>
      <c r="Q1044" s="163"/>
      <c r="R1044" s="163"/>
      <c r="S1044" s="163"/>
    </row>
    <row r="1045" spans="5:19" x14ac:dyDescent="0.3">
      <c r="E1045" s="163"/>
      <c r="K1045" s="163"/>
      <c r="Q1045" s="163"/>
      <c r="R1045" s="163"/>
      <c r="S1045" s="163"/>
    </row>
    <row r="1046" spans="5:19" x14ac:dyDescent="0.3">
      <c r="E1046" s="163"/>
      <c r="K1046" s="163"/>
      <c r="Q1046" s="163"/>
      <c r="R1046" s="163"/>
      <c r="S1046" s="163"/>
    </row>
    <row r="1047" spans="5:19" x14ac:dyDescent="0.3">
      <c r="E1047" s="163"/>
      <c r="K1047" s="163"/>
      <c r="Q1047" s="163"/>
      <c r="R1047" s="163"/>
      <c r="S1047" s="163"/>
    </row>
    <row r="1048" spans="5:19" x14ac:dyDescent="0.3">
      <c r="E1048" s="163"/>
      <c r="K1048" s="163"/>
      <c r="Q1048" s="163"/>
      <c r="R1048" s="163"/>
      <c r="S1048" s="163"/>
    </row>
    <row r="1049" spans="5:19" x14ac:dyDescent="0.3">
      <c r="E1049" s="163"/>
      <c r="K1049" s="163"/>
      <c r="Q1049" s="163"/>
      <c r="R1049" s="163"/>
      <c r="S1049" s="163"/>
    </row>
    <row r="1050" spans="5:19" x14ac:dyDescent="0.3">
      <c r="E1050" s="163"/>
      <c r="K1050" s="163"/>
      <c r="Q1050" s="163"/>
      <c r="R1050" s="163"/>
      <c r="S1050" s="163"/>
    </row>
    <row r="1051" spans="5:19" x14ac:dyDescent="0.3">
      <c r="E1051" s="163"/>
      <c r="K1051" s="163"/>
      <c r="Q1051" s="163"/>
      <c r="R1051" s="163"/>
      <c r="S1051" s="163"/>
    </row>
    <row r="1052" spans="5:19" x14ac:dyDescent="0.3">
      <c r="E1052" s="163"/>
      <c r="K1052" s="163"/>
      <c r="Q1052" s="163"/>
      <c r="R1052" s="163"/>
      <c r="S1052" s="163"/>
    </row>
    <row r="1053" spans="5:19" x14ac:dyDescent="0.3">
      <c r="E1053" s="163"/>
      <c r="K1053" s="163"/>
      <c r="Q1053" s="163"/>
      <c r="R1053" s="163"/>
      <c r="S1053" s="163"/>
    </row>
    <row r="1054" spans="5:19" x14ac:dyDescent="0.3">
      <c r="E1054" s="163"/>
      <c r="K1054" s="163"/>
      <c r="Q1054" s="163"/>
      <c r="R1054" s="163"/>
      <c r="S1054" s="163"/>
    </row>
    <row r="1055" spans="5:19" x14ac:dyDescent="0.3">
      <c r="E1055" s="163"/>
      <c r="K1055" s="163"/>
      <c r="Q1055" s="163"/>
      <c r="R1055" s="163"/>
      <c r="S1055" s="163"/>
    </row>
    <row r="1056" spans="5:19" x14ac:dyDescent="0.3">
      <c r="E1056" s="163"/>
      <c r="K1056" s="163"/>
      <c r="Q1056" s="163"/>
      <c r="R1056" s="163"/>
      <c r="S1056" s="163"/>
    </row>
    <row r="1057" spans="5:19" x14ac:dyDescent="0.3">
      <c r="E1057" s="163"/>
      <c r="K1057" s="163"/>
      <c r="Q1057" s="163"/>
      <c r="R1057" s="163"/>
      <c r="S1057" s="163"/>
    </row>
    <row r="1058" spans="5:19" x14ac:dyDescent="0.3">
      <c r="E1058" s="163"/>
      <c r="K1058" s="163"/>
      <c r="Q1058" s="163"/>
      <c r="R1058" s="163"/>
      <c r="S1058" s="163"/>
    </row>
    <row r="1059" spans="5:19" x14ac:dyDescent="0.3">
      <c r="E1059" s="163"/>
      <c r="K1059" s="163"/>
      <c r="Q1059" s="163"/>
      <c r="R1059" s="163"/>
      <c r="S1059" s="163"/>
    </row>
    <row r="1060" spans="5:19" x14ac:dyDescent="0.3">
      <c r="E1060" s="163"/>
      <c r="K1060" s="163"/>
      <c r="Q1060" s="163"/>
      <c r="R1060" s="163"/>
      <c r="S1060" s="163"/>
    </row>
    <row r="1061" spans="5:19" x14ac:dyDescent="0.3">
      <c r="E1061" s="163"/>
      <c r="K1061" s="163"/>
      <c r="Q1061" s="163"/>
      <c r="R1061" s="163"/>
      <c r="S1061" s="163"/>
    </row>
    <row r="1062" spans="5:19" x14ac:dyDescent="0.3">
      <c r="E1062" s="163"/>
      <c r="K1062" s="163"/>
      <c r="Q1062" s="163"/>
      <c r="R1062" s="163"/>
      <c r="S1062" s="163"/>
    </row>
    <row r="1063" spans="5:19" x14ac:dyDescent="0.3">
      <c r="E1063" s="163"/>
      <c r="K1063" s="163"/>
      <c r="Q1063" s="163"/>
      <c r="R1063" s="163"/>
      <c r="S1063" s="163"/>
    </row>
    <row r="1064" spans="5:19" x14ac:dyDescent="0.3">
      <c r="E1064" s="163"/>
      <c r="K1064" s="163"/>
      <c r="Q1064" s="163"/>
      <c r="R1064" s="163"/>
      <c r="S1064" s="163"/>
    </row>
    <row r="1065" spans="5:19" x14ac:dyDescent="0.3">
      <c r="E1065" s="163"/>
      <c r="K1065" s="163"/>
      <c r="Q1065" s="163"/>
      <c r="R1065" s="163"/>
      <c r="S1065" s="163"/>
    </row>
    <row r="1066" spans="5:19" x14ac:dyDescent="0.3">
      <c r="E1066" s="163"/>
      <c r="K1066" s="163"/>
      <c r="Q1066" s="163"/>
      <c r="R1066" s="163"/>
      <c r="S1066" s="163"/>
    </row>
    <row r="1067" spans="5:19" x14ac:dyDescent="0.3">
      <c r="E1067" s="163"/>
      <c r="K1067" s="163"/>
      <c r="Q1067" s="163"/>
      <c r="R1067" s="163"/>
      <c r="S1067" s="163"/>
    </row>
    <row r="1068" spans="5:19" x14ac:dyDescent="0.3">
      <c r="E1068" s="163"/>
      <c r="K1068" s="163"/>
      <c r="Q1068" s="163"/>
      <c r="R1068" s="163"/>
      <c r="S1068" s="163"/>
    </row>
    <row r="1069" spans="5:19" x14ac:dyDescent="0.3">
      <c r="E1069" s="163"/>
      <c r="K1069" s="163"/>
      <c r="Q1069" s="163"/>
      <c r="R1069" s="163"/>
      <c r="S1069" s="163"/>
    </row>
    <row r="1070" spans="5:19" x14ac:dyDescent="0.3">
      <c r="E1070" s="163"/>
      <c r="K1070" s="163"/>
      <c r="Q1070" s="163"/>
      <c r="R1070" s="163"/>
      <c r="S1070" s="163"/>
    </row>
    <row r="1071" spans="5:19" x14ac:dyDescent="0.3">
      <c r="E1071" s="163"/>
      <c r="K1071" s="163"/>
      <c r="Q1071" s="163"/>
      <c r="R1071" s="163"/>
      <c r="S1071" s="163"/>
    </row>
    <row r="1072" spans="5:19" x14ac:dyDescent="0.3">
      <c r="E1072" s="163"/>
      <c r="K1072" s="163"/>
      <c r="Q1072" s="163"/>
      <c r="R1072" s="163"/>
      <c r="S1072" s="163"/>
    </row>
    <row r="1073" spans="5:19" x14ac:dyDescent="0.3">
      <c r="E1073" s="163"/>
      <c r="K1073" s="163"/>
      <c r="Q1073" s="163"/>
      <c r="R1073" s="163"/>
      <c r="S1073" s="163"/>
    </row>
    <row r="1074" spans="5:19" x14ac:dyDescent="0.3">
      <c r="E1074" s="163"/>
      <c r="K1074" s="163"/>
      <c r="Q1074" s="163"/>
      <c r="R1074" s="163"/>
      <c r="S1074" s="163"/>
    </row>
    <row r="1075" spans="5:19" x14ac:dyDescent="0.3">
      <c r="E1075" s="163"/>
      <c r="K1075" s="163"/>
      <c r="Q1075" s="163"/>
      <c r="R1075" s="163"/>
      <c r="S1075" s="163"/>
    </row>
    <row r="1076" spans="5:19" x14ac:dyDescent="0.3">
      <c r="E1076" s="163"/>
      <c r="K1076" s="163"/>
      <c r="Q1076" s="163"/>
      <c r="R1076" s="163"/>
      <c r="S1076" s="163"/>
    </row>
    <row r="1077" spans="5:19" x14ac:dyDescent="0.3">
      <c r="E1077" s="163"/>
      <c r="K1077" s="163"/>
      <c r="Q1077" s="163"/>
      <c r="R1077" s="163"/>
      <c r="S1077" s="163"/>
    </row>
    <row r="1078" spans="5:19" x14ac:dyDescent="0.3">
      <c r="E1078" s="163"/>
      <c r="K1078" s="163"/>
      <c r="Q1078" s="163"/>
      <c r="R1078" s="163"/>
      <c r="S1078" s="163"/>
    </row>
    <row r="1079" spans="5:19" x14ac:dyDescent="0.3">
      <c r="E1079" s="163"/>
      <c r="K1079" s="163"/>
      <c r="Q1079" s="163"/>
      <c r="R1079" s="163"/>
      <c r="S1079" s="163"/>
    </row>
    <row r="1080" spans="5:19" x14ac:dyDescent="0.3">
      <c r="E1080" s="163"/>
      <c r="K1080" s="163"/>
      <c r="Q1080" s="163"/>
      <c r="R1080" s="163"/>
      <c r="S1080" s="163"/>
    </row>
    <row r="1081" spans="5:19" x14ac:dyDescent="0.3">
      <c r="E1081" s="163"/>
      <c r="K1081" s="163"/>
      <c r="Q1081" s="163"/>
      <c r="R1081" s="163"/>
      <c r="S1081" s="163"/>
    </row>
    <row r="1082" spans="5:19" x14ac:dyDescent="0.3">
      <c r="E1082" s="163"/>
      <c r="K1082" s="163"/>
      <c r="Q1082" s="163"/>
      <c r="R1082" s="163"/>
      <c r="S1082" s="163"/>
    </row>
    <row r="1083" spans="5:19" x14ac:dyDescent="0.3">
      <c r="E1083" s="163"/>
      <c r="K1083" s="163"/>
      <c r="Q1083" s="163"/>
      <c r="R1083" s="163"/>
      <c r="S1083" s="163"/>
    </row>
    <row r="1084" spans="5:19" x14ac:dyDescent="0.3">
      <c r="E1084" s="163"/>
      <c r="K1084" s="163"/>
      <c r="Q1084" s="163"/>
      <c r="R1084" s="163"/>
      <c r="S1084" s="163"/>
    </row>
    <row r="1085" spans="5:19" x14ac:dyDescent="0.3">
      <c r="E1085" s="163"/>
      <c r="K1085" s="163"/>
      <c r="Q1085" s="163"/>
      <c r="R1085" s="163"/>
      <c r="S1085" s="163"/>
    </row>
    <row r="1086" spans="5:19" x14ac:dyDescent="0.3">
      <c r="E1086" s="163"/>
      <c r="K1086" s="163"/>
      <c r="Q1086" s="163"/>
      <c r="R1086" s="163"/>
      <c r="S1086" s="163"/>
    </row>
    <row r="1087" spans="5:19" x14ac:dyDescent="0.3">
      <c r="E1087" s="163"/>
      <c r="K1087" s="163"/>
      <c r="Q1087" s="163"/>
      <c r="R1087" s="163"/>
      <c r="S1087" s="163"/>
    </row>
    <row r="1088" spans="5:19" x14ac:dyDescent="0.3">
      <c r="E1088" s="163"/>
      <c r="K1088" s="163"/>
      <c r="Q1088" s="163"/>
      <c r="R1088" s="163"/>
      <c r="S1088" s="163"/>
    </row>
    <row r="1089" spans="5:19" x14ac:dyDescent="0.3">
      <c r="E1089" s="163"/>
      <c r="K1089" s="163"/>
      <c r="Q1089" s="163"/>
      <c r="R1089" s="163"/>
      <c r="S1089" s="163"/>
    </row>
    <row r="1090" spans="5:19" x14ac:dyDescent="0.3">
      <c r="E1090" s="163"/>
      <c r="K1090" s="163"/>
      <c r="Q1090" s="163"/>
      <c r="R1090" s="163"/>
      <c r="S1090" s="163"/>
    </row>
    <row r="1091" spans="5:19" x14ac:dyDescent="0.3">
      <c r="E1091" s="163"/>
      <c r="K1091" s="163"/>
      <c r="Q1091" s="163"/>
      <c r="R1091" s="163"/>
      <c r="S1091" s="163"/>
    </row>
    <row r="1092" spans="5:19" x14ac:dyDescent="0.3">
      <c r="E1092" s="163"/>
      <c r="K1092" s="163"/>
      <c r="Q1092" s="163"/>
      <c r="R1092" s="163"/>
      <c r="S1092" s="163"/>
    </row>
    <row r="1093" spans="5:19" x14ac:dyDescent="0.3">
      <c r="E1093" s="163"/>
      <c r="K1093" s="163"/>
      <c r="Q1093" s="163"/>
      <c r="R1093" s="163"/>
      <c r="S1093" s="163"/>
    </row>
    <row r="1094" spans="5:19" x14ac:dyDescent="0.3">
      <c r="E1094" s="163"/>
      <c r="K1094" s="163"/>
      <c r="Q1094" s="163"/>
      <c r="R1094" s="163"/>
      <c r="S1094" s="163"/>
    </row>
    <row r="1095" spans="5:19" x14ac:dyDescent="0.3">
      <c r="E1095" s="163"/>
      <c r="K1095" s="163"/>
      <c r="Q1095" s="163"/>
      <c r="R1095" s="163"/>
      <c r="S1095" s="163"/>
    </row>
    <row r="1096" spans="5:19" x14ac:dyDescent="0.3">
      <c r="E1096" s="163"/>
      <c r="K1096" s="163"/>
      <c r="Q1096" s="163"/>
      <c r="R1096" s="163"/>
      <c r="S1096" s="163"/>
    </row>
    <row r="1097" spans="5:19" x14ac:dyDescent="0.3">
      <c r="E1097" s="163"/>
      <c r="K1097" s="163"/>
      <c r="Q1097" s="163"/>
      <c r="R1097" s="163"/>
      <c r="S1097" s="163"/>
    </row>
    <row r="1098" spans="5:19" x14ac:dyDescent="0.3">
      <c r="E1098" s="163"/>
      <c r="K1098" s="163"/>
      <c r="Q1098" s="163"/>
      <c r="R1098" s="163"/>
      <c r="S1098" s="163"/>
    </row>
    <row r="1099" spans="5:19" x14ac:dyDescent="0.3">
      <c r="E1099" s="163"/>
      <c r="K1099" s="163"/>
      <c r="Q1099" s="163"/>
      <c r="R1099" s="163"/>
      <c r="S1099" s="163"/>
    </row>
    <row r="1100" spans="5:19" x14ac:dyDescent="0.3">
      <c r="E1100" s="163"/>
      <c r="K1100" s="163"/>
      <c r="Q1100" s="163"/>
      <c r="R1100" s="163"/>
      <c r="S1100" s="163"/>
    </row>
    <row r="1101" spans="5:19" x14ac:dyDescent="0.3">
      <c r="E1101" s="163"/>
      <c r="K1101" s="163"/>
      <c r="Q1101" s="163"/>
      <c r="R1101" s="163"/>
      <c r="S1101" s="163"/>
    </row>
    <row r="1102" spans="5:19" x14ac:dyDescent="0.3">
      <c r="E1102" s="163"/>
      <c r="K1102" s="163"/>
      <c r="Q1102" s="163"/>
      <c r="R1102" s="163"/>
      <c r="S1102" s="163"/>
    </row>
    <row r="1103" spans="5:19" x14ac:dyDescent="0.3">
      <c r="E1103" s="163"/>
      <c r="K1103" s="163"/>
      <c r="Q1103" s="163"/>
      <c r="R1103" s="163"/>
      <c r="S1103" s="163"/>
    </row>
    <row r="1104" spans="5:19" x14ac:dyDescent="0.3">
      <c r="E1104" s="163"/>
      <c r="K1104" s="163"/>
      <c r="Q1104" s="163"/>
      <c r="R1104" s="163"/>
      <c r="S1104" s="163"/>
    </row>
    <row r="1105" spans="5:19" x14ac:dyDescent="0.3">
      <c r="E1105" s="163"/>
      <c r="K1105" s="163"/>
      <c r="Q1105" s="163"/>
      <c r="R1105" s="163"/>
      <c r="S1105" s="163"/>
    </row>
    <row r="1106" spans="5:19" x14ac:dyDescent="0.3">
      <c r="E1106" s="163"/>
      <c r="K1106" s="163"/>
      <c r="Q1106" s="163"/>
      <c r="R1106" s="163"/>
      <c r="S1106" s="163"/>
    </row>
    <row r="1107" spans="5:19" x14ac:dyDescent="0.3">
      <c r="E1107" s="163"/>
      <c r="K1107" s="163"/>
      <c r="Q1107" s="163"/>
      <c r="R1107" s="163"/>
      <c r="S1107" s="163"/>
    </row>
    <row r="1108" spans="5:19" x14ac:dyDescent="0.3">
      <c r="E1108" s="163"/>
      <c r="K1108" s="163"/>
      <c r="Q1108" s="163"/>
      <c r="R1108" s="163"/>
      <c r="S1108" s="163"/>
    </row>
    <row r="1109" spans="5:19" x14ac:dyDescent="0.3">
      <c r="E1109" s="163"/>
      <c r="K1109" s="163"/>
      <c r="Q1109" s="163"/>
      <c r="R1109" s="163"/>
      <c r="S1109" s="163"/>
    </row>
    <row r="1110" spans="5:19" x14ac:dyDescent="0.3">
      <c r="E1110" s="163"/>
      <c r="K1110" s="163"/>
      <c r="Q1110" s="163"/>
      <c r="R1110" s="163"/>
      <c r="S1110" s="163"/>
    </row>
    <row r="1111" spans="5:19" x14ac:dyDescent="0.3">
      <c r="E1111" s="163"/>
      <c r="K1111" s="163"/>
      <c r="Q1111" s="163"/>
      <c r="R1111" s="163"/>
      <c r="S1111" s="163"/>
    </row>
    <row r="1112" spans="5:19" x14ac:dyDescent="0.3">
      <c r="E1112" s="163"/>
      <c r="K1112" s="163"/>
      <c r="Q1112" s="163"/>
      <c r="R1112" s="163"/>
      <c r="S1112" s="163"/>
    </row>
    <row r="1113" spans="5:19" x14ac:dyDescent="0.3">
      <c r="E1113" s="163"/>
      <c r="K1113" s="163"/>
      <c r="Q1113" s="163"/>
      <c r="R1113" s="163"/>
      <c r="S1113" s="163"/>
    </row>
    <row r="1114" spans="5:19" x14ac:dyDescent="0.3">
      <c r="E1114" s="163"/>
      <c r="K1114" s="163"/>
      <c r="Q1114" s="163"/>
      <c r="R1114" s="163"/>
      <c r="S1114" s="163"/>
    </row>
    <row r="1115" spans="5:19" x14ac:dyDescent="0.3">
      <c r="E1115" s="163"/>
      <c r="K1115" s="163"/>
      <c r="Q1115" s="163"/>
      <c r="R1115" s="163"/>
      <c r="S1115" s="163"/>
    </row>
    <row r="1116" spans="5:19" x14ac:dyDescent="0.3">
      <c r="E1116" s="163"/>
      <c r="K1116" s="163"/>
      <c r="Q1116" s="163"/>
      <c r="R1116" s="163"/>
      <c r="S1116" s="163"/>
    </row>
    <row r="1117" spans="5:19" x14ac:dyDescent="0.3">
      <c r="E1117" s="163"/>
      <c r="K1117" s="163"/>
      <c r="Q1117" s="163"/>
      <c r="R1117" s="163"/>
      <c r="S1117" s="163"/>
    </row>
    <row r="1118" spans="5:19" x14ac:dyDescent="0.3">
      <c r="E1118" s="163"/>
      <c r="K1118" s="163"/>
      <c r="Q1118" s="163"/>
      <c r="R1118" s="163"/>
      <c r="S1118" s="163"/>
    </row>
    <row r="1119" spans="5:19" x14ac:dyDescent="0.3">
      <c r="E1119" s="163"/>
      <c r="K1119" s="163"/>
      <c r="Q1119" s="163"/>
      <c r="R1119" s="163"/>
      <c r="S1119" s="163"/>
    </row>
    <row r="1120" spans="5:19" x14ac:dyDescent="0.3">
      <c r="E1120" s="163"/>
      <c r="K1120" s="163"/>
      <c r="Q1120" s="163"/>
      <c r="R1120" s="163"/>
      <c r="S1120" s="163"/>
    </row>
    <row r="1121" spans="5:19" x14ac:dyDescent="0.3">
      <c r="E1121" s="163"/>
      <c r="K1121" s="163"/>
      <c r="Q1121" s="163"/>
      <c r="R1121" s="163"/>
      <c r="S1121" s="163"/>
    </row>
    <row r="1122" spans="5:19" x14ac:dyDescent="0.3">
      <c r="E1122" s="163"/>
      <c r="K1122" s="163"/>
      <c r="Q1122" s="163"/>
      <c r="R1122" s="163"/>
      <c r="S1122" s="163"/>
    </row>
    <row r="1123" spans="5:19" x14ac:dyDescent="0.3">
      <c r="E1123" s="163"/>
      <c r="K1123" s="163"/>
      <c r="Q1123" s="163"/>
      <c r="R1123" s="163"/>
      <c r="S1123" s="163"/>
    </row>
    <row r="1124" spans="5:19" x14ac:dyDescent="0.3">
      <c r="E1124" s="163"/>
      <c r="K1124" s="163"/>
      <c r="Q1124" s="163"/>
      <c r="R1124" s="163"/>
      <c r="S1124" s="163"/>
    </row>
    <row r="1125" spans="5:19" x14ac:dyDescent="0.3">
      <c r="E1125" s="163"/>
      <c r="K1125" s="163"/>
      <c r="Q1125" s="163"/>
      <c r="R1125" s="163"/>
      <c r="S1125" s="163"/>
    </row>
    <row r="1126" spans="5:19" x14ac:dyDescent="0.3">
      <c r="E1126" s="163"/>
      <c r="K1126" s="163"/>
      <c r="Q1126" s="163"/>
      <c r="R1126" s="163"/>
      <c r="S1126" s="163"/>
    </row>
    <row r="1127" spans="5:19" x14ac:dyDescent="0.3">
      <c r="E1127" s="163"/>
      <c r="K1127" s="163"/>
      <c r="Q1127" s="163"/>
      <c r="R1127" s="163"/>
      <c r="S1127" s="163"/>
    </row>
    <row r="1128" spans="5:19" x14ac:dyDescent="0.3">
      <c r="E1128" s="163"/>
      <c r="K1128" s="163"/>
      <c r="Q1128" s="163"/>
      <c r="R1128" s="163"/>
      <c r="S1128" s="163"/>
    </row>
    <row r="1129" spans="5:19" x14ac:dyDescent="0.3">
      <c r="E1129" s="163"/>
      <c r="K1129" s="163"/>
      <c r="Q1129" s="163"/>
      <c r="R1129" s="163"/>
      <c r="S1129" s="163"/>
    </row>
    <row r="1130" spans="5:19" x14ac:dyDescent="0.3">
      <c r="E1130" s="163"/>
      <c r="K1130" s="163"/>
      <c r="Q1130" s="163"/>
      <c r="R1130" s="163"/>
      <c r="S1130" s="163"/>
    </row>
    <row r="1131" spans="5:19" x14ac:dyDescent="0.3">
      <c r="E1131" s="163"/>
      <c r="K1131" s="163"/>
      <c r="Q1131" s="163"/>
      <c r="R1131" s="163"/>
      <c r="S1131" s="163"/>
    </row>
    <row r="1132" spans="5:19" x14ac:dyDescent="0.3">
      <c r="E1132" s="163"/>
      <c r="K1132" s="163"/>
      <c r="Q1132" s="163"/>
      <c r="R1132" s="163"/>
      <c r="S1132" s="163"/>
    </row>
    <row r="1133" spans="5:19" x14ac:dyDescent="0.3">
      <c r="E1133" s="163"/>
      <c r="K1133" s="163"/>
      <c r="Q1133" s="163"/>
      <c r="R1133" s="163"/>
      <c r="S1133" s="163"/>
    </row>
    <row r="1134" spans="5:19" x14ac:dyDescent="0.3">
      <c r="E1134" s="163"/>
      <c r="K1134" s="163"/>
      <c r="Q1134" s="163"/>
      <c r="R1134" s="163"/>
      <c r="S1134" s="163"/>
    </row>
    <row r="1135" spans="5:19" x14ac:dyDescent="0.3">
      <c r="E1135" s="163"/>
      <c r="K1135" s="163"/>
      <c r="Q1135" s="163"/>
      <c r="R1135" s="163"/>
      <c r="S1135" s="163"/>
    </row>
    <row r="1136" spans="5:19" x14ac:dyDescent="0.3">
      <c r="E1136" s="163"/>
      <c r="K1136" s="163"/>
      <c r="Q1136" s="163"/>
      <c r="R1136" s="163"/>
      <c r="S1136" s="163"/>
    </row>
    <row r="1137" spans="5:19" x14ac:dyDescent="0.3">
      <c r="E1137" s="163"/>
      <c r="K1137" s="163"/>
      <c r="Q1137" s="163"/>
      <c r="R1137" s="163"/>
      <c r="S1137" s="163"/>
    </row>
    <row r="1138" spans="5:19" x14ac:dyDescent="0.3">
      <c r="E1138" s="163"/>
      <c r="K1138" s="163"/>
      <c r="Q1138" s="163"/>
      <c r="R1138" s="163"/>
      <c r="S1138" s="163"/>
    </row>
    <row r="1139" spans="5:19" x14ac:dyDescent="0.3">
      <c r="E1139" s="163"/>
      <c r="K1139" s="163"/>
      <c r="Q1139" s="163"/>
      <c r="R1139" s="163"/>
      <c r="S1139" s="163"/>
    </row>
    <row r="1140" spans="5:19" x14ac:dyDescent="0.3">
      <c r="E1140" s="163"/>
      <c r="K1140" s="163"/>
      <c r="Q1140" s="163"/>
      <c r="R1140" s="163"/>
      <c r="S1140" s="163"/>
    </row>
    <row r="1141" spans="5:19" x14ac:dyDescent="0.3">
      <c r="E1141" s="163"/>
      <c r="K1141" s="163"/>
      <c r="Q1141" s="163"/>
      <c r="R1141" s="163"/>
      <c r="S1141" s="163"/>
    </row>
    <row r="1142" spans="5:19" x14ac:dyDescent="0.3">
      <c r="E1142" s="163"/>
      <c r="K1142" s="163"/>
      <c r="Q1142" s="163"/>
      <c r="R1142" s="163"/>
      <c r="S1142" s="163"/>
    </row>
    <row r="1143" spans="5:19" x14ac:dyDescent="0.3">
      <c r="E1143" s="163"/>
      <c r="K1143" s="163"/>
      <c r="Q1143" s="163"/>
      <c r="R1143" s="163"/>
      <c r="S1143" s="163"/>
    </row>
    <row r="1144" spans="5:19" x14ac:dyDescent="0.3">
      <c r="E1144" s="163"/>
      <c r="K1144" s="163"/>
      <c r="Q1144" s="163"/>
      <c r="R1144" s="163"/>
      <c r="S1144" s="163"/>
    </row>
    <row r="1145" spans="5:19" x14ac:dyDescent="0.3">
      <c r="E1145" s="163"/>
      <c r="K1145" s="163"/>
      <c r="Q1145" s="163"/>
      <c r="R1145" s="163"/>
      <c r="S1145" s="163"/>
    </row>
    <row r="1146" spans="5:19" x14ac:dyDescent="0.3">
      <c r="E1146" s="163"/>
      <c r="K1146" s="163"/>
      <c r="Q1146" s="163"/>
      <c r="R1146" s="163"/>
      <c r="S1146" s="163"/>
    </row>
    <row r="1147" spans="5:19" x14ac:dyDescent="0.3">
      <c r="E1147" s="163"/>
      <c r="K1147" s="163"/>
      <c r="Q1147" s="163"/>
      <c r="R1147" s="163"/>
      <c r="S1147" s="163"/>
    </row>
    <row r="1148" spans="5:19" x14ac:dyDescent="0.3">
      <c r="E1148" s="163"/>
      <c r="K1148" s="163"/>
      <c r="Q1148" s="163"/>
      <c r="R1148" s="163"/>
      <c r="S1148" s="163"/>
    </row>
    <row r="1149" spans="5:19" x14ac:dyDescent="0.3">
      <c r="E1149" s="163"/>
      <c r="K1149" s="163"/>
      <c r="Q1149" s="163"/>
      <c r="R1149" s="163"/>
      <c r="S1149" s="163"/>
    </row>
    <row r="1150" spans="5:19" x14ac:dyDescent="0.3">
      <c r="E1150" s="163"/>
      <c r="K1150" s="163"/>
      <c r="Q1150" s="163"/>
      <c r="R1150" s="163"/>
      <c r="S1150" s="163"/>
    </row>
    <row r="1151" spans="5:19" x14ac:dyDescent="0.3">
      <c r="E1151" s="163"/>
      <c r="K1151" s="163"/>
      <c r="Q1151" s="163"/>
      <c r="R1151" s="163"/>
      <c r="S1151" s="163"/>
    </row>
    <row r="1152" spans="5:19" x14ac:dyDescent="0.3">
      <c r="E1152" s="163"/>
      <c r="K1152" s="163"/>
      <c r="Q1152" s="163"/>
      <c r="R1152" s="163"/>
      <c r="S1152" s="163"/>
    </row>
    <row r="1153" spans="5:19" x14ac:dyDescent="0.3">
      <c r="E1153" s="163"/>
      <c r="K1153" s="163"/>
      <c r="Q1153" s="163"/>
      <c r="R1153" s="163"/>
      <c r="S1153" s="163"/>
    </row>
    <row r="1154" spans="5:19" x14ac:dyDescent="0.3">
      <c r="E1154" s="163"/>
      <c r="K1154" s="163"/>
      <c r="Q1154" s="163"/>
      <c r="R1154" s="163"/>
      <c r="S1154" s="163"/>
    </row>
    <row r="1155" spans="5:19" x14ac:dyDescent="0.3">
      <c r="E1155" s="163"/>
      <c r="K1155" s="163"/>
      <c r="Q1155" s="163"/>
      <c r="R1155" s="163"/>
      <c r="S1155" s="163"/>
    </row>
    <row r="1156" spans="5:19" x14ac:dyDescent="0.3">
      <c r="E1156" s="163"/>
      <c r="K1156" s="163"/>
      <c r="Q1156" s="163"/>
      <c r="R1156" s="163"/>
      <c r="S1156" s="163"/>
    </row>
    <row r="1157" spans="5:19" x14ac:dyDescent="0.3">
      <c r="E1157" s="163"/>
      <c r="K1157" s="163"/>
      <c r="Q1157" s="163"/>
      <c r="R1157" s="163"/>
      <c r="S1157" s="163"/>
    </row>
    <row r="1158" spans="5:19" x14ac:dyDescent="0.3">
      <c r="E1158" s="163"/>
      <c r="K1158" s="163"/>
      <c r="Q1158" s="163"/>
      <c r="R1158" s="163"/>
      <c r="S1158" s="163"/>
    </row>
    <row r="1159" spans="5:19" x14ac:dyDescent="0.3">
      <c r="E1159" s="163"/>
      <c r="K1159" s="163"/>
      <c r="Q1159" s="163"/>
      <c r="R1159" s="163"/>
      <c r="S1159" s="163"/>
    </row>
    <row r="1160" spans="5:19" x14ac:dyDescent="0.3">
      <c r="E1160" s="163"/>
      <c r="K1160" s="163"/>
      <c r="Q1160" s="163"/>
      <c r="R1160" s="163"/>
      <c r="S1160" s="163"/>
    </row>
    <row r="1161" spans="5:19" x14ac:dyDescent="0.3">
      <c r="E1161" s="163"/>
      <c r="K1161" s="163"/>
      <c r="Q1161" s="163"/>
      <c r="R1161" s="163"/>
      <c r="S1161" s="163"/>
    </row>
    <row r="1162" spans="5:19" x14ac:dyDescent="0.3">
      <c r="E1162" s="163"/>
      <c r="K1162" s="163"/>
      <c r="Q1162" s="163"/>
      <c r="R1162" s="163"/>
      <c r="S1162" s="163"/>
    </row>
    <row r="1163" spans="5:19" x14ac:dyDescent="0.3">
      <c r="E1163" s="163"/>
      <c r="K1163" s="163"/>
      <c r="Q1163" s="163"/>
      <c r="R1163" s="163"/>
      <c r="S1163" s="163"/>
    </row>
    <row r="1164" spans="5:19" x14ac:dyDescent="0.3">
      <c r="E1164" s="163"/>
      <c r="K1164" s="163"/>
      <c r="Q1164" s="163"/>
      <c r="R1164" s="163"/>
      <c r="S1164" s="163"/>
    </row>
    <row r="1165" spans="5:19" x14ac:dyDescent="0.3">
      <c r="E1165" s="163"/>
      <c r="K1165" s="163"/>
      <c r="Q1165" s="163"/>
      <c r="R1165" s="163"/>
      <c r="S1165" s="163"/>
    </row>
    <row r="1166" spans="5:19" x14ac:dyDescent="0.3">
      <c r="E1166" s="163"/>
      <c r="K1166" s="163"/>
      <c r="Q1166" s="163"/>
      <c r="R1166" s="163"/>
      <c r="S1166" s="163"/>
    </row>
    <row r="1167" spans="5:19" x14ac:dyDescent="0.3">
      <c r="E1167" s="163"/>
      <c r="K1167" s="163"/>
      <c r="Q1167" s="163"/>
      <c r="R1167" s="163"/>
      <c r="S1167" s="163"/>
    </row>
    <row r="1168" spans="5:19" x14ac:dyDescent="0.3">
      <c r="E1168" s="163"/>
      <c r="K1168" s="163"/>
      <c r="Q1168" s="163"/>
      <c r="R1168" s="163"/>
      <c r="S1168" s="163"/>
    </row>
    <row r="1169" spans="5:19" x14ac:dyDescent="0.3">
      <c r="E1169" s="163"/>
      <c r="K1169" s="163"/>
      <c r="Q1169" s="163"/>
      <c r="R1169" s="163"/>
      <c r="S1169" s="163"/>
    </row>
    <row r="1170" spans="5:19" x14ac:dyDescent="0.3">
      <c r="E1170" s="163"/>
      <c r="K1170" s="163"/>
      <c r="Q1170" s="163"/>
      <c r="R1170" s="163"/>
      <c r="S1170" s="163"/>
    </row>
    <row r="1171" spans="5:19" x14ac:dyDescent="0.3">
      <c r="E1171" s="163"/>
      <c r="K1171" s="163"/>
      <c r="Q1171" s="163"/>
      <c r="R1171" s="163"/>
      <c r="S1171" s="163"/>
    </row>
    <row r="1172" spans="5:19" x14ac:dyDescent="0.3">
      <c r="E1172" s="163"/>
      <c r="K1172" s="163"/>
      <c r="Q1172" s="163"/>
      <c r="R1172" s="163"/>
      <c r="S1172" s="163"/>
    </row>
    <row r="1173" spans="5:19" x14ac:dyDescent="0.3">
      <c r="E1173" s="163"/>
      <c r="K1173" s="163"/>
      <c r="Q1173" s="163"/>
      <c r="R1173" s="163"/>
      <c r="S1173" s="163"/>
    </row>
    <row r="1174" spans="5:19" x14ac:dyDescent="0.3">
      <c r="E1174" s="163"/>
      <c r="K1174" s="163"/>
      <c r="Q1174" s="163"/>
      <c r="R1174" s="163"/>
      <c r="S1174" s="163"/>
    </row>
    <row r="1175" spans="5:19" x14ac:dyDescent="0.3">
      <c r="E1175" s="163"/>
      <c r="K1175" s="163"/>
      <c r="Q1175" s="163"/>
      <c r="R1175" s="163"/>
      <c r="S1175" s="163"/>
    </row>
    <row r="1176" spans="5:19" x14ac:dyDescent="0.3">
      <c r="E1176" s="163"/>
      <c r="K1176" s="163"/>
      <c r="Q1176" s="163"/>
      <c r="R1176" s="163"/>
      <c r="S1176" s="163"/>
    </row>
    <row r="1177" spans="5:19" x14ac:dyDescent="0.3">
      <c r="E1177" s="163"/>
      <c r="K1177" s="163"/>
      <c r="Q1177" s="163"/>
      <c r="R1177" s="163"/>
      <c r="S1177" s="163"/>
    </row>
    <row r="1178" spans="5:19" x14ac:dyDescent="0.3">
      <c r="E1178" s="163"/>
      <c r="K1178" s="163"/>
      <c r="Q1178" s="163"/>
      <c r="R1178" s="163"/>
      <c r="S1178" s="163"/>
    </row>
    <row r="1179" spans="5:19" x14ac:dyDescent="0.3">
      <c r="E1179" s="163"/>
      <c r="K1179" s="163"/>
      <c r="Q1179" s="163"/>
      <c r="R1179" s="163"/>
      <c r="S1179" s="163"/>
    </row>
    <row r="1180" spans="5:19" x14ac:dyDescent="0.3">
      <c r="E1180" s="163"/>
      <c r="K1180" s="163"/>
      <c r="Q1180" s="163"/>
      <c r="R1180" s="163"/>
      <c r="S1180" s="163"/>
    </row>
    <row r="1181" spans="5:19" x14ac:dyDescent="0.3">
      <c r="E1181" s="163"/>
      <c r="K1181" s="163"/>
      <c r="Q1181" s="163"/>
      <c r="R1181" s="163"/>
      <c r="S1181" s="163"/>
    </row>
    <row r="1182" spans="5:19" x14ac:dyDescent="0.3">
      <c r="E1182" s="163"/>
      <c r="K1182" s="163"/>
      <c r="Q1182" s="163"/>
      <c r="R1182" s="163"/>
      <c r="S1182" s="163"/>
    </row>
    <row r="1183" spans="5:19" x14ac:dyDescent="0.3">
      <c r="E1183" s="163"/>
      <c r="K1183" s="163"/>
      <c r="Q1183" s="163"/>
      <c r="R1183" s="163"/>
      <c r="S1183" s="163"/>
    </row>
    <row r="1184" spans="5:19" x14ac:dyDescent="0.3">
      <c r="E1184" s="163"/>
      <c r="K1184" s="163"/>
      <c r="Q1184" s="163"/>
      <c r="R1184" s="163"/>
      <c r="S1184" s="163"/>
    </row>
    <row r="1185" spans="5:19" x14ac:dyDescent="0.3">
      <c r="E1185" s="163"/>
      <c r="K1185" s="163"/>
      <c r="Q1185" s="163"/>
      <c r="R1185" s="163"/>
      <c r="S1185" s="163"/>
    </row>
    <row r="1186" spans="5:19" x14ac:dyDescent="0.3">
      <c r="E1186" s="163"/>
      <c r="K1186" s="163"/>
      <c r="Q1186" s="163"/>
      <c r="R1186" s="163"/>
      <c r="S1186" s="163"/>
    </row>
    <row r="1187" spans="5:19" x14ac:dyDescent="0.3">
      <c r="E1187" s="163"/>
      <c r="K1187" s="163"/>
      <c r="Q1187" s="163"/>
      <c r="R1187" s="163"/>
      <c r="S1187" s="163"/>
    </row>
    <row r="1188" spans="5:19" x14ac:dyDescent="0.3">
      <c r="E1188" s="163"/>
      <c r="K1188" s="163"/>
      <c r="Q1188" s="163"/>
      <c r="R1188" s="163"/>
      <c r="S1188" s="163"/>
    </row>
    <row r="1189" spans="5:19" x14ac:dyDescent="0.3">
      <c r="E1189" s="163"/>
      <c r="K1189" s="163"/>
      <c r="Q1189" s="163"/>
      <c r="R1189" s="163"/>
      <c r="S1189" s="163"/>
    </row>
    <row r="1190" spans="5:19" x14ac:dyDescent="0.3">
      <c r="E1190" s="163"/>
      <c r="K1190" s="163"/>
      <c r="Q1190" s="163"/>
      <c r="R1190" s="163"/>
      <c r="S1190" s="163"/>
    </row>
    <row r="1191" spans="5:19" x14ac:dyDescent="0.3">
      <c r="E1191" s="163"/>
      <c r="K1191" s="163"/>
      <c r="Q1191" s="163"/>
      <c r="R1191" s="163"/>
      <c r="S1191" s="163"/>
    </row>
    <row r="1192" spans="5:19" x14ac:dyDescent="0.3">
      <c r="E1192" s="163"/>
      <c r="K1192" s="163"/>
      <c r="Q1192" s="163"/>
      <c r="R1192" s="163"/>
      <c r="S1192" s="163"/>
    </row>
    <row r="1193" spans="5:19" x14ac:dyDescent="0.3">
      <c r="E1193" s="163"/>
      <c r="K1193" s="163"/>
      <c r="Q1193" s="163"/>
      <c r="R1193" s="163"/>
      <c r="S1193" s="163"/>
    </row>
    <row r="1194" spans="5:19" x14ac:dyDescent="0.3">
      <c r="E1194" s="163"/>
      <c r="K1194" s="163"/>
      <c r="Q1194" s="163"/>
      <c r="R1194" s="163"/>
      <c r="S1194" s="163"/>
    </row>
    <row r="1195" spans="5:19" x14ac:dyDescent="0.3">
      <c r="E1195" s="163"/>
      <c r="K1195" s="163"/>
      <c r="Q1195" s="163"/>
      <c r="R1195" s="163"/>
      <c r="S1195" s="163"/>
    </row>
    <row r="1196" spans="5:19" x14ac:dyDescent="0.3">
      <c r="E1196" s="163"/>
      <c r="K1196" s="163"/>
      <c r="Q1196" s="163"/>
      <c r="R1196" s="163"/>
      <c r="S1196" s="163"/>
    </row>
    <row r="1197" spans="5:19" x14ac:dyDescent="0.3">
      <c r="E1197" s="163"/>
      <c r="K1197" s="163"/>
      <c r="Q1197" s="163"/>
      <c r="R1197" s="163"/>
      <c r="S1197" s="163"/>
    </row>
    <row r="1198" spans="5:19" x14ac:dyDescent="0.3">
      <c r="E1198" s="163"/>
      <c r="K1198" s="163"/>
      <c r="Q1198" s="163"/>
      <c r="R1198" s="163"/>
      <c r="S1198" s="163"/>
    </row>
    <row r="1199" spans="5:19" x14ac:dyDescent="0.3">
      <c r="E1199" s="163"/>
      <c r="K1199" s="163"/>
      <c r="Q1199" s="163"/>
      <c r="R1199" s="163"/>
      <c r="S1199" s="163"/>
    </row>
    <row r="1200" spans="5:19" x14ac:dyDescent="0.3">
      <c r="E1200" s="163"/>
      <c r="K1200" s="163"/>
      <c r="Q1200" s="163"/>
      <c r="R1200" s="163"/>
      <c r="S1200" s="163"/>
    </row>
    <row r="1201" spans="5:19" x14ac:dyDescent="0.3">
      <c r="E1201" s="163"/>
      <c r="K1201" s="163"/>
      <c r="Q1201" s="163"/>
      <c r="R1201" s="163"/>
      <c r="S1201" s="163"/>
    </row>
    <row r="1202" spans="5:19" x14ac:dyDescent="0.3">
      <c r="E1202" s="163"/>
      <c r="K1202" s="163"/>
      <c r="Q1202" s="163"/>
      <c r="R1202" s="163"/>
      <c r="S1202" s="163"/>
    </row>
    <row r="1203" spans="5:19" x14ac:dyDescent="0.3">
      <c r="E1203" s="163"/>
      <c r="K1203" s="163"/>
      <c r="Q1203" s="163"/>
      <c r="R1203" s="163"/>
      <c r="S1203" s="163"/>
    </row>
    <row r="1204" spans="5:19" x14ac:dyDescent="0.3">
      <c r="E1204" s="163"/>
      <c r="K1204" s="163"/>
      <c r="Q1204" s="163"/>
      <c r="R1204" s="163"/>
      <c r="S1204" s="163"/>
    </row>
    <row r="1205" spans="5:19" x14ac:dyDescent="0.3">
      <c r="E1205" s="163"/>
      <c r="K1205" s="163"/>
      <c r="Q1205" s="163"/>
      <c r="R1205" s="163"/>
      <c r="S1205" s="163"/>
    </row>
    <row r="1206" spans="5:19" x14ac:dyDescent="0.3">
      <c r="E1206" s="163"/>
      <c r="K1206" s="163"/>
      <c r="Q1206" s="163"/>
      <c r="R1206" s="163"/>
      <c r="S1206" s="163"/>
    </row>
    <row r="1207" spans="5:19" x14ac:dyDescent="0.3">
      <c r="E1207" s="163"/>
      <c r="K1207" s="163"/>
      <c r="Q1207" s="163"/>
      <c r="R1207" s="163"/>
      <c r="S1207" s="163"/>
    </row>
    <row r="1208" spans="5:19" x14ac:dyDescent="0.3">
      <c r="E1208" s="163"/>
      <c r="K1208" s="163"/>
      <c r="Q1208" s="163"/>
      <c r="R1208" s="163"/>
      <c r="S1208" s="163"/>
    </row>
    <row r="1209" spans="5:19" x14ac:dyDescent="0.3">
      <c r="E1209" s="163"/>
      <c r="K1209" s="163"/>
      <c r="Q1209" s="163"/>
      <c r="R1209" s="163"/>
      <c r="S1209" s="163"/>
    </row>
    <row r="1210" spans="5:19" x14ac:dyDescent="0.3">
      <c r="E1210" s="163"/>
      <c r="K1210" s="163"/>
      <c r="Q1210" s="163"/>
      <c r="R1210" s="163"/>
      <c r="S1210" s="163"/>
    </row>
    <row r="1211" spans="5:19" x14ac:dyDescent="0.3">
      <c r="E1211" s="163"/>
      <c r="K1211" s="163"/>
      <c r="Q1211" s="163"/>
      <c r="R1211" s="163"/>
      <c r="S1211" s="163"/>
    </row>
    <row r="1212" spans="5:19" x14ac:dyDescent="0.3">
      <c r="E1212" s="163"/>
      <c r="K1212" s="163"/>
      <c r="Q1212" s="163"/>
      <c r="R1212" s="163"/>
      <c r="S1212" s="163"/>
    </row>
    <row r="1213" spans="5:19" x14ac:dyDescent="0.3">
      <c r="E1213" s="163"/>
      <c r="K1213" s="163"/>
      <c r="Q1213" s="163"/>
      <c r="R1213" s="163"/>
      <c r="S1213" s="163"/>
    </row>
    <row r="1214" spans="5:19" x14ac:dyDescent="0.3">
      <c r="E1214" s="163"/>
      <c r="K1214" s="163"/>
      <c r="Q1214" s="163"/>
      <c r="R1214" s="163"/>
      <c r="S1214" s="163"/>
    </row>
    <row r="1215" spans="5:19" x14ac:dyDescent="0.3">
      <c r="E1215" s="163"/>
      <c r="K1215" s="163"/>
      <c r="Q1215" s="163"/>
      <c r="R1215" s="163"/>
      <c r="S1215" s="163"/>
    </row>
    <row r="1216" spans="5:19" x14ac:dyDescent="0.3">
      <c r="E1216" s="163"/>
      <c r="K1216" s="163"/>
      <c r="Q1216" s="163"/>
      <c r="R1216" s="163"/>
      <c r="S1216" s="163"/>
    </row>
    <row r="1217" spans="5:19" x14ac:dyDescent="0.3">
      <c r="E1217" s="163"/>
      <c r="K1217" s="163"/>
      <c r="Q1217" s="163"/>
      <c r="R1217" s="163"/>
      <c r="S1217" s="163"/>
    </row>
    <row r="1218" spans="5:19" x14ac:dyDescent="0.3">
      <c r="E1218" s="163"/>
      <c r="K1218" s="163"/>
      <c r="Q1218" s="163"/>
      <c r="R1218" s="163"/>
      <c r="S1218" s="163"/>
    </row>
    <row r="1219" spans="5:19" x14ac:dyDescent="0.3">
      <c r="E1219" s="163"/>
      <c r="K1219" s="163"/>
      <c r="Q1219" s="163"/>
      <c r="R1219" s="163"/>
      <c r="S1219" s="163"/>
    </row>
    <row r="1220" spans="5:19" x14ac:dyDescent="0.3">
      <c r="E1220" s="163"/>
      <c r="K1220" s="163"/>
      <c r="Q1220" s="163"/>
      <c r="R1220" s="163"/>
      <c r="S1220" s="163"/>
    </row>
    <row r="1221" spans="5:19" x14ac:dyDescent="0.3">
      <c r="E1221" s="163"/>
      <c r="K1221" s="163"/>
      <c r="Q1221" s="163"/>
      <c r="R1221" s="163"/>
      <c r="S1221" s="163"/>
    </row>
    <row r="1222" spans="5:19" x14ac:dyDescent="0.3">
      <c r="E1222" s="163"/>
      <c r="K1222" s="163"/>
      <c r="Q1222" s="163"/>
      <c r="R1222" s="163"/>
      <c r="S1222" s="163"/>
    </row>
    <row r="1223" spans="5:19" x14ac:dyDescent="0.3">
      <c r="E1223" s="163"/>
      <c r="K1223" s="163"/>
      <c r="Q1223" s="163"/>
      <c r="R1223" s="163"/>
      <c r="S1223" s="163"/>
    </row>
    <row r="1224" spans="5:19" x14ac:dyDescent="0.3">
      <c r="E1224" s="163"/>
      <c r="K1224" s="163"/>
      <c r="Q1224" s="163"/>
      <c r="R1224" s="163"/>
      <c r="S1224" s="163"/>
    </row>
    <row r="1225" spans="5:19" x14ac:dyDescent="0.3">
      <c r="E1225" s="163"/>
      <c r="K1225" s="163"/>
      <c r="Q1225" s="163"/>
      <c r="R1225" s="163"/>
      <c r="S1225" s="163"/>
    </row>
    <row r="1226" spans="5:19" x14ac:dyDescent="0.3">
      <c r="E1226" s="163"/>
      <c r="K1226" s="163"/>
      <c r="Q1226" s="163"/>
      <c r="R1226" s="163"/>
      <c r="S1226" s="163"/>
    </row>
    <row r="1227" spans="5:19" x14ac:dyDescent="0.3">
      <c r="E1227" s="163"/>
      <c r="K1227" s="163"/>
      <c r="Q1227" s="163"/>
      <c r="R1227" s="163"/>
      <c r="S1227" s="163"/>
    </row>
    <row r="1228" spans="5:19" x14ac:dyDescent="0.3">
      <c r="E1228" s="163"/>
      <c r="K1228" s="163"/>
      <c r="Q1228" s="163"/>
      <c r="R1228" s="163"/>
      <c r="S1228" s="163"/>
    </row>
    <row r="1229" spans="5:19" x14ac:dyDescent="0.3">
      <c r="E1229" s="163"/>
      <c r="K1229" s="163"/>
      <c r="Q1229" s="163"/>
      <c r="R1229" s="163"/>
      <c r="S1229" s="163"/>
    </row>
    <row r="1230" spans="5:19" x14ac:dyDescent="0.3">
      <c r="E1230" s="163"/>
      <c r="K1230" s="163"/>
      <c r="Q1230" s="163"/>
      <c r="R1230" s="163"/>
      <c r="S1230" s="163"/>
    </row>
    <row r="1231" spans="5:19" x14ac:dyDescent="0.3">
      <c r="E1231" s="163"/>
      <c r="K1231" s="163"/>
      <c r="Q1231" s="163"/>
      <c r="R1231" s="163"/>
      <c r="S1231" s="163"/>
    </row>
    <row r="1232" spans="5:19" x14ac:dyDescent="0.3">
      <c r="E1232" s="163"/>
      <c r="K1232" s="163"/>
      <c r="Q1232" s="163"/>
      <c r="R1232" s="163"/>
      <c r="S1232" s="163"/>
    </row>
    <row r="1233" spans="5:19" x14ac:dyDescent="0.3">
      <c r="E1233" s="163"/>
      <c r="K1233" s="163"/>
      <c r="Q1233" s="163"/>
      <c r="R1233" s="163"/>
      <c r="S1233" s="163"/>
    </row>
    <row r="1234" spans="5:19" x14ac:dyDescent="0.3">
      <c r="E1234" s="163"/>
      <c r="K1234" s="163"/>
      <c r="Q1234" s="163"/>
      <c r="R1234" s="163"/>
      <c r="S1234" s="163"/>
    </row>
    <row r="1235" spans="5:19" x14ac:dyDescent="0.3">
      <c r="E1235" s="163"/>
      <c r="K1235" s="163"/>
      <c r="Q1235" s="163"/>
      <c r="R1235" s="163"/>
      <c r="S1235" s="163"/>
    </row>
    <row r="1236" spans="5:19" x14ac:dyDescent="0.3">
      <c r="E1236" s="163"/>
      <c r="K1236" s="163"/>
      <c r="Q1236" s="163"/>
      <c r="R1236" s="163"/>
      <c r="S1236" s="163"/>
    </row>
    <row r="1237" spans="5:19" x14ac:dyDescent="0.3">
      <c r="E1237" s="163"/>
      <c r="K1237" s="163"/>
      <c r="Q1237" s="163"/>
      <c r="R1237" s="163"/>
      <c r="S1237" s="163"/>
    </row>
    <row r="1238" spans="5:19" x14ac:dyDescent="0.3">
      <c r="E1238" s="163"/>
      <c r="K1238" s="163"/>
      <c r="Q1238" s="163"/>
      <c r="R1238" s="163"/>
      <c r="S1238" s="163"/>
    </row>
    <row r="1239" spans="5:19" x14ac:dyDescent="0.3">
      <c r="E1239" s="163"/>
      <c r="K1239" s="163"/>
      <c r="Q1239" s="163"/>
      <c r="R1239" s="163"/>
      <c r="S1239" s="163"/>
    </row>
    <row r="1240" spans="5:19" x14ac:dyDescent="0.3">
      <c r="E1240" s="163"/>
      <c r="K1240" s="163"/>
      <c r="Q1240" s="163"/>
      <c r="R1240" s="163"/>
      <c r="S1240" s="163"/>
    </row>
    <row r="1241" spans="5:19" x14ac:dyDescent="0.3">
      <c r="E1241" s="163"/>
      <c r="K1241" s="163"/>
      <c r="Q1241" s="163"/>
      <c r="R1241" s="163"/>
      <c r="S1241" s="163"/>
    </row>
    <row r="1242" spans="5:19" x14ac:dyDescent="0.3">
      <c r="E1242" s="163"/>
      <c r="K1242" s="163"/>
      <c r="Q1242" s="163"/>
      <c r="R1242" s="163"/>
      <c r="S1242" s="163"/>
    </row>
    <row r="1243" spans="5:19" x14ac:dyDescent="0.3">
      <c r="E1243" s="163"/>
      <c r="K1243" s="163"/>
      <c r="Q1243" s="163"/>
      <c r="R1243" s="163"/>
      <c r="S1243" s="163"/>
    </row>
    <row r="1244" spans="5:19" x14ac:dyDescent="0.3">
      <c r="E1244" s="163"/>
      <c r="K1244" s="163"/>
      <c r="Q1244" s="163"/>
      <c r="R1244" s="163"/>
      <c r="S1244" s="163"/>
    </row>
    <row r="1245" spans="5:19" x14ac:dyDescent="0.3">
      <c r="E1245" s="163"/>
      <c r="K1245" s="163"/>
      <c r="Q1245" s="163"/>
      <c r="R1245" s="163"/>
      <c r="S1245" s="163"/>
    </row>
    <row r="1246" spans="5:19" x14ac:dyDescent="0.3">
      <c r="E1246" s="163"/>
      <c r="K1246" s="163"/>
      <c r="Q1246" s="163"/>
      <c r="R1246" s="163"/>
      <c r="S1246" s="163"/>
    </row>
    <row r="1247" spans="5:19" x14ac:dyDescent="0.3">
      <c r="E1247" s="163"/>
      <c r="K1247" s="163"/>
      <c r="Q1247" s="163"/>
      <c r="R1247" s="163"/>
      <c r="S1247" s="163"/>
    </row>
    <row r="1248" spans="5:19" x14ac:dyDescent="0.3">
      <c r="E1248" s="163"/>
      <c r="K1248" s="163"/>
      <c r="Q1248" s="163"/>
      <c r="R1248" s="163"/>
      <c r="S1248" s="163"/>
    </row>
    <row r="1249" spans="5:19" x14ac:dyDescent="0.3">
      <c r="E1249" s="163"/>
      <c r="K1249" s="163"/>
      <c r="Q1249" s="163"/>
      <c r="R1249" s="163"/>
      <c r="S1249" s="163"/>
    </row>
    <row r="1250" spans="5:19" x14ac:dyDescent="0.3">
      <c r="E1250" s="163"/>
      <c r="K1250" s="163"/>
      <c r="Q1250" s="163"/>
      <c r="R1250" s="163"/>
      <c r="S1250" s="163"/>
    </row>
    <row r="1251" spans="5:19" x14ac:dyDescent="0.3">
      <c r="E1251" s="163"/>
      <c r="K1251" s="163"/>
      <c r="Q1251" s="163"/>
      <c r="R1251" s="163"/>
      <c r="S1251" s="163"/>
    </row>
    <row r="1252" spans="5:19" x14ac:dyDescent="0.3">
      <c r="E1252" s="163"/>
      <c r="K1252" s="163"/>
      <c r="Q1252" s="163"/>
      <c r="R1252" s="163"/>
      <c r="S1252" s="163"/>
    </row>
    <row r="1253" spans="5:19" x14ac:dyDescent="0.3">
      <c r="E1253" s="163"/>
      <c r="K1253" s="163"/>
      <c r="Q1253" s="163"/>
      <c r="R1253" s="163"/>
      <c r="S1253" s="163"/>
    </row>
    <row r="1254" spans="5:19" x14ac:dyDescent="0.3">
      <c r="E1254" s="163"/>
      <c r="K1254" s="163"/>
      <c r="Q1254" s="163"/>
      <c r="R1254" s="163"/>
      <c r="S1254" s="163"/>
    </row>
    <row r="1255" spans="5:19" x14ac:dyDescent="0.3">
      <c r="E1255" s="163"/>
      <c r="K1255" s="163"/>
      <c r="Q1255" s="163"/>
      <c r="R1255" s="163"/>
      <c r="S1255" s="163"/>
    </row>
    <row r="1256" spans="5:19" x14ac:dyDescent="0.3">
      <c r="E1256" s="163"/>
      <c r="K1256" s="163"/>
      <c r="Q1256" s="163"/>
      <c r="R1256" s="163"/>
      <c r="S1256" s="163"/>
    </row>
    <row r="1257" spans="5:19" x14ac:dyDescent="0.3">
      <c r="E1257" s="163"/>
      <c r="K1257" s="163"/>
      <c r="Q1257" s="163"/>
      <c r="R1257" s="163"/>
      <c r="S1257" s="163"/>
    </row>
    <row r="1258" spans="5:19" x14ac:dyDescent="0.3">
      <c r="E1258" s="163"/>
      <c r="K1258" s="163"/>
      <c r="Q1258" s="163"/>
      <c r="R1258" s="163"/>
      <c r="S1258" s="163"/>
    </row>
    <row r="1259" spans="5:19" x14ac:dyDescent="0.3">
      <c r="E1259" s="163"/>
      <c r="K1259" s="163"/>
      <c r="Q1259" s="163"/>
      <c r="R1259" s="163"/>
      <c r="S1259" s="163"/>
    </row>
    <row r="1260" spans="5:19" x14ac:dyDescent="0.3">
      <c r="E1260" s="163"/>
      <c r="K1260" s="163"/>
      <c r="Q1260" s="163"/>
      <c r="R1260" s="163"/>
      <c r="S1260" s="163"/>
    </row>
    <row r="1261" spans="5:19" x14ac:dyDescent="0.3">
      <c r="E1261" s="163"/>
      <c r="K1261" s="163"/>
      <c r="Q1261" s="163"/>
      <c r="R1261" s="163"/>
      <c r="S1261" s="163"/>
    </row>
    <row r="1262" spans="5:19" x14ac:dyDescent="0.3">
      <c r="E1262" s="163"/>
      <c r="K1262" s="163"/>
      <c r="Q1262" s="163"/>
      <c r="R1262" s="163"/>
      <c r="S1262" s="163"/>
    </row>
    <row r="1263" spans="5:19" x14ac:dyDescent="0.3">
      <c r="E1263" s="163"/>
      <c r="K1263" s="163"/>
      <c r="Q1263" s="163"/>
      <c r="R1263" s="163"/>
      <c r="S1263" s="163"/>
    </row>
    <row r="1264" spans="5:19" x14ac:dyDescent="0.3">
      <c r="E1264" s="163"/>
      <c r="K1264" s="163"/>
      <c r="Q1264" s="163"/>
      <c r="R1264" s="163"/>
      <c r="S1264" s="163"/>
    </row>
    <row r="1265" spans="5:19" x14ac:dyDescent="0.3">
      <c r="E1265" s="163"/>
      <c r="K1265" s="163"/>
      <c r="Q1265" s="163"/>
      <c r="R1265" s="163"/>
      <c r="S1265" s="163"/>
    </row>
    <row r="1266" spans="5:19" x14ac:dyDescent="0.3">
      <c r="E1266" s="163"/>
      <c r="K1266" s="163"/>
      <c r="Q1266" s="163"/>
      <c r="R1266" s="163"/>
      <c r="S1266" s="163"/>
    </row>
    <row r="1267" spans="5:19" x14ac:dyDescent="0.3">
      <c r="E1267" s="163"/>
      <c r="K1267" s="163"/>
      <c r="Q1267" s="163"/>
      <c r="R1267" s="163"/>
      <c r="S1267" s="163"/>
    </row>
    <row r="1268" spans="5:19" x14ac:dyDescent="0.3">
      <c r="E1268" s="163"/>
      <c r="K1268" s="163"/>
      <c r="Q1268" s="163"/>
      <c r="R1268" s="163"/>
      <c r="S1268" s="163"/>
    </row>
    <row r="1269" spans="5:19" x14ac:dyDescent="0.3">
      <c r="E1269" s="163"/>
      <c r="K1269" s="163"/>
      <c r="Q1269" s="163"/>
      <c r="R1269" s="163"/>
      <c r="S1269" s="163"/>
    </row>
    <row r="1270" spans="5:19" x14ac:dyDescent="0.3">
      <c r="E1270" s="163"/>
      <c r="K1270" s="163"/>
      <c r="Q1270" s="163"/>
      <c r="R1270" s="163"/>
      <c r="S1270" s="163"/>
    </row>
    <row r="1271" spans="5:19" x14ac:dyDescent="0.3">
      <c r="E1271" s="163"/>
      <c r="K1271" s="163"/>
      <c r="Q1271" s="163"/>
      <c r="R1271" s="163"/>
      <c r="S1271" s="163"/>
    </row>
    <row r="1272" spans="5:19" x14ac:dyDescent="0.3">
      <c r="E1272" s="163"/>
      <c r="K1272" s="163"/>
      <c r="Q1272" s="163"/>
      <c r="R1272" s="163"/>
      <c r="S1272" s="163"/>
    </row>
    <row r="1273" spans="5:19" x14ac:dyDescent="0.3">
      <c r="E1273" s="163"/>
      <c r="K1273" s="163"/>
      <c r="Q1273" s="163"/>
      <c r="R1273" s="163"/>
      <c r="S1273" s="163"/>
    </row>
    <row r="1274" spans="5:19" x14ac:dyDescent="0.3">
      <c r="E1274" s="163"/>
      <c r="K1274" s="163"/>
      <c r="Q1274" s="163"/>
      <c r="R1274" s="163"/>
      <c r="S1274" s="163"/>
    </row>
    <row r="1275" spans="5:19" x14ac:dyDescent="0.3">
      <c r="E1275" s="163"/>
      <c r="K1275" s="163"/>
      <c r="Q1275" s="163"/>
      <c r="R1275" s="163"/>
      <c r="S1275" s="163"/>
    </row>
    <row r="1276" spans="5:19" x14ac:dyDescent="0.3">
      <c r="E1276" s="163"/>
      <c r="K1276" s="163"/>
      <c r="Q1276" s="163"/>
      <c r="R1276" s="163"/>
      <c r="S1276" s="163"/>
    </row>
    <row r="1277" spans="5:19" x14ac:dyDescent="0.3">
      <c r="E1277" s="163"/>
      <c r="K1277" s="163"/>
      <c r="Q1277" s="163"/>
      <c r="R1277" s="163"/>
      <c r="S1277" s="163"/>
    </row>
    <row r="1278" spans="5:19" x14ac:dyDescent="0.3">
      <c r="E1278" s="163"/>
      <c r="K1278" s="163"/>
      <c r="Q1278" s="163"/>
      <c r="R1278" s="163"/>
      <c r="S1278" s="163"/>
    </row>
    <row r="1279" spans="5:19" x14ac:dyDescent="0.3">
      <c r="E1279" s="163"/>
      <c r="K1279" s="163"/>
      <c r="Q1279" s="163"/>
      <c r="R1279" s="163"/>
      <c r="S1279" s="163"/>
    </row>
    <row r="1280" spans="5:19" x14ac:dyDescent="0.3">
      <c r="E1280" s="163"/>
      <c r="K1280" s="163"/>
      <c r="Q1280" s="163"/>
      <c r="R1280" s="163"/>
      <c r="S1280" s="163"/>
    </row>
    <row r="1281" spans="5:19" x14ac:dyDescent="0.3">
      <c r="E1281" s="163"/>
      <c r="K1281" s="163"/>
      <c r="Q1281" s="163"/>
      <c r="R1281" s="163"/>
      <c r="S1281" s="163"/>
    </row>
    <row r="1282" spans="5:19" x14ac:dyDescent="0.3">
      <c r="E1282" s="163"/>
      <c r="K1282" s="163"/>
      <c r="Q1282" s="163"/>
      <c r="R1282" s="163"/>
      <c r="S1282" s="163"/>
    </row>
    <row r="1283" spans="5:19" x14ac:dyDescent="0.3">
      <c r="E1283" s="163"/>
      <c r="K1283" s="163"/>
      <c r="Q1283" s="163"/>
      <c r="R1283" s="163"/>
      <c r="S1283" s="163"/>
    </row>
    <row r="1284" spans="5:19" x14ac:dyDescent="0.3">
      <c r="E1284" s="163"/>
      <c r="K1284" s="163"/>
      <c r="Q1284" s="163"/>
      <c r="R1284" s="163"/>
      <c r="S1284" s="163"/>
    </row>
    <row r="1285" spans="5:19" x14ac:dyDescent="0.3">
      <c r="E1285" s="163"/>
      <c r="K1285" s="163"/>
      <c r="Q1285" s="163"/>
      <c r="R1285" s="163"/>
      <c r="S1285" s="163"/>
    </row>
    <row r="1286" spans="5:19" x14ac:dyDescent="0.3">
      <c r="E1286" s="163"/>
      <c r="K1286" s="163"/>
      <c r="Q1286" s="163"/>
      <c r="R1286" s="163"/>
      <c r="S1286" s="163"/>
    </row>
    <row r="1287" spans="5:19" x14ac:dyDescent="0.3">
      <c r="E1287" s="163"/>
      <c r="K1287" s="163"/>
      <c r="Q1287" s="163"/>
      <c r="R1287" s="163"/>
      <c r="S1287" s="163"/>
    </row>
    <row r="1288" spans="5:19" x14ac:dyDescent="0.3">
      <c r="E1288" s="163"/>
      <c r="K1288" s="163"/>
      <c r="Q1288" s="163"/>
      <c r="R1288" s="163"/>
      <c r="S1288" s="163"/>
    </row>
    <row r="1289" spans="5:19" x14ac:dyDescent="0.3">
      <c r="E1289" s="163"/>
      <c r="K1289" s="163"/>
      <c r="Q1289" s="163"/>
      <c r="R1289" s="163"/>
      <c r="S1289" s="163"/>
    </row>
    <row r="1290" spans="5:19" x14ac:dyDescent="0.3">
      <c r="E1290" s="163"/>
      <c r="K1290" s="163"/>
      <c r="Q1290" s="163"/>
      <c r="R1290" s="163"/>
      <c r="S1290" s="163"/>
    </row>
    <row r="1291" spans="5:19" x14ac:dyDescent="0.3">
      <c r="E1291" s="163"/>
      <c r="K1291" s="163"/>
      <c r="Q1291" s="163"/>
      <c r="R1291" s="163"/>
      <c r="S1291" s="163"/>
    </row>
    <row r="1292" spans="5:19" x14ac:dyDescent="0.3">
      <c r="E1292" s="163"/>
      <c r="K1292" s="163"/>
      <c r="Q1292" s="163"/>
      <c r="R1292" s="163"/>
      <c r="S1292" s="163"/>
    </row>
    <row r="1293" spans="5:19" x14ac:dyDescent="0.3">
      <c r="E1293" s="163"/>
      <c r="K1293" s="163"/>
      <c r="Q1293" s="163"/>
      <c r="R1293" s="163"/>
      <c r="S1293" s="163"/>
    </row>
    <row r="1294" spans="5:19" x14ac:dyDescent="0.3">
      <c r="E1294" s="163"/>
      <c r="K1294" s="163"/>
      <c r="Q1294" s="163"/>
      <c r="R1294" s="163"/>
      <c r="S1294" s="163"/>
    </row>
    <row r="1295" spans="5:19" x14ac:dyDescent="0.3">
      <c r="E1295" s="163"/>
      <c r="K1295" s="163"/>
      <c r="Q1295" s="163"/>
      <c r="R1295" s="163"/>
      <c r="S1295" s="163"/>
    </row>
    <row r="1296" spans="5:19" x14ac:dyDescent="0.3">
      <c r="E1296" s="163"/>
      <c r="K1296" s="163"/>
      <c r="Q1296" s="163"/>
      <c r="R1296" s="163"/>
      <c r="S1296" s="163"/>
    </row>
    <row r="1297" spans="5:19" x14ac:dyDescent="0.3">
      <c r="E1297" s="163"/>
      <c r="K1297" s="163"/>
      <c r="Q1297" s="163"/>
      <c r="R1297" s="163"/>
      <c r="S1297" s="163"/>
    </row>
    <row r="1298" spans="5:19" x14ac:dyDescent="0.3">
      <c r="E1298" s="163"/>
      <c r="K1298" s="163"/>
      <c r="Q1298" s="163"/>
      <c r="R1298" s="163"/>
      <c r="S1298" s="163"/>
    </row>
    <row r="1299" spans="5:19" x14ac:dyDescent="0.3">
      <c r="E1299" s="163"/>
      <c r="K1299" s="163"/>
      <c r="Q1299" s="163"/>
      <c r="R1299" s="163"/>
      <c r="S1299" s="163"/>
    </row>
    <row r="1300" spans="5:19" x14ac:dyDescent="0.3">
      <c r="E1300" s="163"/>
      <c r="K1300" s="163"/>
      <c r="Q1300" s="163"/>
      <c r="R1300" s="163"/>
      <c r="S1300" s="163"/>
    </row>
    <row r="1301" spans="5:19" x14ac:dyDescent="0.3">
      <c r="E1301" s="163"/>
      <c r="K1301" s="163"/>
      <c r="Q1301" s="163"/>
      <c r="R1301" s="163"/>
      <c r="S1301" s="163"/>
    </row>
    <row r="1302" spans="5:19" x14ac:dyDescent="0.3">
      <c r="E1302" s="163"/>
      <c r="K1302" s="163"/>
      <c r="Q1302" s="163"/>
      <c r="R1302" s="163"/>
      <c r="S1302" s="163"/>
    </row>
    <row r="1303" spans="5:19" x14ac:dyDescent="0.3">
      <c r="E1303" s="163"/>
      <c r="K1303" s="163"/>
      <c r="Q1303" s="163"/>
      <c r="R1303" s="163"/>
      <c r="S1303" s="163"/>
    </row>
    <row r="1304" spans="5:19" x14ac:dyDescent="0.3">
      <c r="E1304" s="163"/>
      <c r="K1304" s="163"/>
      <c r="Q1304" s="163"/>
      <c r="R1304" s="163"/>
      <c r="S1304" s="163"/>
    </row>
    <row r="1305" spans="5:19" x14ac:dyDescent="0.3">
      <c r="E1305" s="163"/>
      <c r="K1305" s="163"/>
      <c r="Q1305" s="163"/>
      <c r="R1305" s="163"/>
      <c r="S1305" s="163"/>
    </row>
    <row r="1306" spans="5:19" x14ac:dyDescent="0.3">
      <c r="E1306" s="163"/>
      <c r="K1306" s="163"/>
      <c r="Q1306" s="163"/>
      <c r="R1306" s="163"/>
      <c r="S1306" s="163"/>
    </row>
    <row r="1307" spans="5:19" x14ac:dyDescent="0.3">
      <c r="E1307" s="163"/>
      <c r="K1307" s="163"/>
      <c r="Q1307" s="163"/>
      <c r="R1307" s="163"/>
      <c r="S1307" s="163"/>
    </row>
    <row r="1308" spans="5:19" x14ac:dyDescent="0.3">
      <c r="E1308" s="163"/>
      <c r="K1308" s="163"/>
      <c r="Q1308" s="163"/>
      <c r="R1308" s="163"/>
      <c r="S1308" s="163"/>
    </row>
    <row r="1309" spans="5:19" x14ac:dyDescent="0.3">
      <c r="E1309" s="163"/>
      <c r="K1309" s="163"/>
      <c r="Q1309" s="163"/>
      <c r="R1309" s="163"/>
      <c r="S1309" s="163"/>
    </row>
    <row r="1310" spans="5:19" x14ac:dyDescent="0.3">
      <c r="E1310" s="163"/>
      <c r="K1310" s="163"/>
      <c r="Q1310" s="163"/>
      <c r="R1310" s="163"/>
      <c r="S1310" s="163"/>
    </row>
    <row r="1311" spans="5:19" x14ac:dyDescent="0.3">
      <c r="E1311" s="163"/>
      <c r="K1311" s="163"/>
      <c r="Q1311" s="163"/>
      <c r="R1311" s="163"/>
      <c r="S1311" s="163"/>
    </row>
    <row r="1312" spans="5:19" x14ac:dyDescent="0.3">
      <c r="E1312" s="163"/>
      <c r="K1312" s="163"/>
      <c r="Q1312" s="163"/>
      <c r="R1312" s="163"/>
      <c r="S1312" s="163"/>
    </row>
    <row r="1313" spans="5:19" x14ac:dyDescent="0.3">
      <c r="E1313" s="163"/>
      <c r="K1313" s="163"/>
      <c r="Q1313" s="163"/>
      <c r="R1313" s="163"/>
      <c r="S1313" s="163"/>
    </row>
    <row r="1314" spans="5:19" x14ac:dyDescent="0.3">
      <c r="E1314" s="163"/>
      <c r="K1314" s="163"/>
      <c r="Q1314" s="163"/>
      <c r="R1314" s="163"/>
      <c r="S1314" s="163"/>
    </row>
    <row r="1315" spans="5:19" x14ac:dyDescent="0.3">
      <c r="E1315" s="163"/>
      <c r="K1315" s="163"/>
      <c r="Q1315" s="163"/>
      <c r="R1315" s="163"/>
      <c r="S1315" s="163"/>
    </row>
    <row r="1316" spans="5:19" x14ac:dyDescent="0.3">
      <c r="E1316" s="163"/>
      <c r="K1316" s="163"/>
      <c r="Q1316" s="163"/>
      <c r="R1316" s="163"/>
      <c r="S1316" s="163"/>
    </row>
    <row r="1317" spans="5:19" x14ac:dyDescent="0.3">
      <c r="E1317" s="163"/>
      <c r="K1317" s="163"/>
      <c r="Q1317" s="163"/>
      <c r="R1317" s="163"/>
      <c r="S1317" s="163"/>
    </row>
    <row r="1318" spans="5:19" x14ac:dyDescent="0.3">
      <c r="E1318" s="163"/>
      <c r="K1318" s="163"/>
      <c r="Q1318" s="163"/>
      <c r="R1318" s="163"/>
      <c r="S1318" s="163"/>
    </row>
    <row r="1319" spans="5:19" x14ac:dyDescent="0.3">
      <c r="E1319" s="163"/>
      <c r="K1319" s="163"/>
      <c r="Q1319" s="163"/>
      <c r="R1319" s="163"/>
      <c r="S1319" s="163"/>
    </row>
    <row r="1320" spans="5:19" x14ac:dyDescent="0.3">
      <c r="E1320" s="163"/>
      <c r="K1320" s="163"/>
      <c r="Q1320" s="163"/>
      <c r="R1320" s="163"/>
      <c r="S1320" s="163"/>
    </row>
    <row r="1321" spans="5:19" x14ac:dyDescent="0.3">
      <c r="E1321" s="163"/>
      <c r="K1321" s="163"/>
      <c r="Q1321" s="163"/>
      <c r="R1321" s="163"/>
      <c r="S1321" s="163"/>
    </row>
    <row r="1322" spans="5:19" x14ac:dyDescent="0.3">
      <c r="E1322" s="163"/>
      <c r="K1322" s="163"/>
      <c r="Q1322" s="163"/>
      <c r="R1322" s="163"/>
      <c r="S1322" s="163"/>
    </row>
    <row r="1323" spans="5:19" x14ac:dyDescent="0.3">
      <c r="E1323" s="163"/>
      <c r="K1323" s="163"/>
      <c r="Q1323" s="163"/>
      <c r="R1323" s="163"/>
      <c r="S1323" s="163"/>
    </row>
    <row r="1324" spans="5:19" x14ac:dyDescent="0.3">
      <c r="E1324" s="163"/>
      <c r="K1324" s="163"/>
      <c r="Q1324" s="163"/>
      <c r="R1324" s="163"/>
      <c r="S1324" s="163"/>
    </row>
    <row r="1325" spans="5:19" x14ac:dyDescent="0.3">
      <c r="E1325" s="163"/>
      <c r="K1325" s="163"/>
      <c r="Q1325" s="163"/>
      <c r="R1325" s="163"/>
      <c r="S1325" s="163"/>
    </row>
    <row r="1326" spans="5:19" x14ac:dyDescent="0.3">
      <c r="E1326" s="163"/>
      <c r="K1326" s="163"/>
      <c r="Q1326" s="163"/>
      <c r="R1326" s="163"/>
      <c r="S1326" s="163"/>
    </row>
    <row r="1327" spans="5:19" x14ac:dyDescent="0.3">
      <c r="E1327" s="163"/>
      <c r="K1327" s="163"/>
      <c r="Q1327" s="163"/>
      <c r="R1327" s="163"/>
      <c r="S1327" s="163"/>
    </row>
    <row r="1328" spans="5:19" x14ac:dyDescent="0.3">
      <c r="E1328" s="163"/>
      <c r="K1328" s="163"/>
      <c r="Q1328" s="163"/>
      <c r="R1328" s="163"/>
      <c r="S1328" s="163"/>
    </row>
    <row r="1329" spans="5:19" x14ac:dyDescent="0.3">
      <c r="E1329" s="163"/>
      <c r="K1329" s="163"/>
      <c r="Q1329" s="163"/>
      <c r="R1329" s="163"/>
      <c r="S1329" s="163"/>
    </row>
    <row r="1330" spans="5:19" x14ac:dyDescent="0.3">
      <c r="E1330" s="163"/>
      <c r="K1330" s="163"/>
      <c r="Q1330" s="163"/>
      <c r="R1330" s="163"/>
      <c r="S1330" s="163"/>
    </row>
    <row r="1331" spans="5:19" x14ac:dyDescent="0.3">
      <c r="E1331" s="163"/>
      <c r="K1331" s="163"/>
      <c r="Q1331" s="163"/>
      <c r="R1331" s="163"/>
      <c r="S1331" s="163"/>
    </row>
    <row r="1332" spans="5:19" x14ac:dyDescent="0.3">
      <c r="E1332" s="163"/>
      <c r="K1332" s="163"/>
      <c r="Q1332" s="163"/>
      <c r="R1332" s="163"/>
      <c r="S1332" s="163"/>
    </row>
    <row r="1333" spans="5:19" x14ac:dyDescent="0.3">
      <c r="E1333" s="163"/>
      <c r="K1333" s="163"/>
      <c r="Q1333" s="163"/>
      <c r="R1333" s="163"/>
      <c r="S1333" s="163"/>
    </row>
    <row r="1334" spans="5:19" x14ac:dyDescent="0.3">
      <c r="E1334" s="163"/>
      <c r="K1334" s="163"/>
      <c r="Q1334" s="163"/>
      <c r="R1334" s="163"/>
      <c r="S1334" s="163"/>
    </row>
    <row r="1335" spans="5:19" x14ac:dyDescent="0.3">
      <c r="E1335" s="163"/>
      <c r="K1335" s="163"/>
      <c r="Q1335" s="163"/>
      <c r="R1335" s="163"/>
      <c r="S1335" s="163"/>
    </row>
    <row r="1336" spans="5:19" x14ac:dyDescent="0.3">
      <c r="E1336" s="163"/>
      <c r="K1336" s="163"/>
      <c r="Q1336" s="163"/>
      <c r="R1336" s="163"/>
      <c r="S1336" s="163"/>
    </row>
    <row r="1337" spans="5:19" x14ac:dyDescent="0.3">
      <c r="E1337" s="163"/>
      <c r="K1337" s="163"/>
      <c r="Q1337" s="163"/>
      <c r="R1337" s="163"/>
      <c r="S1337" s="163"/>
    </row>
    <row r="1338" spans="5:19" x14ac:dyDescent="0.3">
      <c r="E1338" s="163"/>
      <c r="K1338" s="163"/>
      <c r="Q1338" s="163"/>
      <c r="R1338" s="163"/>
      <c r="S1338" s="163"/>
    </row>
    <row r="1339" spans="5:19" x14ac:dyDescent="0.3">
      <c r="E1339" s="163"/>
      <c r="K1339" s="163"/>
      <c r="Q1339" s="163"/>
      <c r="R1339" s="163"/>
      <c r="S1339" s="163"/>
    </row>
    <row r="1340" spans="5:19" x14ac:dyDescent="0.3">
      <c r="E1340" s="163"/>
      <c r="K1340" s="163"/>
      <c r="Q1340" s="163"/>
      <c r="R1340" s="163"/>
      <c r="S1340" s="163"/>
    </row>
    <row r="1341" spans="5:19" x14ac:dyDescent="0.3">
      <c r="E1341" s="163"/>
      <c r="K1341" s="163"/>
      <c r="Q1341" s="163"/>
      <c r="R1341" s="163"/>
      <c r="S1341" s="163"/>
    </row>
    <row r="1342" spans="5:19" x14ac:dyDescent="0.3">
      <c r="E1342" s="163"/>
      <c r="K1342" s="163"/>
      <c r="Q1342" s="163"/>
      <c r="R1342" s="163"/>
      <c r="S1342" s="163"/>
    </row>
    <row r="1343" spans="5:19" x14ac:dyDescent="0.3">
      <c r="E1343" s="163"/>
      <c r="K1343" s="163"/>
      <c r="Q1343" s="163"/>
      <c r="R1343" s="163"/>
      <c r="S1343" s="163"/>
    </row>
    <row r="1344" spans="5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2026-09-03T20:48:39Z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