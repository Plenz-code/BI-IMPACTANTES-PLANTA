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02" documentId="8_{AF585B22-221D-4780-BB9C-493D365A6A02}" xr6:coauthVersionLast="47" xr6:coauthVersionMax="47" xr10:uidLastSave="{81505376-7EBF-4986-BC7A-FD9B859FFFA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<sst xmlns="http://schemas.openxmlformats.org/spreadsheetml/2006/main" count="12496" uniqueCount="443">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</sst>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27" sqref="F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0.63099513888300862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0.78863402777189751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0.89835624999411967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0.60946736110781785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0.78030069444115124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0.92543958333004017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35</v>
      </c>
      <c r="G837" s="109">
        <f>SUM(G825:G836)</f>
        <v>159.80000000000001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204</v>
      </c>
      <c r="G838" s="111">
        <f>G824+G837</f>
        <v>869.60000000000014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18</v>
      </c>
      <c r="G837" s="109">
        <f>SUM(G825:G836)</f>
        <v>84.4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113</v>
      </c>
      <c r="G838" s="111">
        <f>G824+G837</f>
        <v>483.4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I826" sqref="I8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0.62127291666547535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0.82057847222103097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1.187939583332142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/>
      <c r="F826" s="100"/>
      <c r="G826" s="104" t="str">
        <f>IF(F826="","",IF(E826="PC 17",F826*4.2,IF(E826="PC 19",F826*5,"")))</f>
        <v/>
      </c>
      <c r="H826" s="80" t="s">
        <v>20</v>
      </c>
      <c r="I826" s="80" t="s">
        <v>57</v>
      </c>
      <c r="J826" s="80"/>
      <c r="K826" s="98">
        <v>0.87013888888888891</v>
      </c>
      <c r="L826" s="98"/>
      <c r="M826" s="78">
        <f ca="1">IFERROR(IF(K826="","",IF(L826="",MOD(NOW()-K826,1),IF(L826&gt;=K826,L826-K826,L826+1-K826))),"")</f>
        <v>4.3958333117188886E-4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</v>
      </c>
      <c r="G837" s="109">
        <f>SUM(G825:G836)</f>
        <v>42</v>
      </c>
      <c r="H837" s="37"/>
      <c r="I837" s="37"/>
      <c r="J837" s="37"/>
      <c r="K837" s="37"/>
      <c r="L837" s="37"/>
      <c r="M837" s="110">
        <f ca="1">IFERROR(SUM(M825:M836),"")</f>
        <v>1.1340277756163308E-3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129</v>
      </c>
      <c r="G838" s="111">
        <f>G824+G837</f>
        <v>541.80000000000007</v>
      </c>
      <c r="H838" s="41"/>
      <c r="I838" s="41"/>
      <c r="J838" s="41"/>
      <c r="K838" s="41"/>
      <c r="L838" s="41"/>
      <c r="M838" s="112">
        <f ca="1">IFERROR(M824+M837,"")</f>
        <v>0.11710624999783847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2026-08-01T00:53:46Z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