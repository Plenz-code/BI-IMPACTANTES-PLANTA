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837" documentId="8_{AF585B22-221D-4780-BB9C-493D365A6A02}" xr6:coauthVersionLast="47" xr6:coauthVersionMax="47" xr10:uidLastSave="{19C908C5-5E8B-4881-98C1-09E3CF356EF6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<sst xmlns="http://schemas.openxmlformats.org/spreadsheetml/2006/main" count="11742" uniqueCount="426">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</sst>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0" sqref="N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1751285</v>
      </c>
      <c r="D32" s="8">
        <f>IFERROR('Linha 1'!O784,"")</f>
        <v>610890</v>
      </c>
      <c r="E32" s="8">
        <f>IFERROR('Linha 2'!O784,"")</f>
        <v>172140</v>
      </c>
      <c r="F32" s="8">
        <f>IFERROR('Linha 3'!O784,"")</f>
        <v>39360</v>
      </c>
      <c r="G32" s="9">
        <f>IFERROR(D32+E32+F32,"")</f>
        <v>822390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87532313</v>
      </c>
      <c r="D35" s="13">
        <f>IFERROR(SUM(D4:D34),"")</f>
        <v>35210690</v>
      </c>
      <c r="E35" s="13">
        <f>IFERROR(SUM(E4:E34),"")</f>
        <v>19876800</v>
      </c>
      <c r="F35" s="13">
        <f>IFERROR(SUM(F4:F34),"")</f>
        <v>36042620</v>
      </c>
      <c r="G35" s="13">
        <f>IFERROR(SUM(G4:G34),"")</f>
        <v>91130110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52" activePane="bottomLeft" state="frozen"/>
      <selection pane="bottomLeft" activeCell="F773" sqref="F77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>
        <v>30</v>
      </c>
      <c r="G771" s="34">
        <f t="shared" ref="G771:G782" si="171">IF(F771="","",IF(E771="PC 17",F771*4.2,IF(E771="PC 19",F771*5,"")))</f>
        <v>150</v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232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232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232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232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232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232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232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232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75</v>
      </c>
      <c r="G783" s="36">
        <f>SUM(G771:G782)</f>
        <v>375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425</v>
      </c>
      <c r="G784" s="40">
        <f>G770+G783</f>
        <v>2125</v>
      </c>
      <c r="H784" s="41"/>
      <c r="I784" s="41"/>
      <c r="J784" s="41"/>
      <c r="K784" s="41"/>
      <c r="L784" s="41"/>
      <c r="M784" s="42">
        <f ca="1">IFERROR(M770+M783,"")</f>
        <v>7.1527777777777746E-2</v>
      </c>
      <c r="N784" s="40" t="s">
        <v>238</v>
      </c>
      <c r="O784" s="48">
        <f>IFERROR(O770+O783,"")</f>
        <v>1751285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0" activePane="bottomLeft" state="frozen"/>
      <selection pane="bottomLeft" activeCell="F773" sqref="F77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0.66080277777655283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0.81844166666544171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0.92816388888766388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0.63927500000136206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0.81010833333469545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0.95524722222358438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327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328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329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331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332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333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334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336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337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338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339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11</v>
      </c>
      <c r="G772" s="28">
        <f t="shared" si="171"/>
        <v>55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34</v>
      </c>
      <c r="G783" s="36">
        <f>SUM(G771:G782)</f>
        <v>151.60000000000002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168</v>
      </c>
      <c r="G784" s="40">
        <f>G770+G783</f>
        <v>722.40000000000009</v>
      </c>
      <c r="H784" s="41"/>
      <c r="I784" s="41"/>
      <c r="J784" s="41"/>
      <c r="K784" s="41"/>
      <c r="L784" s="41"/>
      <c r="M784" s="42">
        <f ca="1">IFERROR(M770+M783,"")</f>
        <v>9.5138888888888828E-2</v>
      </c>
      <c r="N784" s="40" t="s">
        <v>238</v>
      </c>
      <c r="O784" s="83">
        <f>IFERROR(O770+O783,"")</f>
        <v>610890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54" zoomScale="50" zoomScaleNormal="50" workbookViewId="0">
      <selection activeCell="J772" sqref="J77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287</v>
      </c>
      <c r="K141" s="29">
        <v>0.71597222222222223</v>
      </c>
      <c r="L141" s="29" t="s">
        <v>345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347</v>
      </c>
      <c r="N166" s="27" t="s">
        <v>348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324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324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/>
      <c r="M772" s="30">
        <f t="shared" ca="1" si="172"/>
        <v>1.010833333566552E-2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15</v>
      </c>
      <c r="G783" s="36">
        <f>SUM(G771:G782)</f>
        <v>67</v>
      </c>
      <c r="H783" s="37"/>
      <c r="I783" s="37"/>
      <c r="J783" s="37"/>
      <c r="K783" s="37"/>
      <c r="L783" s="37"/>
      <c r="M783" s="38">
        <f ca="1">IFERROR(SUM(M771:M782),"")</f>
        <v>1.6358333335665498E-2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56</v>
      </c>
      <c r="G784" s="40">
        <f>G770+G783</f>
        <v>243.2</v>
      </c>
      <c r="H784" s="41"/>
      <c r="I784" s="41"/>
      <c r="J784" s="41"/>
      <c r="K784" s="41"/>
      <c r="L784" s="41"/>
      <c r="M784" s="42">
        <f ca="1">IFERROR(M770+M783,"")</f>
        <v>0.13024722222455443</v>
      </c>
      <c r="N784" s="40" t="s">
        <v>238</v>
      </c>
      <c r="O784" s="48">
        <f>IFERROR(O770+O783,"")</f>
        <v>172140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51" activePane="bottomLeft" state="frozen"/>
      <selection pane="bottomLeft" activeCell="F773" sqref="F77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377</v>
      </c>
      <c r="L58" s="29">
        <v>0.54097222222222219</v>
      </c>
      <c r="M58" s="30" t="str">
        <f t="shared" ca="1" si="13"/>
        <v/>
      </c>
      <c r="N58" s="27" t="s">
        <v>378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0.65108055555901956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0.85038611111457518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1.2177472222256862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282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324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423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424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425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339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30</v>
      </c>
      <c r="G771" s="34">
        <f t="shared" ref="G771:G782" si="171">IF(F771="","",IF(E771="PC 17",F771*4.2,IF(E771="PC 19",F771*5,"")))</f>
        <v>126</v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12</v>
      </c>
      <c r="G772" s="28">
        <f t="shared" si="171"/>
        <v>60</v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42</v>
      </c>
      <c r="G783" s="36">
        <f>SUM(G771:G782)</f>
        <v>186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50</v>
      </c>
      <c r="G784" s="40">
        <f>G770+G783</f>
        <v>219.6</v>
      </c>
      <c r="H784" s="41"/>
      <c r="I784" s="41"/>
      <c r="J784" s="41"/>
      <c r="K784" s="63"/>
      <c r="L784" s="63"/>
      <c r="M784" s="42">
        <f ca="1">IFERROR(M770+M783,"")</f>
        <v>0.46388888888888885</v>
      </c>
      <c r="N784" s="40" t="s">
        <v>238</v>
      </c>
      <c r="O784" s="48">
        <f>IFERROR(O770+O783,"")</f>
        <v>39360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2026-07-30T01:36:57Z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