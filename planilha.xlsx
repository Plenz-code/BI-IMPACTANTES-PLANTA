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" documentId="13_ncr:1_{A6DBCFB4-28D9-4249-9038-216934055CA6}" xr6:coauthVersionLast="47" xr6:coauthVersionMax="47" xr10:uidLastSave="{28FAB8CF-8408-4BF6-8BE3-B263BE1D4BA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J492" i="4" s="1"/>
  <c r="F492" i="4"/>
  <c r="Q491" i="4"/>
  <c r="K491" i="4"/>
  <c r="I491" i="4"/>
  <c r="H491" i="4"/>
  <c r="J491" i="4" s="1"/>
  <c r="F491" i="4"/>
  <c r="Q490" i="4"/>
  <c r="K490" i="4"/>
  <c r="I490" i="4"/>
  <c r="H490" i="4"/>
  <c r="J490" i="4" s="1"/>
  <c r="F490" i="4"/>
  <c r="Q489" i="4"/>
  <c r="K489" i="4"/>
  <c r="I489" i="4"/>
  <c r="H489" i="4"/>
  <c r="J489" i="4" s="1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0" i="5" l="1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<sst xmlns="http://schemas.openxmlformats.org/spreadsheetml/2006/main" count="8422" uniqueCount="394">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</sst>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3" sqref="F49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/>
      <c r="G493" s="69" t="str">
        <f t="shared" si="106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57</v>
      </c>
      <c r="G500" s="2">
        <f>SUM(G488:G499)</f>
        <v>285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57</v>
      </c>
      <c r="G514" s="1">
        <f>G500+G513</f>
        <v>285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3" sqref="G49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0.39611273147602333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0.53500162036491106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0.61972384258713387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274</v>
      </c>
      <c r="F488" s="101">
        <f>IFERROR(IF($D488="","",VLOOKUP($D488,Cadastro!$C$4:$E$7,3,FALSE())),"")</f>
        <v>0.35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31</v>
      </c>
      <c r="E489" s="87" t="s">
        <v>274</v>
      </c>
      <c r="F489" s="88">
        <f>IFERROR(IF($D489="","",VLOOKUP($D489,Cadastro!$C$4:$E$7,3,FALSE())),"")</f>
        <v>0.35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31</v>
      </c>
      <c r="E490" s="87" t="s">
        <v>274</v>
      </c>
      <c r="F490" s="88">
        <f>IFERROR(IF($D490="","",VLOOKUP($D490,Cadastro!$C$4:$E$7,3,FALSE())),"")</f>
        <v>0.35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31</v>
      </c>
      <c r="E491" s="87" t="s">
        <v>274</v>
      </c>
      <c r="F491" s="88">
        <f>IFERROR(IF($D491="","",VLOOKUP($D491,Cadastro!$C$4:$E$7,3,FALSE())),"")</f>
        <v>0.35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46.2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31</v>
      </c>
      <c r="E493" s="87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52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218.40000000000003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52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218.40000000000003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1" activePane="bottomLeft" state="frozen"/>
      <selection pane="bottomLeft" activeCell="D490" sqref="D49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31</v>
      </c>
      <c r="E491" s="87" t="s">
        <v>274</v>
      </c>
      <c r="F491" s="88">
        <f>IFERROR(IF($D491="","",VLOOKUP($D491,Cadastro!$C$4:$E$7,3,FALSE())),"")</f>
        <v>0.35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31</v>
      </c>
      <c r="E492" s="87" t="s">
        <v>274</v>
      </c>
      <c r="F492" s="88">
        <f>IFERROR(IF($D492="","",VLOOKUP($D492,Cadastro!$C$4:$E$7,3,FALSE())),"")</f>
        <v>0.35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21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31</v>
      </c>
      <c r="E493" s="124" t="s">
        <v>274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31</v>
      </c>
      <c r="E494" s="87" t="s">
        <v>274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31</v>
      </c>
      <c r="E495" s="87" t="s">
        <v>274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31</v>
      </c>
      <c r="E496" s="87" t="s">
        <v>274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31</v>
      </c>
      <c r="E497" s="87" t="s">
        <v>274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31</v>
      </c>
      <c r="E498" s="87" t="s">
        <v>274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31</v>
      </c>
      <c r="E499" s="87" t="s">
        <v>274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113.4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113.4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3" sqref="G4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29.400000000000002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75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315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75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315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2026-08-19T16:25:30Z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