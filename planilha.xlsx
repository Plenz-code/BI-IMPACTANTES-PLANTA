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849" documentId="8_{AF585B22-221D-4780-BB9C-493D365A6A02}" xr6:coauthVersionLast="47" xr6:coauthVersionMax="47" xr10:uidLastSave="{752DB7A6-55B6-4CBF-8A91-FAA1C2EB62CF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<sst xmlns="http://schemas.openxmlformats.org/spreadsheetml/2006/main" count="2916" uniqueCount="250">
  <si>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</si>
  <si>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</si>
  <si>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</si>
  <si>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</si>
  <si>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</si>
  <si>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</si>
  <si>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</si>
  <si>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</si>
  <si>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</si>
  <si>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</si>
  <si>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</si>
  <si>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</si>
  <si>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</si>
  <si>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</si>
  <si>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</si>
  <si>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</si>
  <si>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</si>
  <si>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</si>
  <si>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</si>
  <si>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</si>
  <si>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</si>
  <si>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</si>
  <si>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</si>
  <si>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</si>
  <si>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</si>
  <si>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</si>
  <si>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</si>
  <si>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</si>
  <si>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</si>
  <si>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</si>
  <si>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</si>
  <si>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</si>
  <si>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</si>
  <si>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</si>
  <si>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</si>
  <si>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</si>
  <si>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</si>
  <si>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</si>
  <si>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</si>
  <si>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</si>
  <si>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</si>
  <si>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</si>
  <si>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</si>
  <si>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</si>
  <si>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</si>
  <si>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</si>
  <si>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</si>
  <si>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</si>
  <si>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</si>
  <si>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</si>
  <si>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</si>
  <si>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</si>
  <si>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</si>
  <si>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</si>
  <si>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</si>
  <si>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</si>
  <si>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</si>
  <si>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</si>
  <si>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</si>
  <si>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</si>
  <si>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</si>
  <si>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</si>
  <si>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</si>
  <si>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</si>
  <si>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</si>
  <si>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</si>
  <si>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</si>
  <si>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</si>
  <si>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</si>
  <si>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</si>
  <si>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</si>
  <si>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</si>
  <si>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</si>
  <si>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</si>
  <si>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</si>
  <si>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</si>
  <si>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</si>
  <si>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</si>
  <si>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</si>
  <si>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</si>
  <si>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</si>
  <si>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</si>
  <si>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</si>
  <si>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</si>
  <si>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</si>
  <si>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</si>
  <si>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</si>
  <si>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</si>
  <si>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</si>
  <si>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</si>
  <si>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</si>
  <si>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</si>
  <si>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</si>
  <si>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</si>
  <si>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</si>
  <si>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</si>
  <si>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</si>
  <si>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</si>
  <si>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</si>
  <si>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</si>
  <si>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</si>
  <si>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</si>
  <si>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</si>
  <si>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</si>
  <si>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</si>
  <si>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</si>
  <si>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</si>
  <si>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</si>
  <si>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</si>
  <si>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</si>
  <si>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</si>
  <si>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</si>
  <si>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</si>
  <si>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</si>
  <si>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</si>
  <si>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</si>
  <si>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</si>
  <si>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</si>
  <si>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</si>
  <si>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</si>
  <si>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</si>
  <si>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</si>
  <si>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</si>
  <si>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</si>
  <si>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</si>
  <si>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</si>
  <si>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</si>
  <si>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</si>
  <si>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</si>
  <si>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</si>
  <si>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</si>
  <si>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</si>
  <si>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</si>
  <si>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</si>
  <si>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</si>
  <si>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</si>
  <si>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</si>
  <si>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</si>
  <si>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</si>
  <si>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</si>
  <si>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</si>
  <si>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</si>
  <si>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</si>
  <si>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</si>
  <si>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</si>
  <si>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</si>
  <si>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</si>
  <si>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</si>
  <si>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</si>
  <si>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</si>
  <si>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</si>
  <si>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</si>
  <si>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</si>
  <si>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</si>
  <si>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</si>
  <si>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</si>
  <si>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</si>
  <si>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</si>
  <si>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</si>
  <si>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</si>
  <si>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</si>
  <si>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</si>
  <si>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</si>
  <si>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</si>
  <si>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</si>
  <si>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</si>
  <si>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</si>
  <si>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</si>
  <si>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</si>
  <si>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</si>
  <si>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</si>
  <si>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</si>
  <si>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</si>
  <si>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</si>
  <si>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</si>
  <si>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</si>
  <si>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</si>
  <si>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</si>
  <si>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</si>
  <si>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</si>
  <si>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</si>
  <si>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</si>
  <si>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</si>
  <si>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</si>
  <si>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</si>
  <si>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</si>
  <si>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</si>
  <si>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</si>
  <si>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</si>
  <si>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</si>
  <si>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</si>
  <si>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</si>
  <si>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</si>
  <si>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</si>
  <si>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</si>
  <si>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</si>
  <si>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</si>
  <si>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</si>
  <si>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</si>
  <si>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</si>
  <si>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</si>
  <si>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</si>
  <si>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</si>
  <si>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</si>
  <si>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</si>
  <si>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</si>
  <si>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</si>
  <si>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</si>
  <si>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</si>
  <si>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</si>
  <si>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</si>
  <si>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</si>
  <si>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</si>
  <si>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obstruçao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</si>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</sst>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12463770</v>
      </c>
      <c r="D35" s="13">
        <f>IFERROR(SUM(D4:D34),"")</f>
        <v>5764850</v>
      </c>
      <c r="E35" s="13">
        <f>IFERROR(SUM(E4:E34),"")</f>
        <v>2778590</v>
      </c>
      <c r="F35" s="13">
        <f>IFERROR(SUM(F4:F34),"")</f>
        <v>4975930</v>
      </c>
      <c r="G35" s="13">
        <f>IFERROR(SUM(G4:G34),"")</f>
        <v>13519370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1" zoomScale="85" zoomScaleNormal="85" workbookViewId="0">
      <selection activeCell="M52" sqref="M5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 t="s">
        <v>180</v>
      </c>
    </row>
    <row r="50" spans="1:13" ht="21" customHeight="1">
      <c r="A50" s="19" t="s">
        <v>181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182</v>
      </c>
      <c r="L50" s="16"/>
      <c r="M50" s="16" t="s">
        <v>183</v>
      </c>
    </row>
    <row r="51" spans="1:13" ht="24" customHeight="1">
      <c r="H51" s="96"/>
      <c r="I51" s="17"/>
      <c r="J51" s="17"/>
      <c r="K51" s="17" t="s">
        <v>184</v>
      </c>
      <c r="L51" s="17"/>
      <c r="M51" s="17" t="s">
        <v>185</v>
      </c>
    </row>
    <row r="52" spans="1:13" ht="24" customHeight="1">
      <c r="H52" s="96"/>
      <c r="I52" s="16"/>
      <c r="J52" s="16"/>
      <c r="K52" s="16" t="s">
        <v>186</v>
      </c>
      <c r="L52" s="16"/>
      <c r="M52" s="16"/>
    </row>
    <row r="53" spans="1:13" ht="36" customHeight="1">
      <c r="H53" s="96"/>
      <c r="I53" s="17"/>
      <c r="J53" s="17"/>
      <c r="K53" s="17" t="s">
        <v>187</v>
      </c>
      <c r="L53" s="17"/>
      <c r="M53" s="17"/>
    </row>
    <row r="54" spans="1:13" ht="15" customHeight="1">
      <c r="H54" s="96"/>
      <c r="I54" s="16"/>
      <c r="J54" s="16"/>
      <c r="K54" s="16" t="s">
        <v>188</v>
      </c>
      <c r="L54" s="16"/>
      <c r="M54" s="16"/>
    </row>
    <row r="55" spans="1:13" ht="15" customHeight="1">
      <c r="H55" s="96"/>
      <c r="I55" s="17"/>
      <c r="J55" s="17"/>
      <c r="K55" s="17" t="s">
        <v>189</v>
      </c>
      <c r="L55" s="17"/>
      <c r="M55" s="17"/>
    </row>
    <row r="56" spans="1:13" ht="15" customHeight="1">
      <c r="H56" s="96"/>
      <c r="I56" s="16"/>
      <c r="J56" s="16"/>
      <c r="K56" s="16" t="s">
        <v>190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14" activePane="bottomLeft" state="frozen"/>
      <selection pane="bottomLeft" activeCell="L138" sqref="L13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201</v>
      </c>
      <c r="E2" s="59" t="s">
        <v>202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205</v>
      </c>
      <c r="O27" s="39">
        <v>1183060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205</v>
      </c>
      <c r="O54" s="39">
        <v>959290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205</v>
      </c>
      <c r="O81" s="39">
        <v>878050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202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184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205</v>
      </c>
      <c r="O108" s="39">
        <v>1700000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180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205</v>
      </c>
      <c r="O135" s="39">
        <v>862330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23</v>
      </c>
      <c r="J137" s="33" t="s">
        <v>178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>
        <v>7</v>
      </c>
      <c r="G138" s="28" t="str">
        <f t="shared" si="30"/>
        <v/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/>
      <c r="M138" s="30">
        <f t="shared" ca="1" si="31"/>
        <v>9.5469560183119029E-2</v>
      </c>
      <c r="N138" s="27" t="s">
        <v>213</v>
      </c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>
        <v>8</v>
      </c>
      <c r="G139" s="34" t="str">
        <f t="shared" si="30"/>
        <v/>
      </c>
      <c r="H139" s="33" t="s">
        <v>19</v>
      </c>
      <c r="I139" s="33" t="s">
        <v>23</v>
      </c>
      <c r="J139" s="33" t="s">
        <v>101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>
        <v>6</v>
      </c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>
        <v>7</v>
      </c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>
        <v>6</v>
      </c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>
        <v>4</v>
      </c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38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0.1510251157386745</v>
      </c>
      <c r="N149" s="36" t="s">
        <v>205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44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38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0.1510251157386745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45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39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8" activePane="bottomLeft" state="frozen"/>
      <selection pane="bottomLeft" activeCell="F145" sqref="F14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205</v>
      </c>
      <c r="O27" s="78">
        <v>393200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184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205</v>
      </c>
      <c r="O54" s="85">
        <v>276360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205</v>
      </c>
      <c r="O81" s="54">
        <v>787860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205</v>
      </c>
      <c r="O108" s="54">
        <v>1087080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183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98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205</v>
      </c>
      <c r="O135" s="54">
        <v>794480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18</v>
      </c>
      <c r="I137" s="33" t="s">
        <v>63</v>
      </c>
      <c r="J137" s="33" t="s">
        <v>188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24</v>
      </c>
      <c r="G140" s="28">
        <f t="shared" si="30"/>
        <v>120</v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63</v>
      </c>
      <c r="G149" s="36">
        <f>SUM(G137:G148)</f>
        <v>315</v>
      </c>
      <c r="H149" s="37"/>
      <c r="I149" s="37"/>
      <c r="J149" s="37"/>
      <c r="K149" s="37"/>
      <c r="L149" s="37"/>
      <c r="M149" s="38">
        <f ca="1">IFERROR(SUM(M137:M148),"")</f>
        <v>0.18333333333333329</v>
      </c>
      <c r="N149" s="36" t="s">
        <v>205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54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63</v>
      </c>
      <c r="G163" s="40">
        <f>G149+G162</f>
        <v>315</v>
      </c>
      <c r="H163" s="41"/>
      <c r="I163" s="41"/>
      <c r="J163" s="41"/>
      <c r="K163" s="41"/>
      <c r="L163" s="41"/>
      <c r="M163" s="42">
        <f ca="1">IFERROR(M149+M162,"")</f>
        <v>0.18333333333333329</v>
      </c>
      <c r="N163" s="40" t="s">
        <v>208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78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78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78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78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78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78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78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78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78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78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78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78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78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78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78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78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78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78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78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78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78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7" activePane="bottomLeft" state="frozen"/>
      <selection pane="bottomLeft" activeCell="F145" sqref="F14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205</v>
      </c>
      <c r="O27" s="39">
        <v>308500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205</v>
      </c>
      <c r="O54" s="39">
        <v>124290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205</v>
      </c>
      <c r="O81" s="39">
        <v>396340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205</v>
      </c>
      <c r="O108" s="39">
        <v>41230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183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205</v>
      </c>
      <c r="O135" s="39">
        <v>381250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47</v>
      </c>
      <c r="J138" s="26" t="s">
        <v>185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12</v>
      </c>
      <c r="G140" s="28">
        <f t="shared" si="30"/>
        <v>60</v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6</v>
      </c>
      <c r="G141" s="34">
        <f t="shared" si="30"/>
        <v>30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202</v>
      </c>
      <c r="F144" s="27">
        <v>6</v>
      </c>
      <c r="G144" s="28">
        <f t="shared" si="30"/>
        <v>30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41</v>
      </c>
      <c r="G149" s="36">
        <f>SUM(G137:G148)</f>
        <v>205</v>
      </c>
      <c r="H149" s="37"/>
      <c r="I149" s="37"/>
      <c r="J149" s="37"/>
      <c r="K149" s="37"/>
      <c r="L149" s="37"/>
      <c r="M149" s="38">
        <f ca="1">IFERROR(SUM(M137:M148),"")</f>
        <v>3.5416666666666707E-2</v>
      </c>
      <c r="N149" s="36" t="s">
        <v>205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39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41</v>
      </c>
      <c r="G163" s="40">
        <f>G149+G162</f>
        <v>205</v>
      </c>
      <c r="H163" s="41"/>
      <c r="I163" s="41"/>
      <c r="J163" s="41"/>
      <c r="K163" s="41"/>
      <c r="L163" s="41"/>
      <c r="M163" s="42">
        <f ca="1">IFERROR(M149+M162,"")</f>
        <v>3.5416666666666707E-2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39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39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07" activePane="bottomLeft" state="frozen"/>
      <selection pane="bottomLeft" activeCell="F145" sqref="F14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182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205</v>
      </c>
      <c r="O27" s="39">
        <v>202230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186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205</v>
      </c>
      <c r="O54" s="39">
        <v>473910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239</v>
      </c>
      <c r="L58" s="29">
        <v>0.54097222222222219</v>
      </c>
      <c r="M58" s="30" t="str">
        <f t="shared" ca="1" si="13"/>
        <v/>
      </c>
      <c r="N58" s="27" t="s">
        <v>240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205</v>
      </c>
      <c r="O81" s="39">
        <v>565120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205</v>
      </c>
      <c r="O108" s="39">
        <v>558590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190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183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0.39546956018602941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0.59477511574158504</v>
      </c>
      <c r="N135" s="36" t="s">
        <v>205</v>
      </c>
      <c r="O135" s="39">
        <v>729290</v>
      </c>
    </row>
    <row r="136" spans="1:18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0.96213622685269606</v>
      </c>
      <c r="N136" s="40" t="s">
        <v>208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 t="s">
        <v>19</v>
      </c>
      <c r="I139" s="33" t="s">
        <v>152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249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27</v>
      </c>
      <c r="G140" s="28">
        <f t="shared" si="30"/>
        <v>135</v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85</v>
      </c>
      <c r="G149" s="36">
        <f>SUM(G137:G148)</f>
        <v>425</v>
      </c>
      <c r="H149" s="37"/>
      <c r="I149" s="37"/>
      <c r="J149" s="37"/>
      <c r="K149" s="61"/>
      <c r="L149" s="61"/>
      <c r="M149" s="38">
        <f ca="1">IFERROR(SUM(M137:M148),"")</f>
        <v>3.7500000000000033E-2</v>
      </c>
      <c r="N149" s="36" t="s">
        <v>205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205</v>
      </c>
      <c r="O162" s="39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85</v>
      </c>
      <c r="G163" s="40">
        <f>G149+G162</f>
        <v>425</v>
      </c>
      <c r="H163" s="41"/>
      <c r="I163" s="41"/>
      <c r="J163" s="41"/>
      <c r="K163" s="63"/>
      <c r="L163" s="63"/>
      <c r="M163" s="42">
        <f ca="1">IFERROR(M149+M162,"")</f>
        <v>3.7500000000000033E-2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205</v>
      </c>
      <c r="O216" s="45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205</v>
      </c>
      <c r="O432" s="39"/>
    </row>
    <row r="433" spans="1:17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2026-07-06T19:28:38Z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