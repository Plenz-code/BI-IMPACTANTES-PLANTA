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19" documentId="8_{C51EB6CB-002B-4D6B-B68F-DDEBDB4460C0}" xr6:coauthVersionLast="47" xr6:coauthVersionMax="47" xr10:uidLastSave="{DAD2737B-A4CF-40B9-9737-8DDD70DF8C4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<sst xmlns="http://schemas.openxmlformats.org/spreadsheetml/2006/main" count="2083" uniqueCount="259">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</sst>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9" sqref="F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81</v>
      </c>
      <c r="G68" s="36">
        <f>SUM(G56:G67)</f>
        <v>405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81</v>
      </c>
      <c r="G82" s="40">
        <f>G68+G81</f>
        <v>405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0" activePane="bottomLeft" state="frozen"/>
      <selection pane="bottomLeft" activeCell="K69" sqref="K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0.32978148147958564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0.46867037036847453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0.55339259259069684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39</v>
      </c>
      <c r="G68" s="36">
        <f>SUM(G56:G67)</f>
        <v>163.80000000000001</v>
      </c>
      <c r="H68" s="37"/>
      <c r="I68" s="37"/>
      <c r="J68" s="37"/>
      <c r="K68" s="37"/>
      <c r="L68" s="37"/>
      <c r="M68" s="38">
        <f ca="1">IFERROR(SUM(M56:M67),"")</f>
        <v>3.6805555555555543E-2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 t="s">
        <v>21</v>
      </c>
      <c r="D69" s="62" t="s">
        <v>38</v>
      </c>
      <c r="E69" s="62" t="s">
        <v>242</v>
      </c>
      <c r="F69" s="27">
        <v>1</v>
      </c>
      <c r="G69" s="34">
        <f t="shared" ref="G69:G80" si="15">IF(F69="","",IF(E69="PC 17",F69*4.2,IF(E69="PC 19",F69*5,IF(E69="CB",F69*24,""))))</f>
        <v>4.2</v>
      </c>
      <c r="H69" s="33" t="s">
        <v>19</v>
      </c>
      <c r="I69" s="33" t="s">
        <v>156</v>
      </c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21</v>
      </c>
      <c r="D70" s="62" t="s">
        <v>38</v>
      </c>
      <c r="E70" s="62" t="s">
        <v>242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21</v>
      </c>
      <c r="D71" s="62" t="s">
        <v>38</v>
      </c>
      <c r="E71" s="62" t="s">
        <v>242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21</v>
      </c>
      <c r="D72" s="62" t="s">
        <v>38</v>
      </c>
      <c r="E72" s="62" t="s">
        <v>242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21</v>
      </c>
      <c r="D73" s="62" t="s">
        <v>38</v>
      </c>
      <c r="E73" s="62" t="s">
        <v>242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21</v>
      </c>
      <c r="D74" s="62" t="s">
        <v>38</v>
      </c>
      <c r="E74" s="62" t="s">
        <v>242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21</v>
      </c>
      <c r="D75" s="62" t="s">
        <v>38</v>
      </c>
      <c r="E75" s="62" t="s">
        <v>242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21</v>
      </c>
      <c r="D76" s="62" t="s">
        <v>38</v>
      </c>
      <c r="E76" s="62" t="s">
        <v>242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21</v>
      </c>
      <c r="D77" s="62" t="s">
        <v>38</v>
      </c>
      <c r="E77" s="62" t="s">
        <v>242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21</v>
      </c>
      <c r="D78" s="62" t="s">
        <v>38</v>
      </c>
      <c r="E78" s="62" t="s">
        <v>242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21</v>
      </c>
      <c r="D79" s="62" t="s">
        <v>38</v>
      </c>
      <c r="E79" s="62" t="s">
        <v>242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21</v>
      </c>
      <c r="D80" s="62" t="s">
        <v>38</v>
      </c>
      <c r="E80" s="62" t="s">
        <v>242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1</v>
      </c>
      <c r="G81" s="36">
        <f>SUM(G69:G80)</f>
        <v>4.2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40</v>
      </c>
      <c r="G82" s="40">
        <f>G68+G81</f>
        <v>168</v>
      </c>
      <c r="H82" s="41"/>
      <c r="I82" s="41"/>
      <c r="J82" s="41"/>
      <c r="K82" s="41"/>
      <c r="L82" s="41"/>
      <c r="M82" s="42">
        <f ca="1">IFERROR(M68+M81,"")</f>
        <v>3.6805555555555543E-2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68 J70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F59" sqref="F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14</v>
      </c>
      <c r="G68" s="36">
        <f>SUM(G56:G67)</f>
        <v>58.800000000000004</v>
      </c>
      <c r="H68" s="37"/>
      <c r="I68" s="37"/>
      <c r="J68" s="37"/>
      <c r="K68" s="37"/>
      <c r="L68" s="37"/>
      <c r="M68" s="38">
        <f ca="1">IFERROR(SUM(M56:M67),"")</f>
        <v>5.5555555555555358E-3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14</v>
      </c>
      <c r="G82" s="40">
        <f>G68+G81</f>
        <v>58.800000000000004</v>
      </c>
      <c r="H82" s="41"/>
      <c r="I82" s="41"/>
      <c r="J82" s="41"/>
      <c r="K82" s="41"/>
      <c r="L82" s="41"/>
      <c r="M82" s="42">
        <f ca="1">IFERROR(M68+M81,"")</f>
        <v>5.5555555555555358E-3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45</v>
      </c>
      <c r="G68" s="36">
        <f>SUM(G56:G67)</f>
        <v>189</v>
      </c>
      <c r="H68" s="37"/>
      <c r="I68" s="37"/>
      <c r="J68" s="37"/>
      <c r="K68" s="61"/>
      <c r="L68" s="61"/>
      <c r="M68" s="38">
        <f ca="1">IFERROR(SUM(M56:M67),"")</f>
        <v>5.5555555555555913E-3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45</v>
      </c>
      <c r="G82" s="40">
        <f>G68+G81</f>
        <v>189</v>
      </c>
      <c r="H82" s="41"/>
      <c r="I82" s="41"/>
      <c r="J82" s="41"/>
      <c r="K82" s="63"/>
      <c r="L82" s="63"/>
      <c r="M82" s="42">
        <f ca="1">IFERROR(M68+M81,"")</f>
        <v>5.5555555555555913E-3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2026-08-03T14:49:53Z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