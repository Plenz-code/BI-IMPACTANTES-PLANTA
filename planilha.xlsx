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14" documentId="13_ncr:1_{A6DBCFB4-28D9-4249-9038-216934055CA6}" xr6:coauthVersionLast="47" xr6:coauthVersionMax="47" xr10:uidLastSave="{D3CC6CE7-1AC3-46C0-B878-4A14580D8457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35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8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<sst xmlns="http://schemas.openxmlformats.org/spreadsheetml/2006/main" count="10850" uniqueCount="442">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</sst>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L651" sqref="L65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/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/>
      <c r="L651" s="64"/>
      <c r="M651" s="70" t="str">
        <f t="shared" ca="1" si="141"/>
        <v/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/>
      <c r="G657" s="68" t="str">
        <f t="shared" si="140"/>
        <v/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/>
      <c r="G658" s="63" t="str">
        <f t="shared" si="140"/>
        <v/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/>
      <c r="G659" s="68" t="str">
        <f t="shared" si="140"/>
        <v/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/>
      <c r="G660" s="63" t="str">
        <f t="shared" si="140"/>
        <v/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198</v>
      </c>
      <c r="G662" s="2">
        <f>SUM(G650:G661)</f>
        <v>990</v>
      </c>
      <c r="H662" s="71"/>
      <c r="I662" s="71"/>
      <c r="J662" s="71"/>
      <c r="K662" s="71"/>
      <c r="L662" s="71"/>
      <c r="M662" s="72">
        <f ca="1">IFERROR(SUM(M650:M661),"")</f>
        <v>0.10902777777777772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198</v>
      </c>
      <c r="G676" s="1">
        <f>G662+G675</f>
        <v>990</v>
      </c>
      <c r="H676" s="75"/>
      <c r="I676" s="75"/>
      <c r="J676" s="75"/>
      <c r="K676" s="75"/>
      <c r="L676" s="75"/>
      <c r="M676" s="76">
        <f ca="1">IFERROR(M662+M675,"")</f>
        <v>0.10902777777777772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P637" sqref="P63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0.50548807869927259</v>
      </c>
      <c r="R53" s="79" t="s">
        <v>319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0.64437696758816032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0.72909918981038313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72">IFERROR(IF(O650="","",IF(P650="",MOD(NOW()-O650,1),IF(P650&gt;=O650,P650-O650,P650+1-O650))),"")</f>
        <v>0.33534918981604278</v>
      </c>
      <c r="R650" s="79"/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70"/>
        <v/>
      </c>
      <c r="K651" s="68">
        <f t="shared" si="171"/>
        <v>0</v>
      </c>
      <c r="L651" s="69"/>
      <c r="M651" s="69"/>
      <c r="N651" s="69"/>
      <c r="O651" s="64"/>
      <c r="P651" s="64"/>
      <c r="Q651" s="70" t="str">
        <f t="shared" ca="1" si="172"/>
        <v/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/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70"/>
        <v/>
      </c>
      <c r="K657" s="68" t="str">
        <f t="shared" si="171"/>
        <v/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70"/>
        <v/>
      </c>
      <c r="K658" s="63" t="str">
        <f t="shared" si="171"/>
        <v/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0.33534918981604278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0.33534918981604278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57" sqref="G65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357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358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357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357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359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360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361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362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363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364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365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366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367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368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369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370</v>
      </c>
      <c r="Q222" s="65" t="str">
        <f t="shared" ca="1" si="49"/>
        <v/>
      </c>
      <c r="R222" s="62" t="s">
        <v>371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372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373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374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375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376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377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377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378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379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364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380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381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382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383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384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385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357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380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377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386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386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386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362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387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69">IFERROR(IF(O650="","",IF(P650="",MOD(NOW()-O650,1),IF(P650&gt;=O650,P650-O650,P650+1-O650))),"")</f>
        <v>0.33534918981604278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/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 t="str">
        <f t="shared" si="168"/>
        <v/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 t="str">
        <f t="shared" si="168"/>
        <v/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 t="str">
        <f t="shared" si="168"/>
        <v/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 t="str">
        <f t="shared" si="168"/>
        <v/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0.33534918981604278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0.33534918981604278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45" activePane="bottomLeft" state="frozen"/>
      <selection pane="bottomLeft" activeCell="M655" sqref="M65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388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357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389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390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391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392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393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394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357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357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395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396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357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397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398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399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401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402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403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404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405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406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407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408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409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410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411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412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413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414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415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416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417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418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419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420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421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415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422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379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423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424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425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426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427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428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429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430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431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414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415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432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433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434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379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435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379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414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436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431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437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438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439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440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70"/>
        <v/>
      </c>
      <c r="K658" s="63" t="str">
        <f t="shared" si="171"/>
        <v/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46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203.60000000000002</v>
      </c>
      <c r="L662" s="71"/>
      <c r="M662" s="71"/>
      <c r="N662" s="71"/>
      <c r="O662" s="133"/>
      <c r="P662" s="133"/>
      <c r="Q662" s="72">
        <f ca="1">IFERROR(SUM(Q650:Q661),"")</f>
        <v>0.2180555555555555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46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203.60000000000002</v>
      </c>
      <c r="L676" s="75"/>
      <c r="M676" s="75"/>
      <c r="N676" s="75"/>
      <c r="O676" s="134"/>
      <c r="P676" s="134"/>
      <c r="Q676" s="76">
        <f ca="1">IFERROR(Q662+Q675,"")</f>
        <v>0.2180555555555555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2026-08-25T19:04:27Z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