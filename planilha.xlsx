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" documentId="13_ncr:1_{A6DBCFB4-28D9-4249-9038-216934055CA6}" xr6:coauthVersionLast="47" xr6:coauthVersionMax="47" xr10:uidLastSave="{10F5D3AC-9B6D-4BE6-846F-90E018A7132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<sst xmlns="http://schemas.openxmlformats.org/spreadsheetml/2006/main" count="8432" uniqueCount="394">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</sst>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6" sqref="G49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0.50547673610708443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0.64436562499597216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0.72908784721819497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40</v>
      </c>
      <c r="N490" s="61" t="s">
        <v>36</v>
      </c>
      <c r="O490" s="65">
        <v>0.61805555555555558</v>
      </c>
      <c r="P490" s="65"/>
      <c r="Q490" s="66">
        <f t="shared" ca="1" si="124"/>
        <v>8.9489583333488554E-3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97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416.20000000000005</v>
      </c>
      <c r="L500" s="72"/>
      <c r="M500" s="72"/>
      <c r="N500" s="72"/>
      <c r="O500" s="72"/>
      <c r="P500" s="72"/>
      <c r="Q500" s="73">
        <f ca="1">IFERROR(SUM(Q488:Q499),"")</f>
        <v>4.8532291666682104E-2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97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416.20000000000005</v>
      </c>
      <c r="L514" s="76"/>
      <c r="M514" s="76"/>
      <c r="N514" s="76"/>
      <c r="O514" s="76"/>
      <c r="P514" s="76"/>
      <c r="Q514" s="77">
        <f ca="1">IFERROR(Q500+Q513,"")</f>
        <v>4.8532291666682104E-2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5" sqref="G49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3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0"/>
        <v>0</v>
      </c>
      <c r="K494" s="64" t="e">
        <f>IF(G494="","",IF(#REF!="PC 17",G494*4.2,IF(#REF!="PC 19",G494*5,IF(#REF!="CB",G494*24,""))))</f>
        <v>#REF!</v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36</v>
      </c>
      <c r="H500" s="95">
        <f>IFERROR(SUM(H488:H499),"")</f>
        <v>0</v>
      </c>
      <c r="I500" s="97"/>
      <c r="J500" s="98">
        <f>IFERROR(SUM(J488:J499),"")</f>
        <v>0</v>
      </c>
      <c r="K500" s="2" t="e">
        <f>SUM(K488:K499)</f>
        <v>#REF!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36</v>
      </c>
      <c r="H514" s="108">
        <f>IFERROR(H500+H513,"")</f>
        <v>0</v>
      </c>
      <c r="I514" s="110"/>
      <c r="J514" s="111">
        <f>IFERROR(J500+J513,"")</f>
        <v>0</v>
      </c>
      <c r="K514" s="1" t="e">
        <f>K500+K513</f>
        <v>#REF!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G496" sqref="G49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593.6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140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593.6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