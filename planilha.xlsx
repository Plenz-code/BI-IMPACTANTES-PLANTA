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6" documentId="8_{AF585B22-221D-4780-BB9C-493D365A6A02}" xr6:coauthVersionLast="47" xr6:coauthVersionMax="47" xr10:uidLastSave="{9329CDE5-C661-4182-880B-553B1CFD2EE6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<sst xmlns="http://schemas.openxmlformats.org/spreadsheetml/2006/main" count="1507" uniqueCount="207">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</sst>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0.17533576388814254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0.22255798611036476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0.22255798611036476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J33" sqref="J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17</v>
      </c>
      <c r="I32" s="26"/>
      <c r="J32" s="26" t="s">
        <v>25</v>
      </c>
      <c r="K32" s="29">
        <v>0.55138888888888893</v>
      </c>
      <c r="L32" s="29"/>
      <c r="M32" s="30">
        <f t="shared" ca="1" si="7"/>
        <v>3.1135416647884995E-3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37</v>
      </c>
      <c r="G41" s="36">
        <f>SUM(G29:G40)</f>
        <v>155.4</v>
      </c>
      <c r="H41" s="37"/>
      <c r="I41" s="37"/>
      <c r="J41" s="37"/>
      <c r="K41" s="37"/>
      <c r="L41" s="37"/>
      <c r="M41" s="38">
        <f ca="1">IFERROR(SUM(M29:M40),"")</f>
        <v>5.4502430553677372E-2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37</v>
      </c>
      <c r="G55" s="40">
        <f>G41+G54</f>
        <v>155.4</v>
      </c>
      <c r="H55" s="41"/>
      <c r="I55" s="41"/>
      <c r="J55" s="41"/>
      <c r="K55" s="41"/>
      <c r="L55" s="41"/>
      <c r="M55" s="42">
        <f ca="1">IFERROR(M41+M54,"")</f>
        <v>5.4502430553677372E-2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J31" sqref="J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/>
      <c r="M30" s="30">
        <f t="shared" ca="1" si="7"/>
        <v>3.1135416647884995E-3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16</v>
      </c>
      <c r="G41" s="36">
        <f>SUM(G29:G40)</f>
        <v>67.2</v>
      </c>
      <c r="H41" s="37"/>
      <c r="I41" s="37"/>
      <c r="J41" s="37"/>
      <c r="K41" s="37"/>
      <c r="L41" s="37"/>
      <c r="M41" s="38">
        <f ca="1">IFERROR(SUM(M29:M40),"")</f>
        <v>0.14964131944256626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41"/>
      <c r="L55" s="41"/>
      <c r="M55" s="42">
        <f ca="1">IFERROR(M41+M54,"")</f>
        <v>0.14964131944256626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J34" sqref="J3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9</v>
      </c>
      <c r="G33" s="28">
        <f t="shared" si="6"/>
        <v>37.800000000000004</v>
      </c>
      <c r="H33" s="33" t="s">
        <v>20</v>
      </c>
      <c r="I33" s="33" t="s">
        <v>57</v>
      </c>
      <c r="J33" s="33" t="s">
        <v>28</v>
      </c>
      <c r="K33" s="29">
        <v>0.48055555555555557</v>
      </c>
      <c r="L33" s="29"/>
      <c r="M33" s="30">
        <f t="shared" ca="1" si="7"/>
        <v>7.3946874996181577E-2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 t="s">
        <v>17</v>
      </c>
      <c r="I34" s="26"/>
      <c r="J34" s="26" t="s">
        <v>25</v>
      </c>
      <c r="K34" s="29">
        <v>0.55347222222222225</v>
      </c>
      <c r="L34" s="29"/>
      <c r="M34" s="35">
        <f t="shared" ca="1" si="7"/>
        <v>1.03020833194023E-3</v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25</v>
      </c>
      <c r="G41" s="36">
        <f>SUM(G29:G40)</f>
        <v>105</v>
      </c>
      <c r="H41" s="37"/>
      <c r="I41" s="37"/>
      <c r="J41" s="37"/>
      <c r="K41" s="61"/>
      <c r="L41" s="61"/>
      <c r="M41" s="38">
        <f ca="1">IFERROR(SUM(M29:M40),"")</f>
        <v>0.20761597221701067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25</v>
      </c>
      <c r="G55" s="40">
        <f>G41+G54</f>
        <v>105</v>
      </c>
      <c r="H55" s="41"/>
      <c r="I55" s="41"/>
      <c r="J55" s="41"/>
      <c r="K55" s="63"/>
      <c r="L55" s="63"/>
      <c r="M55" s="42">
        <f ca="1">IFERROR(M41+M54,"")</f>
        <v>0.20761597221701067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2026-07-02T17:18:35Z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