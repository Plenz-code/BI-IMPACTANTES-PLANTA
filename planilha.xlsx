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43" documentId="13_ncr:1_{0A10D8D4-8450-4366-8075-B53B08E6B7EA}" xr6:coauthVersionLast="47" xr6:coauthVersionMax="47" xr10:uidLastSave="{69DC5C76-3016-4738-BC65-4F8944FBD9DF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5" i="6"/>
  <c r="J435" i="6" s="1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5" i="5"/>
  <c r="J435" i="5" s="1"/>
  <c r="H436" i="5"/>
  <c r="J436" i="5" s="1"/>
  <c r="H437" i="5"/>
  <c r="J437" i="5" s="1"/>
  <c r="H438" i="5"/>
  <c r="J438" i="5" s="1"/>
  <c r="H439" i="5"/>
  <c r="J439" i="5" s="1"/>
  <c r="H440" i="5"/>
  <c r="J440" i="5" s="1"/>
  <c r="H441" i="5"/>
  <c r="J441" i="5" s="1"/>
  <c r="H442" i="5"/>
  <c r="J442" i="5" s="1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35" i="4"/>
  <c r="J435" i="4" s="1"/>
  <c r="H436" i="4"/>
  <c r="J436" i="4" s="1"/>
  <c r="H437" i="4"/>
  <c r="J437" i="4" s="1"/>
  <c r="H438" i="4"/>
  <c r="J438" i="4" s="1"/>
  <c r="H439" i="4"/>
  <c r="J439" i="4" s="1"/>
  <c r="H440" i="4"/>
  <c r="J440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H434" i="6" s="1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H434" i="5" s="1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H434" i="4" s="1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34" i="6" l="1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<sst xmlns="http://schemas.openxmlformats.org/spreadsheetml/2006/main" count="7515" uniqueCount="363">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</sst>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04" activePane="bottomLeft" state="frozen"/>
      <selection pane="bottomLeft" activeCell="F435" sqref="F435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11</v>
      </c>
      <c r="G446" s="36">
        <f>SUM(G434:G445)</f>
        <v>55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11</v>
      </c>
      <c r="G460" s="40">
        <f>G446+G459</f>
        <v>55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02" activePane="bottomLeft" state="frozen"/>
      <selection pane="bottomLeft" activeCell="R435" sqref="R435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0.2404714120348217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0.37936030092371059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0.4640825231459329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/>
      <c r="H435" s="134" t="str">
        <f>IFERROR(IF($G435="","",$G435*$S$446/$G$446/Cadastro!$E$33),"")</f>
        <v/>
      </c>
      <c r="I435" s="135">
        <f>IFERROR(IF($D435="","",VLOOKUP($D435,Cadastro!$C$4:$G$7,5,FALSE)),"")</f>
        <v>0.6</v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308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>IF(G440="","",IF(E445="PC 17",G440*4.2,IF(E445="PC 19",G440*5,IF(E445="CB",G440*24,""))))</f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9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37.800000000000004</v>
      </c>
      <c r="L446" s="37"/>
      <c r="M446" s="37"/>
      <c r="N446" s="37"/>
      <c r="O446" s="37"/>
      <c r="P446" s="37"/>
      <c r="Q446" s="38">
        <f ca="1">IFERROR(SUM(Q434:Q445),"")</f>
        <v>2.0138888888888873E-2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9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37.800000000000004</v>
      </c>
      <c r="L460" s="41"/>
      <c r="M460" s="41"/>
      <c r="N460" s="41"/>
      <c r="O460" s="41"/>
      <c r="P460" s="41"/>
      <c r="Q460" s="42">
        <f ca="1">IFERROR(Q446+Q459,"")</f>
        <v>2.0138888888888873E-2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00" activePane="bottomLeft" state="frozen"/>
      <selection pane="bottomLeft" activeCell="P435" sqref="P435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/>
      <c r="H435" s="134" t="str">
        <f>IFERROR(IF($G435="","",$G435*$S$446/$G$446/Cadastro!$E$33),"")</f>
        <v/>
      </c>
      <c r="I435" s="135">
        <f>IFERROR(IF($D435="","",VLOOKUP($D435,Cadastro!$C$4:$G$7,5,FALSE)),"")</f>
        <v>0.6</v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6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25.200000000000003</v>
      </c>
      <c r="L446" s="37"/>
      <c r="M446" s="37"/>
      <c r="N446" s="37"/>
      <c r="O446" s="37"/>
      <c r="P446" s="37"/>
      <c r="Q446" s="38">
        <f ca="1">IFERROR(SUM(Q434:Q445),"")</f>
        <v>9.7222222222222432E-3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6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25.200000000000003</v>
      </c>
      <c r="L460" s="41"/>
      <c r="M460" s="41"/>
      <c r="N460" s="41"/>
      <c r="O460" s="41"/>
      <c r="P460" s="41"/>
      <c r="Q460" s="42">
        <f ca="1">IFERROR(Q446+Q459,"")</f>
        <v>9.7222222222222432E-3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00" activePane="bottomLeft" state="frozen"/>
      <selection pane="bottomLeft" activeCell="G435" sqref="G435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/>
      <c r="H435" s="134" t="str">
        <f>IFERROR(IF($G435="","",$G435*$S$446/$G$446/Cadastro!$E$33),"")</f>
        <v/>
      </c>
      <c r="I435" s="135">
        <f>IFERROR(IF($D435="","",VLOOKUP($D435,Cadastro!$C$4:$G$7,5,FALSE)),"")</f>
        <v>0.6</v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18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75.600000000000009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18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75.600000000000009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2026-08-17T12:42:38Z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