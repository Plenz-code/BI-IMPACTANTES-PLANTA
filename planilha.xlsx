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83" documentId="8_{AF585B22-221D-4780-BB9C-493D365A6A02}" xr6:coauthVersionLast="47" xr6:coauthVersionMax="47" xr10:uidLastSave="{1D4960E4-5FC5-4253-8C89-72481568CC7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<sst xmlns="http://schemas.openxmlformats.org/spreadsheetml/2006/main" count="12371" uniqueCount="442">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</sst>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18" sqref="G8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8.1509490737516899E-2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8.1509490737516899E-2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8.1509490737516899E-2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0.34192627314769197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0.49956516203658086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0.60928738425880302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0.3203984953725012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0.49123182870583459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0.63637071759472352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103</v>
      </c>
      <c r="G824" s="109">
        <f>SUM(G812:G823)</f>
        <v>432.6</v>
      </c>
      <c r="H824" s="37"/>
      <c r="I824" s="37"/>
      <c r="J824" s="37"/>
      <c r="K824" s="37"/>
      <c r="L824" s="37"/>
      <c r="M824" s="110">
        <f ca="1">IFERROR(SUM(M812:M823),"")</f>
        <v>5.9722222222222177E-2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103</v>
      </c>
      <c r="G838" s="111">
        <f>G824+G837</f>
        <v>432.6</v>
      </c>
      <c r="H838" s="41"/>
      <c r="I838" s="41"/>
      <c r="J838" s="41"/>
      <c r="K838" s="41"/>
      <c r="L838" s="41"/>
      <c r="M838" s="112">
        <f ca="1">IFERROR(M824+M837,"")</f>
        <v>5.9722222222222177E-2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62</v>
      </c>
      <c r="G824" s="109">
        <f>SUM(G812:G823)</f>
        <v>260.39999999999998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62</v>
      </c>
      <c r="G838" s="111">
        <f>G824+G837</f>
        <v>260.39999999999998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N815" sqref="N8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0.3322040509301587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0.53150960648571433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0.89887071759682535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/>
      <c r="M814" s="78">
        <f ca="1">IFERROR(IF(K814="","",IF(L814="",MOD(NOW()-K814,1),IF(L814&gt;=K814,L814-K814,L814+1-K814))),"")</f>
        <v>2.2481712956505362E-2</v>
      </c>
      <c r="N814" s="105" t="s">
        <v>441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58</v>
      </c>
      <c r="G824" s="109">
        <f>SUM(G812:G823)</f>
        <v>243.60000000000002</v>
      </c>
      <c r="H824" s="37"/>
      <c r="I824" s="37"/>
      <c r="J824" s="37"/>
      <c r="K824" s="37"/>
      <c r="L824" s="37"/>
      <c r="M824" s="110">
        <f ca="1">IFERROR(SUM(M812:M823),"")</f>
        <v>9.3315046289838666E-2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58</v>
      </c>
      <c r="G838" s="111">
        <f>G824+G837</f>
        <v>243.60000000000002</v>
      </c>
      <c r="H838" s="41"/>
      <c r="I838" s="41"/>
      <c r="J838" s="41"/>
      <c r="K838" s="41"/>
      <c r="L838" s="41"/>
      <c r="M838" s="112">
        <f ca="1">IFERROR(M824+M837,"")</f>
        <v>9.3315046289838666E-2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2026-07-31T17:59:24Z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