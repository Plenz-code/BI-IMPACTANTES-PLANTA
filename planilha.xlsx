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79" documentId="8_{C51EB6CB-002B-4D6B-B68F-DDEBDB4460C0}" xr6:coauthVersionLast="47" xr6:coauthVersionMax="47" xr10:uidLastSave="{49986B02-C09E-491E-A7B2-1E675BA36CE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<sst xmlns="http://schemas.openxmlformats.org/spreadsheetml/2006/main" count="4460" uniqueCount="305">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</sst>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J218" sqref="J2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0.43402777777777779</v>
      </c>
      <c r="L218" s="29"/>
      <c r="M218" s="30">
        <f t="shared" ref="M218:M229" ca="1" si="49">IFERROR(IF(K218="","",IF(L218="",MOD(NOW()-K218,1),IF(L218&gt;=K218,L218-K218,L218+1-K218))),"")</f>
        <v>1.1591666661843192E-2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110</v>
      </c>
      <c r="G230" s="36">
        <f>SUM(G218:G229)</f>
        <v>550</v>
      </c>
      <c r="H230" s="37"/>
      <c r="I230" s="37"/>
      <c r="J230" s="37"/>
      <c r="K230" s="37"/>
      <c r="L230" s="37"/>
      <c r="M230" s="38">
        <f ca="1">IFERROR(SUM(M218:M229),"")</f>
        <v>1.1591666661843192E-2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110</v>
      </c>
      <c r="G244" s="40">
        <f>G230+G243</f>
        <v>550</v>
      </c>
      <c r="H244" s="41"/>
      <c r="I244" s="41"/>
      <c r="J244" s="41"/>
      <c r="K244" s="41"/>
      <c r="L244" s="41"/>
      <c r="M244" s="42">
        <f ca="1">IFERROR(M230+M243,"")</f>
        <v>1.1591666661843192E-2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0" sqref="J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0.32409166666184319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0.46298055555073209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0.5477027777729544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135</v>
      </c>
      <c r="J220" s="26" t="s">
        <v>61</v>
      </c>
      <c r="K220" s="29">
        <v>0.4375</v>
      </c>
      <c r="L220" s="29"/>
      <c r="M220" s="30">
        <f t="shared" ca="1" si="49"/>
        <v>8.1194444428547285E-3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7.7563888887299148E-2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7.7563888887299148E-2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5" zoomScale="50" zoomScaleNormal="50" workbookViewId="0">
      <selection activeCell="K219" sqref="K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>
        <v>0.4375</v>
      </c>
      <c r="L218" s="29"/>
      <c r="M218" s="30">
        <f t="shared" ref="M218:M229" ca="1" si="49">IFERROR(IF(K218="","",IF(L218="",MOD(NOW()-K218,1),IF(L218&gt;=K218,L218-K218,L218+1-K218))),"")</f>
        <v>8.1194444428547285E-3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8.1194444428547285E-3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8.1194444428547285E-3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2026-08-09T14:41:47Z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