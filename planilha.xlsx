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45" documentId="8_{AF585B22-221D-4780-BB9C-493D365A6A02}" xr6:coauthVersionLast="47" xr6:coauthVersionMax="47" xr10:uidLastSave="{A605F273-3862-4BEF-BB32-747DA04D9668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<sst xmlns="http://schemas.openxmlformats.org/spreadsheetml/2006/main" count="5321" uniqueCount="303">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</sst>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15" sqref="N3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66.8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284.3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03" activePane="bottomLeft" state="frozen"/>
      <selection pane="bottomLeft" activeCell="H314" sqref="H3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26</v>
      </c>
      <c r="K314" s="29">
        <v>0.91249999999999998</v>
      </c>
      <c r="L314" s="29"/>
      <c r="M314" s="30">
        <f t="shared" ca="1" si="70"/>
        <v>2.687939815223217E-2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6.3684953707787817E-2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0.21437939815223223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6" zoomScale="50" zoomScaleNormal="50" workbookViewId="0">
      <selection activeCell="F315" sqref="F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/>
      <c r="M312" s="30">
        <f t="shared" ref="M312:M323" ca="1" si="70">IFERROR(IF(K312="","",IF(L312="",MOD(NOW()-K312,1),IF(L312&gt;=K312,L312-K312,L312+1-K312))),"")</f>
        <v>0.14285162037413102</v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28</v>
      </c>
      <c r="G324" s="36">
        <f>SUM(G312:G323)</f>
        <v>117.60000000000002</v>
      </c>
      <c r="H324" s="37"/>
      <c r="I324" s="37"/>
      <c r="J324" s="37"/>
      <c r="K324" s="37"/>
      <c r="L324" s="37"/>
      <c r="M324" s="38">
        <f ca="1">IFERROR(SUM(M312:M323),"")</f>
        <v>0.14285162037413102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97</v>
      </c>
      <c r="G325" s="40">
        <f>G311+G324</f>
        <v>412.20000000000005</v>
      </c>
      <c r="H325" s="41"/>
      <c r="I325" s="41"/>
      <c r="J325" s="41"/>
      <c r="K325" s="41"/>
      <c r="L325" s="41"/>
      <c r="M325" s="42">
        <f ca="1">IFERROR(M311+M324,"")</f>
        <v>0.24215717592968644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5" activePane="bottomLeft" state="frozen"/>
      <selection pane="bottomLeft" activeCell="F315" sqref="F3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281</v>
      </c>
      <c r="L58" s="29">
        <v>0.54097222222222219</v>
      </c>
      <c r="M58" s="30" t="str">
        <f t="shared" ca="1" si="13"/>
        <v/>
      </c>
      <c r="N58" s="27" t="s">
        <v>282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0.69007384259748505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0.88937939815304068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1.2567405092641517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/>
      <c r="G315" s="34" t="str">
        <f t="shared" si="69"/>
        <v/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18</v>
      </c>
      <c r="I317" s="33" t="s">
        <v>128</v>
      </c>
      <c r="J317" s="33" t="s">
        <v>130</v>
      </c>
      <c r="K317" s="29">
        <v>0.89583333333333337</v>
      </c>
      <c r="L317" s="29"/>
      <c r="M317" s="35">
        <f t="shared" ca="1" si="70"/>
        <v>4.3546064815018326E-2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48</v>
      </c>
      <c r="G324" s="36">
        <f>SUM(G312:G323)</f>
        <v>217.6</v>
      </c>
      <c r="H324" s="37"/>
      <c r="I324" s="37"/>
      <c r="J324" s="37"/>
      <c r="K324" s="61"/>
      <c r="L324" s="61"/>
      <c r="M324" s="38">
        <f ca="1">IFERROR(SUM(M312:M323),"")</f>
        <v>8.3823842592796072E-2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78</v>
      </c>
      <c r="G325" s="40">
        <f>G311+G324</f>
        <v>343.6</v>
      </c>
      <c r="H325" s="41"/>
      <c r="I325" s="41"/>
      <c r="J325" s="41"/>
      <c r="K325" s="63"/>
      <c r="L325" s="63"/>
      <c r="M325" s="42">
        <f ca="1">IFERROR(M311+M324,"")</f>
        <v>0.4970182870372406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i:0#.f|membership|controle.planta@harpiagold.com.br</cp:lastModifiedBy>
  <cp:revision>0</cp:revision>
  <dcterms:created xsi:type="dcterms:W3CDTF">2026-06-05T19:56:02Z</dcterms:created>
  <dcterms:modified xsi:type="dcterms:W3CDTF">2026-07-13T02:32:57Z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