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61" documentId="13_ncr:1_{A6DBCFB4-28D9-4249-9038-216934055CA6}" xr6:coauthVersionLast="47" xr6:coauthVersionMax="47" xr10:uidLastSave="{8A222F9B-BE09-45C6-B103-1410BD120401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32" i="6" l="1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<sst xmlns="http://schemas.openxmlformats.org/spreadsheetml/2006/main" count="9035" uniqueCount="401">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</sst>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1" activePane="bottomLeft" state="frozen"/>
      <selection pane="bottomLeft" activeCell="J531" sqref="J53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/>
      <c r="M531" s="71">
        <f t="shared" ca="1" si="115"/>
        <v>0.11256863425660413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0.14312418981215969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0.18826307870104864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20" activePane="bottomLeft" state="frozen"/>
      <selection pane="bottomLeft" activeCell="L534" sqref="L53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4.9374305555829778E-2</v>
      </c>
      <c r="R53" s="80" t="s">
        <v>306</v>
      </c>
      <c r="S53" s="67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0.18826319444471751</v>
      </c>
      <c r="R54" s="2" t="s">
        <v>261</v>
      </c>
      <c r="S54" s="113">
        <v>352430</v>
      </c>
      <c r="T54" s="114"/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0.27298541666694032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260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260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170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42</v>
      </c>
      <c r="L534" s="61" t="s">
        <v>29</v>
      </c>
      <c r="M534" s="61" t="s">
        <v>48</v>
      </c>
      <c r="N534" s="61"/>
      <c r="O534" s="65">
        <v>0.15625</v>
      </c>
      <c r="P534" s="65"/>
      <c r="Q534" s="66">
        <f t="shared" ca="1" si="136"/>
        <v>1.4652083336841315E-2</v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68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297.60000000000002</v>
      </c>
      <c r="L540" s="72"/>
      <c r="M540" s="72"/>
      <c r="N540" s="72"/>
      <c r="O540" s="72"/>
      <c r="P540" s="72"/>
      <c r="Q540" s="73">
        <f ca="1">IFERROR(SUM(Q528:Q539),"")</f>
        <v>7.9235416670174752E-2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247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1123</v>
      </c>
      <c r="L541" s="76"/>
      <c r="M541" s="76"/>
      <c r="N541" s="76"/>
      <c r="O541" s="76"/>
      <c r="P541" s="76"/>
      <c r="Q541" s="77">
        <f ca="1">IFERROR(Q527+Q540,"")</f>
        <v>0.14381875000350802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08" activePane="bottomLeft" state="frozen"/>
      <selection pane="bottomLeft" activeCell="D539" sqref="D539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260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260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263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6" t="s">
        <v>249</v>
      </c>
      <c r="B433" s="156"/>
      <c r="C433" s="156"/>
      <c r="D433" s="156"/>
      <c r="E433" s="15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263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6" t="s">
        <v>249</v>
      </c>
      <c r="B514" s="156"/>
      <c r="C514" s="156"/>
      <c r="D514" s="156"/>
      <c r="E514" s="15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1"/>
        <v>0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1"/>
        <v>0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1"/>
        <v>0</v>
      </c>
      <c r="K533" s="69">
        <f t="shared" si="132"/>
        <v>8.4</v>
      </c>
      <c r="L533" s="70"/>
      <c r="M533" s="70" t="s">
        <v>56</v>
      </c>
      <c r="N533" s="70"/>
      <c r="O533" s="65">
        <v>0.11527777777777778</v>
      </c>
      <c r="P533" s="65"/>
      <c r="Q533" s="71">
        <f t="shared" ca="1" si="133"/>
        <v>5.5624189815716818E-2</v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1"/>
        <v>0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53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226.60000000000002</v>
      </c>
      <c r="L540" s="72"/>
      <c r="M540" s="72"/>
      <c r="N540" s="72"/>
      <c r="O540" s="72"/>
      <c r="P540" s="72"/>
      <c r="Q540" s="73">
        <f ca="1">IFERROR(SUM(Q528:Q539),"")</f>
        <v>9.173530092682794E-2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130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575.6</v>
      </c>
      <c r="L541" s="76"/>
      <c r="M541" s="76"/>
      <c r="N541" s="76"/>
      <c r="O541" s="76"/>
      <c r="P541" s="76"/>
      <c r="Q541" s="77">
        <f ca="1">IFERROR(Q527+Q540,"")</f>
        <v>0.16048530092682786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23" activePane="bottomLeft" state="frozen"/>
      <selection pane="bottomLeft" activeCell="N533" sqref="N53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263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6" t="s">
        <v>249</v>
      </c>
      <c r="B433" s="156"/>
      <c r="C433" s="156"/>
      <c r="D433" s="156"/>
      <c r="E433" s="15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263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6" t="s">
        <v>249</v>
      </c>
      <c r="B514" s="156"/>
      <c r="C514" s="156"/>
      <c r="D514" s="156"/>
      <c r="E514" s="15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58.800000000000004</v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58.800000000000004</v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124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536</v>
      </c>
      <c r="L540" s="72"/>
      <c r="M540" s="72"/>
      <c r="N540" s="72"/>
      <c r="O540" s="134"/>
      <c r="P540" s="134"/>
      <c r="Q540" s="73">
        <f ca="1">IFERROR(SUM(Q528:Q539),"")</f>
        <v>5.0000000000000128E-2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321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1437</v>
      </c>
      <c r="L541" s="76"/>
      <c r="M541" s="76"/>
      <c r="N541" s="76"/>
      <c r="O541" s="135"/>
      <c r="P541" s="135"/>
      <c r="Q541" s="77">
        <f ca="1">IFERROR(Q527+Q540,"")</f>
        <v>0.10000000000000023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2026-08-21T08:06:11Z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