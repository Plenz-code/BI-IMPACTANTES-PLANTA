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65" documentId="8_{C51EB6CB-002B-4D6B-B68F-DDEBDB4460C0}" xr6:coauthVersionLast="47" xr6:coauthVersionMax="47" xr10:uidLastSave="{BD76E0FB-C8E3-4FC2-B1A5-42679A61F4AB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<sst xmlns="http://schemas.openxmlformats.org/spreadsheetml/2006/main" count="5616" uniqueCount="336">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</sst>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E301" sqref="E301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/>
      <c r="M299" s="35">
        <f t="shared" ref="M299:M310" ca="1" si="67">IFERROR(IF(K299="","",IF(L299="",MOD(NOW()-K299,1),IF(L299&gt;=K299,L299-K299,L299+1-K299))),"")</f>
        <v>1.9876967591699213E-2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37</v>
      </c>
      <c r="G311" s="90">
        <f>SUM(G299:G310)</f>
        <v>185</v>
      </c>
      <c r="H311" s="37"/>
      <c r="I311" s="37"/>
      <c r="J311" s="37"/>
      <c r="K311" s="37"/>
      <c r="L311" s="37"/>
      <c r="M311" s="38">
        <f ca="1">IFERROR(SUM(M299:M310),"")</f>
        <v>1.9876967591699213E-2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37</v>
      </c>
      <c r="G325" s="40">
        <f>G311+G324</f>
        <v>185</v>
      </c>
      <c r="H325" s="41"/>
      <c r="I325" s="41"/>
      <c r="J325" s="41"/>
      <c r="K325" s="41"/>
      <c r="L325" s="41"/>
      <c r="M325" s="42">
        <f ca="1">IFERROR(M311+M324,"")</f>
        <v>1.9876967591699213E-2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8" activePane="bottomLeft" state="frozen"/>
      <selection pane="bottomLeft" activeCell="F300" sqref="F30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0.21709918980923248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0.35598807869812138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0.44071030092034369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</v>
      </c>
      <c r="G311" s="36">
        <f>SUM(G299:G310)</f>
        <v>37.800000000000004</v>
      </c>
      <c r="H311" s="37"/>
      <c r="I311" s="37"/>
      <c r="J311" s="37"/>
      <c r="K311" s="37"/>
      <c r="L311" s="37"/>
      <c r="M311" s="38">
        <f ca="1">IFERROR(SUM(M299:M310),"")</f>
        <v>6.9444444444444198E-4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9</v>
      </c>
      <c r="G325" s="40">
        <f>G311+G324</f>
        <v>37.800000000000004</v>
      </c>
      <c r="H325" s="41"/>
      <c r="I325" s="41"/>
      <c r="J325" s="41"/>
      <c r="K325" s="41"/>
      <c r="L325" s="41"/>
      <c r="M325" s="42">
        <f ca="1">IFERROR(M311+M324,"")</f>
        <v>6.9444444444444198E-4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8" zoomScale="68" zoomScaleNormal="68" workbookViewId="0">
      <selection activeCell="E300" sqref="E30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0.14418252314499114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0.2059880787005467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0.26709918981165787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8</v>
      </c>
      <c r="G311" s="36">
        <f>SUM(G299:G310)</f>
        <v>33.6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8</v>
      </c>
      <c r="G325" s="40">
        <f>G311+G324</f>
        <v>33.6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92" activePane="bottomLeft" state="frozen"/>
      <selection pane="bottomLeft" activeCell="F300" sqref="F300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15</v>
      </c>
      <c r="G311" s="36">
        <f>SUM(G299:G310)</f>
        <v>63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15</v>
      </c>
      <c r="G325" s="40">
        <f>G311+G324</f>
        <v>63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2026-08-12T12:07:56Z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