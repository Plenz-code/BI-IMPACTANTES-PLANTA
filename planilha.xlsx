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87" documentId="8_{AF585B22-221D-4780-BB9C-493D365A6A02}" xr6:coauthVersionLast="47" xr6:coauthVersionMax="47" xr10:uidLastSave="{371AA163-7DBA-4FC3-AB72-1CA01B4FCFB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<sst xmlns="http://schemas.openxmlformats.org/spreadsheetml/2006/main" count="3436" uniqueCount="261">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</sst>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3" sqref="F1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209</v>
      </c>
      <c r="G189" s="36">
        <f>SUM(G177:G188)</f>
        <v>1045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554</v>
      </c>
      <c r="G190" s="40">
        <f>G176+G189</f>
        <v>2770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0.26281967592512956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0.26281967592512956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0.76281967592512956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155</v>
      </c>
      <c r="G190" s="40">
        <f>G176+G189</f>
        <v>653.40000000000009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H177" sqref="H1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0.80518078703607898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1.0044863425916346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1.3718474537027456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20</v>
      </c>
      <c r="I177" s="33"/>
      <c r="J177" s="33"/>
      <c r="K177" s="29">
        <v>5.5555555555555552E-2</v>
      </c>
      <c r="L177" s="29"/>
      <c r="M177" s="35">
        <f t="shared" ref="M177:M188" ca="1" si="40">IFERROR(IF(K177="","",IF(L177="",MOD(NOW()-K177,1),IF(L177&gt;=K177,L177-K177,L177+1-K177))),"")</f>
        <v>0.99893078703462379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134</v>
      </c>
      <c r="G189" s="36">
        <f>SUM(G177:G188)</f>
        <v>562.79999999999995</v>
      </c>
      <c r="H189" s="37"/>
      <c r="I189" s="37"/>
      <c r="J189" s="37"/>
      <c r="K189" s="61"/>
      <c r="L189" s="61"/>
      <c r="M189" s="38">
        <f ca="1">IFERROR(SUM(M177:M188),"")</f>
        <v>0.99893078703462379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303</v>
      </c>
      <c r="G190" s="40">
        <f>G176+G189</f>
        <v>1283</v>
      </c>
      <c r="H190" s="41"/>
      <c r="I190" s="41"/>
      <c r="J190" s="41"/>
      <c r="K190" s="63"/>
      <c r="L190" s="63"/>
      <c r="M190" s="42">
        <f ca="1">IFERROR(M176+M189,"")</f>
        <v>1.0621252314790683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2026-07-08T05:18:51Z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