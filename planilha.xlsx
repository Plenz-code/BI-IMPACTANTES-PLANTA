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545" documentId="8_{1D11E9C4-FEA4-4128-910F-91CB6BBF9255}" xr6:coauthVersionLast="47" xr6:coauthVersionMax="47" xr10:uidLastSave="{860BB49F-1F98-4604-BE14-BD054BC447E1}"/>
  <bookViews>
    <workbookView xWindow="-110" yWindow="-110" windowWidth="25820" windowHeight="15500" tabRatio="500" firstSheet="2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26" i="5" l="1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<sst xmlns="http://schemas.openxmlformats.org/spreadsheetml/2006/main" count="8048" uniqueCount="365">
  <si>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</si>
  <si>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</si>
  <si>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</si>
  <si>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</si>
  <si>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</si>
  <si>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</si>
  <si>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</si>
  <si>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</si>
  <si>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</si>
  <si>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</si>
  <si>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</si>
  <si>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</si>
  <si>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</si>
  <si>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</si>
  <si>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</si>
  <si>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</si>
  <si>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</si>
  <si>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</si>
  <si>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</si>
  <si>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</si>
  <si>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</si>
  <si>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</si>
  <si>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</si>
  <si>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</si>
  <si>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</si>
  <si>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</si>
  <si>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</si>
  <si>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</si>
  <si>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</si>
  <si>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</si>
  <si>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</si>
  <si>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</si>
  <si>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</si>
  <si>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</si>
  <si>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</si>
  <si>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</si>
  <si>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</si>
  <si>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</si>
  <si>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</si>
  <si>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</si>
  <si>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</si>
  <si>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</si>
  <si>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</si>
  <si>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</si>
  <si>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</si>
  <si>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</si>
  <si>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</si>
  <si>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</si>
  <si>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</si>
  <si>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</si>
  <si>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</si>
  <si>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</si>
  <si>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</si>
  <si>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</si>
  <si>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</si>
  <si>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</si>
  <si>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</si>
  <si>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</si>
  <si>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</si>
  <si>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</si>
  <si>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</si>
  <si>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</si>
  <si>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</si>
  <si>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</si>
  <si>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</si>
  <si>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</si>
  <si>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</si>
  <si>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</si>
  <si>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</si>
  <si>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</si>
  <si>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</si>
  <si>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</si>
  <si>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</si>
  <si>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</si>
  <si>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</si>
  <si>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</si>
  <si>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</si>
  <si>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</si>
  <si>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</si>
  <si>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</si>
  <si>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</si>
  <si>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</si>
  <si>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</si>
  <si>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</si>
  <si>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</si>
  <si>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</si>
  <si>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</si>
  <si>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</si>
  <si>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</si>
  <si>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</si>
  <si>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</si>
  <si>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</si>
  <si>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</si>
  <si>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</si>
  <si>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</si>
  <si>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</si>
  <si>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</si>
  <si>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</si>
  <si>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</si>
  <si>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</si>
  <si>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</si>
  <si>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</si>
  <si>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</si>
  <si>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</si>
  <si>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</si>
  <si>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</si>
  <si>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</si>
  <si>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</si>
  <si>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</si>
  <si>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</si>
  <si>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</si>
  <si>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</si>
  <si>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</si>
  <si>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</si>
  <si>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</si>
  <si>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</si>
  <si>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</si>
  <si>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</si>
  <si>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</si>
  <si>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</si>
  <si>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</si>
  <si>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</si>
  <si>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</si>
  <si>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</si>
  <si>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</si>
  <si>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</si>
  <si>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</si>
  <si>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</si>
  <si>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</si>
  <si>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</si>
  <si>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</si>
  <si>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</si>
  <si>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</si>
  <si>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</si>
  <si>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</si>
  <si>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</si>
  <si>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</si>
  <si>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</si>
  <si>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</si>
  <si>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</si>
  <si>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</si>
  <si>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</si>
  <si>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</si>
  <si>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</si>
  <si>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</si>
  <si>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</si>
  <si>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</si>
  <si>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</si>
  <si>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</si>
  <si>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</si>
  <si>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</si>
  <si>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</si>
  <si>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</si>
  <si>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</si>
  <si>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</si>
  <si>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</si>
  <si>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</si>
  <si>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</si>
  <si>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</si>
  <si>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</si>
  <si>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</si>
  <si>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</si>
  <si>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</si>
  <si>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</si>
  <si>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</si>
  <si>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</si>
  <si>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</si>
  <si>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</si>
  <si>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</si>
  <si>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</si>
  <si>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</si>
  <si>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</si>
  <si>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</si>
  <si>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</si>
  <si>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</si>
  <si>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</si>
  <si>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</si>
  <si>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</si>
  <si>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</si>
  <si>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</si>
  <si>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</si>
  <si>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</si>
  <si>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</si>
  <si>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</si>
  <si>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</si>
  <si>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</si>
  <si>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</si>
  <si>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</si>
  <si>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</si>
  <si>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</si>
  <si>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</si>
  <si>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</si>
  <si>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</si>
  <si>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</si>
  <si>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</si>
  <si>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</si>
  <si>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</si>
  <si>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</si>
  <si>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</si>
  <si>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</si>
  <si>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</si>
  <si>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</si>
  <si>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</si>
  <si>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</si>
  <si>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</si>
  <si>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</si>
  <si>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</si>
  <si>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</si>
  <si>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</si>
  <si>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</si>
  <si>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</si>
  <si>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</si>
  <si>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</si>
  <si>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</si>
  <si>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</si>
  <si>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</si>
  <si>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</si>
  <si>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</si>
  <si>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</si>
  <si>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</si>
  <si>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</si>
  <si>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</si>
  <si>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</si>
  <si>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</si>
  <si>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</si>
  <si>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</si>
  <si>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 xml:space="preserve"> 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</si>
  <si>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</si>
  <si>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</si>
  <si>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</si>
  <si>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</si>
  <si>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</si>
  <si>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</si>
  <si>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</si>
  <si>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</si>
  <si>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</si>
  <si>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</si>
  <si>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</si>
  <si>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</si>
  <si>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</si>
  <si>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</si>
  <si>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</si>
  <si>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</si>
  <si>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</si>
  <si>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</si>
  <si>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</si>
  <si>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</si>
  <si>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</si>
  <si>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</si>
  <si>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</si>
  <si>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</si>
  <si>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</si>
  <si>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</si>
  <si>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</si>
  <si>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</si>
  <si>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</si>
  <si>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</si>
  <si>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</si>
  <si>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</si>
  <si>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</si>
  <si>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</si>
  <si>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</si>
  <si>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</si>
  <si>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</si>
  <si>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</si>
  <si>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</si>
  <si>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</si>
  <si>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</si>
  <si>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</si>
  <si>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</si>
  <si>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</si>
  <si>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</si>
  <si>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</si>
  <si>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</si>
  <si>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</si>
  <si>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</si>
  <si>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</si>
  <si>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</si>
  <si>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</si>
  <si>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</si>
  <si>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</si>
  <si>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</si>
  <si>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</si>
  <si>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</si>
  <si>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</si>
  <si>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</si>
  <si>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</si>
  <si>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</si>
  <si>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</si>
  <si>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</si>
  <si>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</si>
  <si>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</si>
  <si>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</si>
  <si>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</si>
  <si>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</si>
  <si>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</si>
  <si>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</si>
  <si>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</si>
  <si>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</si>
  <si>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</si>
  <si>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</si>
  <si>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</si>
  <si>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</si>
  <si>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</si>
  <si>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</si>
  <si>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</si>
  <si>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</si>
  <si>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</si>
  <si>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</si>
  <si>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</si>
  <si>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</si>
  <si>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</si>
  <si>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</si>
  <si>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</si>
  <si>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</si>
  <si>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</si>
  <si>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</si>
  <si>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</si>
  <si>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</si>
  <si>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</si>
  <si>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</si>
  <si>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</si>
  <si>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</si>
  <si>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</si>
  <si>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</si>
  <si>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</si>
  <si>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</si>
  <si>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</si>
  <si>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</si>
  <si>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</si>
  <si>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</si>
  <si>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</si>
  <si>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</si>
  <si>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</si>
  <si>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</si>
  <si>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</si>
  <si>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</si>
  <si>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</si>
  <si>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</si>
  <si>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</si>
  <si>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</si>
  <si>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</si>
  <si>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</si>
  <si>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</si>
  <si>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</si>
  <si>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</si>
  <si>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</si>
  <si>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</si>
  <si>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</si>
  <si>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</si>
  <si>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</si>
  <si>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</si>
  <si>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</si>
  <si>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</si>
  <si>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</si>
  <si>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</si>
  <si>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</si>
  <si>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</si>
  <si>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</si>
  <si>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</si>
  <si>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</si>
  <si>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</si>
  <si>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</si>
  <si>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</si>
  <si>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12:000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</si>
</sst>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1" t="s">
        <v>9</v>
      </c>
      <c r="B34" s="101"/>
      <c r="C34" s="55">
        <f t="shared" ref="C34:G34" si="1">IFERROR(SUM(C4:C33),"")</f>
        <v>45945830</v>
      </c>
      <c r="D34" s="55">
        <f t="shared" si="1"/>
        <v>23390500</v>
      </c>
      <c r="E34" s="55">
        <f t="shared" si="1"/>
        <v>9211370</v>
      </c>
      <c r="F34" s="55">
        <f t="shared" si="1"/>
        <v>26341455</v>
      </c>
      <c r="G34" s="55">
        <f t="shared" si="1"/>
        <v>58943325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5" zoomScale="85" zoomScaleNormal="85" workbookViewId="0">
      <selection activeCell="J17" sqref="J1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/>
      <c r="M19" s="4" t="s">
        <v>110</v>
      </c>
    </row>
    <row r="20" spans="1:13" ht="15.75" customHeight="1">
      <c r="A20" s="3"/>
      <c r="C20" s="3"/>
      <c r="E20" s="3"/>
      <c r="G20" s="3" t="s">
        <v>111</v>
      </c>
      <c r="H20" s="103"/>
      <c r="I20" s="3"/>
      <c r="J20" s="3"/>
      <c r="K20" s="3" t="s">
        <v>112</v>
      </c>
      <c r="L20" s="3"/>
      <c r="M20" s="3" t="s">
        <v>113</v>
      </c>
    </row>
    <row r="21" spans="1:13" ht="15.75" customHeight="1">
      <c r="A21" s="4"/>
      <c r="C21" s="4"/>
      <c r="E21" s="4"/>
      <c r="G21" s="4" t="s">
        <v>114</v>
      </c>
      <c r="H21" s="103"/>
      <c r="I21" s="4"/>
      <c r="J21" s="4"/>
      <c r="K21" s="4" t="s">
        <v>115</v>
      </c>
      <c r="L21" s="4"/>
      <c r="M21" s="4" t="s">
        <v>116</v>
      </c>
    </row>
    <row r="22" spans="1:13" ht="15.75" customHeight="1">
      <c r="A22" s="3"/>
      <c r="C22" s="3"/>
      <c r="E22" s="3"/>
      <c r="G22" s="3" t="s">
        <v>117</v>
      </c>
      <c r="H22" s="103"/>
      <c r="I22" s="3"/>
      <c r="J22" s="3"/>
      <c r="K22" s="3" t="s">
        <v>118</v>
      </c>
      <c r="L22" s="3"/>
      <c r="M22" s="3" t="s">
        <v>119</v>
      </c>
    </row>
    <row r="23" spans="1:13" ht="15.75" customHeight="1">
      <c r="A23" s="4"/>
      <c r="C23" s="4"/>
      <c r="E23" s="4"/>
      <c r="G23" s="4" t="s">
        <v>120</v>
      </c>
      <c r="H23" s="103"/>
      <c r="I23" s="4"/>
      <c r="J23" s="4"/>
      <c r="K23" s="4" t="s">
        <v>121</v>
      </c>
      <c r="L23" s="4"/>
      <c r="M23" s="4" t="s">
        <v>122</v>
      </c>
    </row>
    <row r="24" spans="1:13" ht="15.75" customHeight="1">
      <c r="A24" s="3"/>
      <c r="C24" s="3"/>
      <c r="E24" s="3"/>
      <c r="G24" s="3" t="s">
        <v>123</v>
      </c>
      <c r="H24" s="103"/>
      <c r="I24" s="3"/>
      <c r="J24" s="3"/>
      <c r="K24" s="3" t="s">
        <v>124</v>
      </c>
      <c r="L24" s="3"/>
      <c r="M24" s="3" t="s">
        <v>125</v>
      </c>
    </row>
    <row r="25" spans="1:13" ht="15.75" customHeight="1">
      <c r="A25" s="4"/>
      <c r="C25" s="4"/>
      <c r="E25" s="4"/>
      <c r="G25" s="4" t="s">
        <v>126</v>
      </c>
      <c r="H25" s="103"/>
      <c r="I25" s="4"/>
      <c r="J25" s="4"/>
      <c r="K25" s="4" t="s">
        <v>127</v>
      </c>
      <c r="L25" s="4"/>
      <c r="M25" s="4" t="s">
        <v>128</v>
      </c>
    </row>
    <row r="26" spans="1:13" ht="15.75" customHeight="1">
      <c r="A26" s="3"/>
      <c r="C26" s="3"/>
      <c r="E26" s="3"/>
      <c r="G26" s="3" t="s">
        <v>129</v>
      </c>
      <c r="H26" s="103"/>
      <c r="I26" s="3"/>
      <c r="J26" s="3"/>
      <c r="K26" s="3" t="s">
        <v>130</v>
      </c>
      <c r="L26" s="3"/>
      <c r="M26" s="3"/>
    </row>
    <row r="27" spans="1:13" ht="15.75" customHeight="1">
      <c r="A27" s="4"/>
      <c r="C27" s="4"/>
      <c r="E27" s="4"/>
      <c r="G27" s="4" t="s">
        <v>131</v>
      </c>
      <c r="H27" s="103"/>
      <c r="I27" s="4"/>
      <c r="J27" s="4"/>
      <c r="K27" s="4" t="s">
        <v>122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132</v>
      </c>
      <c r="H28" s="103"/>
      <c r="I28" s="3"/>
      <c r="J28" s="3"/>
      <c r="K28" s="3" t="s">
        <v>125</v>
      </c>
      <c r="L28" s="3"/>
      <c r="M28" s="3" t="s">
        <v>133</v>
      </c>
    </row>
    <row r="29" spans="1:13" ht="15.75" customHeight="1">
      <c r="A29" s="4"/>
      <c r="C29" s="4"/>
      <c r="E29" s="4"/>
      <c r="G29" s="4" t="s">
        <v>134</v>
      </c>
      <c r="H29" s="103"/>
      <c r="I29" s="4"/>
      <c r="J29" s="4"/>
      <c r="K29" s="4" t="s">
        <v>135</v>
      </c>
      <c r="L29" s="4"/>
      <c r="M29" s="4" t="s">
        <v>136</v>
      </c>
    </row>
    <row r="30" spans="1:13" ht="15.75" customHeight="1">
      <c r="A30" s="3"/>
      <c r="C30" s="3"/>
      <c r="E30" s="3"/>
      <c r="G30" s="3" t="s">
        <v>137</v>
      </c>
      <c r="H30" s="103"/>
      <c r="I30" s="3"/>
      <c r="J30" s="3"/>
      <c r="K30" s="3" t="s">
        <v>138</v>
      </c>
      <c r="L30" s="3"/>
      <c r="M30" s="3" t="s">
        <v>139</v>
      </c>
    </row>
    <row r="31" spans="1:13" ht="15.75" customHeight="1">
      <c r="A31" s="4"/>
      <c r="C31" s="4"/>
      <c r="E31" s="4"/>
      <c r="G31" s="4" t="s">
        <v>140</v>
      </c>
      <c r="H31" s="103"/>
      <c r="I31" s="4"/>
      <c r="J31" s="4"/>
      <c r="K31" s="5" t="s">
        <v>141</v>
      </c>
      <c r="L31" s="4"/>
      <c r="M31" s="4" t="s">
        <v>142</v>
      </c>
    </row>
    <row r="32" spans="1:13" ht="15.75" customHeight="1">
      <c r="A32" s="3"/>
      <c r="C32" s="3"/>
      <c r="E32" s="3"/>
      <c r="G32" s="3" t="s">
        <v>143</v>
      </c>
      <c r="H32" s="103"/>
      <c r="I32" s="3"/>
      <c r="J32" s="3"/>
      <c r="K32" s="3" t="s">
        <v>144</v>
      </c>
      <c r="L32" s="3"/>
      <c r="M32" t="s">
        <v>145</v>
      </c>
    </row>
    <row r="33" spans="1:13" ht="15.75" customHeight="1">
      <c r="A33" s="4"/>
      <c r="C33" s="4"/>
      <c r="E33" s="4"/>
      <c r="G33" s="4" t="s">
        <v>146</v>
      </c>
      <c r="H33" s="103"/>
      <c r="I33" s="4"/>
      <c r="J33" s="4"/>
      <c r="K33" s="66" t="s">
        <v>147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148</v>
      </c>
      <c r="H34" s="103"/>
      <c r="I34" s="3"/>
      <c r="J34" s="3"/>
      <c r="K34" s="3" t="s">
        <v>79</v>
      </c>
      <c r="L34" s="3"/>
      <c r="M34" s="3" t="s">
        <v>149</v>
      </c>
    </row>
    <row r="35" spans="1:13" ht="15.75" customHeight="1">
      <c r="A35" s="4"/>
      <c r="C35" s="4"/>
      <c r="E35" s="4"/>
      <c r="G35" s="4" t="s">
        <v>150</v>
      </c>
      <c r="H35" s="103"/>
      <c r="I35" s="4"/>
      <c r="J35" s="4"/>
      <c r="K35" s="4" t="s">
        <v>151</v>
      </c>
      <c r="L35" s="4"/>
      <c r="M35" s="4" t="s">
        <v>152</v>
      </c>
    </row>
    <row r="36" spans="1:13" ht="15.75" customHeight="1">
      <c r="A36" s="3"/>
      <c r="C36" s="3"/>
      <c r="E36" s="3"/>
      <c r="G36" s="3" t="s">
        <v>153</v>
      </c>
      <c r="H36" s="103"/>
      <c r="I36" s="3"/>
      <c r="J36" s="3"/>
      <c r="K36" s="3" t="s">
        <v>154</v>
      </c>
      <c r="L36" s="3"/>
      <c r="M36" s="3" t="s">
        <v>155</v>
      </c>
    </row>
    <row r="37" spans="1:13" ht="15.75" customHeight="1">
      <c r="A37" s="4"/>
      <c r="C37" s="4"/>
      <c r="E37" s="4"/>
      <c r="G37" s="4" t="s">
        <v>156</v>
      </c>
      <c r="H37" s="103"/>
      <c r="I37" s="4"/>
      <c r="J37" s="4"/>
      <c r="K37" s="4" t="s">
        <v>157</v>
      </c>
      <c r="L37" s="4"/>
      <c r="M37" s="4" t="s">
        <v>158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159</v>
      </c>
      <c r="L38" s="3"/>
      <c r="M38" s="3" t="s">
        <v>160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161</v>
      </c>
      <c r="L39" s="4"/>
      <c r="M39" s="4" t="s">
        <v>162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163</v>
      </c>
      <c r="L40" s="3"/>
      <c r="M40" s="3" t="s">
        <v>164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165</v>
      </c>
      <c r="L41" s="4"/>
      <c r="M41" s="4" t="s">
        <v>166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167</v>
      </c>
      <c r="L42" s="3"/>
      <c r="M42" s="3" t="s">
        <v>168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169</v>
      </c>
      <c r="L43" s="4"/>
      <c r="M43" s="4" t="s">
        <v>170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171</v>
      </c>
      <c r="L44" s="3"/>
      <c r="M44" s="3"/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172</v>
      </c>
      <c r="L46" s="3"/>
      <c r="M46" s="3"/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173</v>
      </c>
      <c r="L47" s="4"/>
      <c r="M47" s="4"/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174</v>
      </c>
      <c r="L48" s="3"/>
      <c r="M48" s="3"/>
    </row>
    <row r="49" spans="1:13" ht="18" customHeight="1">
      <c r="H49" s="103"/>
      <c r="I49" s="4"/>
      <c r="J49" s="4"/>
      <c r="K49" s="4" t="s">
        <v>175</v>
      </c>
      <c r="L49" s="4"/>
      <c r="M49" s="4"/>
    </row>
    <row r="50" spans="1:13" ht="21" customHeight="1">
      <c r="A50" s="6" t="s">
        <v>176</v>
      </c>
      <c r="B50" s="6"/>
      <c r="C50" s="6"/>
      <c r="D50" s="6"/>
      <c r="E50" s="6"/>
      <c r="F50" s="6"/>
      <c r="G50" s="6"/>
      <c r="H50" s="103"/>
      <c r="I50" s="3"/>
      <c r="J50" s="3"/>
      <c r="K50" s="3"/>
      <c r="L50" s="3"/>
      <c r="M50" s="3"/>
    </row>
    <row r="51" spans="1:13" ht="24" customHeight="1">
      <c r="H51" s="103"/>
      <c r="I51" s="4"/>
      <c r="J51" s="4"/>
      <c r="K51" s="4"/>
      <c r="L51" s="4"/>
      <c r="M51" s="4"/>
    </row>
    <row r="52" spans="1:13" ht="24" customHeight="1">
      <c r="H52" s="103"/>
      <c r="I52" s="3"/>
      <c r="J52" s="3"/>
      <c r="K52" s="3"/>
      <c r="L52" s="3"/>
      <c r="M52" s="3"/>
    </row>
    <row r="53" spans="1:13" ht="36" customHeight="1">
      <c r="H53" s="103"/>
      <c r="I53" s="4"/>
      <c r="J53" s="4"/>
      <c r="K53" s="4"/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15" activePane="bottomLeft" state="frozen"/>
      <selection pane="bottomLeft" activeCell="E736" sqref="E736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177</v>
      </c>
      <c r="C1" s="8" t="s">
        <v>12</v>
      </c>
      <c r="D1" s="8" t="s">
        <v>13</v>
      </c>
      <c r="E1" s="8" t="s">
        <v>178</v>
      </c>
      <c r="F1" s="8" t="s">
        <v>179</v>
      </c>
      <c r="G1" s="8" t="s">
        <v>14</v>
      </c>
      <c r="H1" s="8" t="s">
        <v>15</v>
      </c>
      <c r="I1" s="8" t="s">
        <v>180</v>
      </c>
      <c r="J1" s="8" t="s">
        <v>181</v>
      </c>
      <c r="K1" s="8" t="s">
        <v>182</v>
      </c>
      <c r="L1" s="69" t="s">
        <v>183</v>
      </c>
      <c r="M1" s="8" t="s">
        <v>184</v>
      </c>
      <c r="N1" s="8" t="s">
        <v>185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186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187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188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119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119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119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119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119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119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119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119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119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119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119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119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189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188</v>
      </c>
      <c r="N27" s="20">
        <v>0</v>
      </c>
    </row>
    <row r="28" spans="1:14" ht="18" customHeight="1">
      <c r="A28" s="98" t="s">
        <v>190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191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137</v>
      </c>
      <c r="I37" s="16" t="s">
        <v>192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187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188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189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188</v>
      </c>
      <c r="N54" s="20">
        <v>125660</v>
      </c>
    </row>
    <row r="55" spans="1:14" ht="18" customHeight="1">
      <c r="A55" s="98" t="s">
        <v>190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191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187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188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189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188</v>
      </c>
      <c r="N81" s="20">
        <v>580300</v>
      </c>
    </row>
    <row r="82" spans="1:14" ht="18" customHeight="1">
      <c r="A82" s="98" t="s">
        <v>190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191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186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187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188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193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137</v>
      </c>
      <c r="I104" s="10" t="s">
        <v>192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189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188</v>
      </c>
      <c r="N108" s="20">
        <v>652520</v>
      </c>
    </row>
    <row r="109" spans="1:14" ht="18" customHeight="1">
      <c r="A109" s="98" t="s">
        <v>190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191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194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187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188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189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188</v>
      </c>
      <c r="N135" s="20">
        <v>909050</v>
      </c>
    </row>
    <row r="136" spans="1:14" ht="18" customHeight="1">
      <c r="A136" s="98" t="s">
        <v>190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191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186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187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188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137</v>
      </c>
      <c r="I150" s="10" t="s">
        <v>125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189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188</v>
      </c>
      <c r="N162" s="27">
        <v>1048880</v>
      </c>
    </row>
    <row r="163" spans="1:14" ht="18" customHeight="1">
      <c r="A163" s="98" t="s">
        <v>190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191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194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137</v>
      </c>
      <c r="I165" s="16" t="s">
        <v>125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195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187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188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189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188</v>
      </c>
      <c r="N189" s="20">
        <v>797540</v>
      </c>
    </row>
    <row r="190" spans="1:14" ht="18" customHeight="1">
      <c r="A190" s="98" t="s">
        <v>190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191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194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196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137</v>
      </c>
      <c r="I192" s="10" t="s">
        <v>125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187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188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189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188</v>
      </c>
      <c r="N216" s="28">
        <v>203080</v>
      </c>
    </row>
    <row r="217" spans="1:14" ht="18" customHeight="1">
      <c r="A217" s="98" t="s">
        <v>190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191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187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188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144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189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188</v>
      </c>
      <c r="N243" s="20">
        <v>0</v>
      </c>
    </row>
    <row r="244" spans="1:14" ht="18" customHeight="1">
      <c r="A244" s="98" t="s">
        <v>190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191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144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147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150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187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188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189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188</v>
      </c>
      <c r="N270" s="20">
        <f>346400+269080</f>
        <v>615480</v>
      </c>
    </row>
    <row r="271" spans="1:14" ht="18" customHeight="1">
      <c r="A271" s="98" t="s">
        <v>190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191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128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197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187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188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189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188</v>
      </c>
      <c r="N297" s="20">
        <f>35160+383610</f>
        <v>418770</v>
      </c>
    </row>
    <row r="298" spans="1:14" ht="18" customHeight="1">
      <c r="A298" s="98" t="s">
        <v>190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191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121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198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187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188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199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189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188</v>
      </c>
      <c r="N324" s="20">
        <f>411220+466620</f>
        <v>877840</v>
      </c>
    </row>
    <row r="325" spans="1:14" ht="18" customHeight="1">
      <c r="A325" s="98" t="s">
        <v>190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191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200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187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188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189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188</v>
      </c>
      <c r="N351" s="20"/>
    </row>
    <row r="352" spans="1:14" ht="18" customHeight="1">
      <c r="A352" s="98" t="s">
        <v>190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191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137</v>
      </c>
      <c r="I353" s="16" t="s">
        <v>121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201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187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188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116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202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125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203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189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188</v>
      </c>
      <c r="N378" s="20">
        <v>1299920</v>
      </c>
    </row>
    <row r="379" spans="1:14" ht="18" customHeight="1">
      <c r="A379" s="98" t="s">
        <v>190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191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133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121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187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188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136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136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189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188</v>
      </c>
      <c r="N405" s="20">
        <v>1342790</v>
      </c>
    </row>
    <row r="406" spans="1:14" ht="18" customHeight="1">
      <c r="A406" s="98" t="s">
        <v>190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191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139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125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204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187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188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136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136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205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189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188</v>
      </c>
      <c r="N432" s="20">
        <v>963120</v>
      </c>
    </row>
    <row r="433" spans="1:14" ht="18" customHeight="1">
      <c r="A433" s="98" t="s">
        <v>190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191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187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188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136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136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189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188</v>
      </c>
      <c r="N459" s="20">
        <v>534910</v>
      </c>
    </row>
    <row r="460" spans="1:14" ht="18" customHeight="1">
      <c r="A460" s="98" t="s">
        <v>190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191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206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133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207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187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188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189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188</v>
      </c>
      <c r="N486" s="20">
        <v>557170</v>
      </c>
    </row>
    <row r="487" spans="1:14" ht="18" customHeight="1">
      <c r="A487" s="98" t="s">
        <v>190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191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121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187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188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121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208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189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188</v>
      </c>
      <c r="N513" s="20">
        <v>701090</v>
      </c>
    </row>
    <row r="514" spans="1:14" ht="18" customHeight="1">
      <c r="A514" s="98" t="s">
        <v>190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191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209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209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210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187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188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189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188</v>
      </c>
      <c r="N540" s="20">
        <v>915770</v>
      </c>
    </row>
    <row r="541" spans="1:14" ht="18" customHeight="1">
      <c r="A541" s="98" t="s">
        <v>190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191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211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212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213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187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188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152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189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188</v>
      </c>
      <c r="N567" s="20">
        <v>636740</v>
      </c>
    </row>
    <row r="568" spans="1:14" ht="18" customHeight="1">
      <c r="A568" s="98" t="s">
        <v>190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191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152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214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215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187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188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136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125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216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189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188</v>
      </c>
      <c r="N594" s="20">
        <v>394820</v>
      </c>
    </row>
    <row r="595" spans="1:14" ht="18" customHeight="1">
      <c r="A595" s="98" t="s">
        <v>190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191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217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125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218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125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218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157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219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187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188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220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172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121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189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188</v>
      </c>
      <c r="N621" s="20">
        <v>587370</v>
      </c>
    </row>
    <row r="622" spans="1:14" ht="18" customHeight="1">
      <c r="A622" s="98" t="s">
        <v>190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191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173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164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147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187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188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121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121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221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157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189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188</v>
      </c>
      <c r="N648" s="20">
        <v>635110</v>
      </c>
    </row>
    <row r="649" spans="1:14" ht="18" customHeight="1">
      <c r="A649" s="98" t="s">
        <v>190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191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125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187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188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189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188</v>
      </c>
      <c r="N675" s="20">
        <v>1608610</v>
      </c>
    </row>
    <row r="676" spans="1:14" ht="18" customHeight="1">
      <c r="A676" s="98" t="s">
        <v>190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191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173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175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222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223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187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188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128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189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188</v>
      </c>
      <c r="N702" s="20">
        <f>316300+609860</f>
        <v>926160</v>
      </c>
    </row>
    <row r="703" spans="1:14" ht="18" customHeight="1">
      <c r="A703" s="98" t="s">
        <v>190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191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224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121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225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187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188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149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189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188</v>
      </c>
      <c r="N729" s="20">
        <v>706600</v>
      </c>
    </row>
    <row r="730" spans="1:14" ht="18" customHeight="1">
      <c r="A730" s="98" t="s">
        <v>190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191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157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157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/>
      <c r="H733" s="16"/>
      <c r="I733" s="16"/>
      <c r="J733" s="13" t="s">
        <v>226</v>
      </c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22</v>
      </c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22</v>
      </c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22</v>
      </c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22</v>
      </c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22</v>
      </c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22</v>
      </c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187</v>
      </c>
      <c r="B743" s="97"/>
      <c r="C743" s="97"/>
      <c r="D743" s="97"/>
      <c r="E743" s="19">
        <f>SUM(E731:E742)</f>
        <v>87</v>
      </c>
      <c r="F743" s="19">
        <f>SUM(F731:F742)</f>
        <v>435</v>
      </c>
      <c r="G743" s="18"/>
      <c r="H743" s="18"/>
      <c r="I743" s="18"/>
      <c r="J743" s="18"/>
      <c r="K743" s="18"/>
      <c r="L743" s="72">
        <f>IFERROR(SUM(L731:L742),"")</f>
        <v>0.11249999999999999</v>
      </c>
      <c r="M743" s="19" t="s">
        <v>188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189</v>
      </c>
      <c r="B756" s="82"/>
      <c r="C756" s="10"/>
      <c r="D756" s="82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188</v>
      </c>
      <c r="N756" s="20"/>
    </row>
    <row r="757" spans="1:14" ht="18" customHeight="1">
      <c r="A757" s="22" t="s">
        <v>190</v>
      </c>
      <c r="B757" s="22"/>
      <c r="C757" s="10"/>
      <c r="D757" s="22"/>
      <c r="E757" s="22">
        <f>E743+E756</f>
        <v>87</v>
      </c>
      <c r="F757" s="22">
        <f>F743+F756</f>
        <v>435</v>
      </c>
      <c r="G757" s="21"/>
      <c r="H757" s="21"/>
      <c r="I757" s="21"/>
      <c r="J757" s="21"/>
      <c r="K757" s="21"/>
      <c r="L757" s="73">
        <f>IFERROR(L743+L756,"")</f>
        <v>0.11249999999999999</v>
      </c>
      <c r="M757" s="22" t="s">
        <v>191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187</v>
      </c>
      <c r="B770" s="82"/>
      <c r="C770" s="10"/>
      <c r="D770" s="82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188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189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188</v>
      </c>
      <c r="N783" s="20"/>
    </row>
    <row r="784" spans="1:14" ht="18" customHeight="1">
      <c r="A784" s="98" t="s">
        <v>190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191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187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188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189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188</v>
      </c>
      <c r="N810" s="20"/>
    </row>
    <row r="811" spans="1:14" ht="18" customHeight="1">
      <c r="A811" s="98" t="s">
        <v>190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191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D760 C759:C900 C447:C757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01" zoomScale="85" zoomScaleNormal="85" workbookViewId="0">
      <selection activeCell="E735" sqref="E735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177</v>
      </c>
      <c r="C1" s="8" t="s">
        <v>12</v>
      </c>
      <c r="D1" s="8" t="s">
        <v>13</v>
      </c>
      <c r="E1" s="8" t="s">
        <v>178</v>
      </c>
      <c r="F1" s="8" t="s">
        <v>227</v>
      </c>
      <c r="G1" s="8" t="s">
        <v>14</v>
      </c>
      <c r="H1" s="8" t="s">
        <v>15</v>
      </c>
      <c r="I1" s="8" t="s">
        <v>180</v>
      </c>
      <c r="J1" s="8" t="s">
        <v>181</v>
      </c>
      <c r="K1" s="8" t="s">
        <v>182</v>
      </c>
      <c r="L1" s="69" t="s">
        <v>183</v>
      </c>
      <c r="M1" s="8" t="s">
        <v>184</v>
      </c>
      <c r="N1" s="8" t="s">
        <v>185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134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122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187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188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121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189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188</v>
      </c>
      <c r="N27" s="20">
        <v>1035240</v>
      </c>
    </row>
    <row r="28" spans="1:14" ht="18" customHeight="1">
      <c r="A28" s="98" t="s">
        <v>190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191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228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187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188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117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189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188</v>
      </c>
      <c r="N54" s="20">
        <v>871960</v>
      </c>
    </row>
    <row r="55" spans="1:14" ht="18" customHeight="1">
      <c r="A55" s="98" t="s">
        <v>190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191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114</v>
      </c>
      <c r="I62" s="10" t="s">
        <v>229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135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187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188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148</v>
      </c>
      <c r="I71" s="16" t="s">
        <v>230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146</v>
      </c>
      <c r="I74" s="10" t="s">
        <v>113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189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188</v>
      </c>
      <c r="N81" s="20">
        <v>482250</v>
      </c>
    </row>
    <row r="82" spans="1:14" ht="18" customHeight="1">
      <c r="A82" s="98" t="s">
        <v>190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191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231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148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187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188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232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125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189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188</v>
      </c>
      <c r="N108" s="20">
        <v>529500</v>
      </c>
    </row>
    <row r="109" spans="1:14" ht="18" customHeight="1">
      <c r="A109" s="98" t="s">
        <v>190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191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232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232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187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188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232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233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189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188</v>
      </c>
      <c r="N135" s="20">
        <v>666150</v>
      </c>
    </row>
    <row r="136" spans="1:14" ht="18" customHeight="1">
      <c r="A136" s="98" t="s">
        <v>190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191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115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231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234</v>
      </c>
      <c r="I139" s="16" t="s">
        <v>235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232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117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134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187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188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134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189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188</v>
      </c>
      <c r="N162" s="35">
        <v>183240</v>
      </c>
    </row>
    <row r="163" spans="1:14" ht="18" customHeight="1">
      <c r="A163" s="98" t="s">
        <v>190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191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187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117</v>
      </c>
      <c r="I181" s="16" t="s">
        <v>236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117</v>
      </c>
      <c r="I182" s="10" t="s">
        <v>236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117</v>
      </c>
      <c r="I183" s="16" t="s">
        <v>236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117</v>
      </c>
      <c r="I184" s="10" t="s">
        <v>236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117</v>
      </c>
      <c r="I185" s="16" t="s">
        <v>236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117</v>
      </c>
      <c r="I186" s="10" t="s">
        <v>236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117</v>
      </c>
      <c r="I187" s="16" t="s">
        <v>236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117</v>
      </c>
      <c r="I188" s="10" t="s">
        <v>236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189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188</v>
      </c>
      <c r="N189" s="20">
        <v>0</v>
      </c>
    </row>
    <row r="190" spans="1:14" ht="18" customHeight="1">
      <c r="A190" s="98" t="s">
        <v>190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191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117</v>
      </c>
      <c r="I191" s="10" t="s">
        <v>236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134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134</v>
      </c>
      <c r="I193" s="10" t="s">
        <v>237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187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188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189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188</v>
      </c>
      <c r="N216" s="28">
        <v>525070</v>
      </c>
    </row>
    <row r="217" spans="1:14" ht="18" customHeight="1">
      <c r="A217" s="98" t="s">
        <v>190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191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125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134</v>
      </c>
      <c r="I219" s="16" t="s">
        <v>141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238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122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187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188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189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188</v>
      </c>
      <c r="N243" s="20">
        <v>244000</v>
      </c>
    </row>
    <row r="244" spans="1:14" ht="18" customHeight="1">
      <c r="A244" s="98" t="s">
        <v>190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191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150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239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240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187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188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125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134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189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188</v>
      </c>
      <c r="N270" s="20">
        <v>8130</v>
      </c>
    </row>
    <row r="271" spans="1:14" ht="18" customHeight="1">
      <c r="A271" s="98" t="s">
        <v>190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191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242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187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188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189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188</v>
      </c>
      <c r="N297" s="20">
        <f>229280+228660</f>
        <v>457940</v>
      </c>
    </row>
    <row r="298" spans="1:14" ht="18" customHeight="1">
      <c r="A298" s="98" t="s">
        <v>190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191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243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244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244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245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187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188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246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247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249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189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188</v>
      </c>
      <c r="N324" s="20">
        <f>217310+197670</f>
        <v>414980</v>
      </c>
    </row>
    <row r="325" spans="1:14" ht="18" customHeight="1">
      <c r="A325" s="98" t="s">
        <v>190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191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29" t="s">
        <v>250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111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251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187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188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146</v>
      </c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252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150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253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189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188</v>
      </c>
      <c r="N351" s="20">
        <f>135270+304860</f>
        <v>440130</v>
      </c>
    </row>
    <row r="352" spans="1:14" ht="18" customHeight="1">
      <c r="A352" s="98" t="s">
        <v>190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191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255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146</v>
      </c>
      <c r="I356" s="10" t="s">
        <v>113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256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187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188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150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189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188</v>
      </c>
      <c r="N378" s="20">
        <f>291750+291000</f>
        <v>582750</v>
      </c>
    </row>
    <row r="379" spans="1:14" ht="18" customHeight="1">
      <c r="A379" s="98" t="s">
        <v>190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191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151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187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188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151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257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156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258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189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188</v>
      </c>
      <c r="N405" s="20">
        <v>305810</v>
      </c>
    </row>
    <row r="406" spans="1:14" ht="18" customHeight="1">
      <c r="A406" s="98" t="s">
        <v>190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191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154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259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125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260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261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187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188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121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262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263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189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188</v>
      </c>
      <c r="N432" s="20">
        <v>522180</v>
      </c>
    </row>
    <row r="433" spans="1:14" ht="18" customHeight="1">
      <c r="A433" s="98" t="s">
        <v>190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191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264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265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112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187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188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147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267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150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148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189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188</v>
      </c>
      <c r="N459" s="20">
        <v>560220</v>
      </c>
    </row>
    <row r="460" spans="1:14" ht="18" customHeight="1">
      <c r="A460" s="98" t="s">
        <v>190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191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157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114</v>
      </c>
      <c r="I465" s="16" t="s">
        <v>268</v>
      </c>
      <c r="J465" s="13">
        <v>0.70833333333333337</v>
      </c>
      <c r="K465" s="13" t="s">
        <v>269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270</v>
      </c>
      <c r="N472" s="30"/>
    </row>
    <row r="473" spans="1:14" ht="15.75" customHeight="1">
      <c r="A473" s="105" t="s">
        <v>187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188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150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271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114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272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189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188</v>
      </c>
      <c r="N486" s="20">
        <v>400000</v>
      </c>
    </row>
    <row r="487" spans="1:14" ht="18" customHeight="1">
      <c r="A487" s="98" t="s">
        <v>190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191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187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188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150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150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147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273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189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188</v>
      </c>
      <c r="N513" s="20">
        <f>1031250+71560</f>
        <v>1102810</v>
      </c>
    </row>
    <row r="514" spans="1:14" ht="18" customHeight="1">
      <c r="A514" s="98" t="s">
        <v>190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191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209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209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209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187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188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169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140</v>
      </c>
      <c r="I529" s="16" t="s">
        <v>125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275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276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126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277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278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278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148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189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188</v>
      </c>
      <c r="N540" s="20">
        <v>504470</v>
      </c>
    </row>
    <row r="541" spans="1:14" ht="18" customHeight="1">
      <c r="A541" s="98" t="s">
        <v>190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191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279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187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188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126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150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189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188</v>
      </c>
      <c r="N567" s="20">
        <v>0</v>
      </c>
    </row>
    <row r="568" spans="1:14" ht="18" customHeight="1">
      <c r="A568" s="98" t="s">
        <v>190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191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129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187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188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129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140</v>
      </c>
      <c r="I583" s="16" t="s">
        <v>125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280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189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188</v>
      </c>
      <c r="N594" s="20">
        <v>258960</v>
      </c>
    </row>
    <row r="595" spans="1:14" ht="18" customHeight="1">
      <c r="A595" s="98" t="s">
        <v>190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191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171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281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282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147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283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187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188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150</v>
      </c>
      <c r="I609" s="16" t="s">
        <v>161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284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157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285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189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188</v>
      </c>
      <c r="N621" s="20">
        <v>687740</v>
      </c>
    </row>
    <row r="622" spans="1:14" ht="18" customHeight="1">
      <c r="A622" s="98" t="s">
        <v>190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191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150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286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187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188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150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287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161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288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161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289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189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188</v>
      </c>
      <c r="N648" s="20">
        <f>47050+58630</f>
        <v>105680</v>
      </c>
    </row>
    <row r="649" spans="1:14" ht="18" customHeight="1">
      <c r="A649" s="98" t="s">
        <v>190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191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134</v>
      </c>
      <c r="I650" s="16" t="s">
        <v>121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129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187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188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290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291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122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166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166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122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122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292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189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188</v>
      </c>
      <c r="N675" s="20">
        <v>546550</v>
      </c>
    </row>
    <row r="676" spans="1:14" ht="18" customHeight="1">
      <c r="A676" s="98" t="s">
        <v>190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191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150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122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147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293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150</v>
      </c>
      <c r="I680" s="10" t="s">
        <v>157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187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188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150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294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295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122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189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188</v>
      </c>
      <c r="N702" s="20">
        <f>430070+116100</f>
        <v>546170</v>
      </c>
    </row>
    <row r="703" spans="1:14" ht="18" customHeight="1">
      <c r="A703" s="98" t="s">
        <v>190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191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150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296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187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188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189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188</v>
      </c>
      <c r="N729" s="20">
        <v>477920</v>
      </c>
    </row>
    <row r="730" spans="1:14" ht="18" customHeight="1">
      <c r="A730" s="98" t="s">
        <v>190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191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/>
      <c r="L731" s="71" t="str">
        <f t="shared" ref="L731:L742" si="164">IFERROR(IF(K731="","",IF(K731&gt;=J731,K731-J731,K731+1-J731)),"")</f>
        <v/>
      </c>
      <c r="M731" s="29" t="s">
        <v>297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22</v>
      </c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22</v>
      </c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22</v>
      </c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22</v>
      </c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22</v>
      </c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22</v>
      </c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187</v>
      </c>
      <c r="B743" s="105"/>
      <c r="C743" s="105"/>
      <c r="D743" s="105"/>
      <c r="E743" s="19">
        <f>SUM(E731:E742)</f>
        <v>34</v>
      </c>
      <c r="F743" s="19">
        <f>SUM(F731:F742)</f>
        <v>136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188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189</v>
      </c>
      <c r="B756" s="105"/>
      <c r="C756" s="105"/>
      <c r="D756" s="105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188</v>
      </c>
      <c r="N756" s="20"/>
    </row>
    <row r="757" spans="1:14" ht="18" customHeight="1">
      <c r="A757" s="98" t="s">
        <v>190</v>
      </c>
      <c r="B757" s="98"/>
      <c r="C757" s="98"/>
      <c r="D757" s="98"/>
      <c r="E757" s="22">
        <f>E743+E756</f>
        <v>34</v>
      </c>
      <c r="F757" s="22">
        <f>F743+F756</f>
        <v>136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191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187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188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189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188</v>
      </c>
      <c r="N783" s="20"/>
    </row>
    <row r="784" spans="1:14" ht="18" customHeight="1">
      <c r="A784" s="98" t="s">
        <v>190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191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187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188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189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188</v>
      </c>
      <c r="N810" s="20"/>
    </row>
    <row r="811" spans="1:14" ht="18" customHeight="1">
      <c r="A811" s="98" t="s">
        <v>190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191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12" activePane="bottomLeft" state="frozen"/>
      <selection pane="bottomLeft" activeCell="E735" sqref="E735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177</v>
      </c>
      <c r="C1" s="8" t="s">
        <v>12</v>
      </c>
      <c r="D1" s="8" t="s">
        <v>13</v>
      </c>
      <c r="E1" s="8" t="s">
        <v>178</v>
      </c>
      <c r="F1" s="8" t="s">
        <v>298</v>
      </c>
      <c r="G1" s="8" t="s">
        <v>14</v>
      </c>
      <c r="H1" s="8" t="s">
        <v>15</v>
      </c>
      <c r="I1" s="8" t="s">
        <v>180</v>
      </c>
      <c r="J1" s="8" t="s">
        <v>181</v>
      </c>
      <c r="K1" s="8" t="s">
        <v>182</v>
      </c>
      <c r="L1" s="69" t="s">
        <v>183</v>
      </c>
      <c r="M1" s="8" t="s">
        <v>184</v>
      </c>
      <c r="N1" s="8" t="s">
        <v>185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187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188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189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188</v>
      </c>
      <c r="N27" s="20"/>
    </row>
    <row r="28" spans="1:14" ht="18" customHeight="1">
      <c r="A28" s="98" t="s">
        <v>190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191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187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188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189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188</v>
      </c>
      <c r="N54" s="20"/>
    </row>
    <row r="55" spans="1:14" ht="18" customHeight="1">
      <c r="A55" s="98" t="s">
        <v>190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191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187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188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134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125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299</v>
      </c>
      <c r="I80" s="10" t="s">
        <v>230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189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188</v>
      </c>
      <c r="N81" s="20">
        <v>206440</v>
      </c>
    </row>
    <row r="82" spans="1:14" ht="18" customHeight="1">
      <c r="A82" s="98" t="s">
        <v>190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191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187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188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189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188</v>
      </c>
      <c r="N108" s="20"/>
    </row>
    <row r="109" spans="1:14" ht="18" customHeight="1">
      <c r="A109" s="98" t="s">
        <v>190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191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187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188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189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188</v>
      </c>
      <c r="N135" s="20"/>
    </row>
    <row r="136" spans="1:14" ht="18" customHeight="1">
      <c r="A136" s="98" t="s">
        <v>190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191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187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188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189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188</v>
      </c>
      <c r="N162" s="20">
        <v>0</v>
      </c>
    </row>
    <row r="163" spans="1:14" ht="18" customHeight="1">
      <c r="A163" s="98" t="s">
        <v>190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191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187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189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188</v>
      </c>
      <c r="N189" s="20">
        <v>0</v>
      </c>
    </row>
    <row r="190" spans="1:14" ht="18" customHeight="1">
      <c r="A190" s="98" t="s">
        <v>190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191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187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188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189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188</v>
      </c>
      <c r="N216" s="20"/>
    </row>
    <row r="217" spans="1:14" ht="18" customHeight="1">
      <c r="A217" s="98" t="s">
        <v>190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191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134</v>
      </c>
      <c r="I218" s="10" t="s">
        <v>141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187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188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189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188</v>
      </c>
      <c r="N243" s="20">
        <v>180000</v>
      </c>
    </row>
    <row r="244" spans="1:14" ht="18" customHeight="1">
      <c r="A244" s="98" t="s">
        <v>190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191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134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300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134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300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187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188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122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189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188</v>
      </c>
      <c r="N270" s="20">
        <f>103170+137770</f>
        <v>240940</v>
      </c>
    </row>
    <row r="271" spans="1:14" ht="18" customHeight="1">
      <c r="A271" s="98" t="s">
        <v>190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191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140</v>
      </c>
      <c r="I276" s="10" t="s">
        <v>125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187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188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301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189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188</v>
      </c>
      <c r="N297" s="20">
        <f>110740+118380</f>
        <v>229120</v>
      </c>
    </row>
    <row r="298" spans="1:14" ht="18" customHeight="1">
      <c r="A298" s="98" t="s">
        <v>190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191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302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187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188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303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189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188</v>
      </c>
      <c r="N324" s="20">
        <f>119730+227060</f>
        <v>346790</v>
      </c>
    </row>
    <row r="325" spans="1:14" ht="18" customHeight="1">
      <c r="A325" s="98" t="s">
        <v>190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191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111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187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188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146</v>
      </c>
      <c r="I344" s="10" t="s">
        <v>113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146</v>
      </c>
      <c r="I345" s="16" t="s">
        <v>113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110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253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189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188</v>
      </c>
      <c r="N351" s="20">
        <f>50730+24450</f>
        <v>75180</v>
      </c>
    </row>
    <row r="352" spans="1:14" ht="18" customHeight="1">
      <c r="A352" s="98" t="s">
        <v>190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191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256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304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187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188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146</v>
      </c>
      <c r="I366" s="10" t="s">
        <v>113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189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188</v>
      </c>
      <c r="N378" s="20">
        <f>151130+160740</f>
        <v>311870</v>
      </c>
    </row>
    <row r="379" spans="1:14" ht="18" customHeight="1">
      <c r="A379" s="98" t="s">
        <v>190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191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187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188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189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188</v>
      </c>
      <c r="N405" s="20">
        <v>340530</v>
      </c>
    </row>
    <row r="406" spans="1:14" ht="18" customHeight="1">
      <c r="A406" s="98" t="s">
        <v>190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191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187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188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146</v>
      </c>
      <c r="I423" s="16" t="s">
        <v>113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146</v>
      </c>
      <c r="I431" s="16" t="s">
        <v>113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189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188</v>
      </c>
      <c r="N432" s="20">
        <v>169230</v>
      </c>
    </row>
    <row r="433" spans="1:14" ht="18" customHeight="1">
      <c r="A433" s="98" t="s">
        <v>190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191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305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187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188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306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148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189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188</v>
      </c>
      <c r="N459" s="20">
        <v>221750</v>
      </c>
    </row>
    <row r="460" spans="1:14" ht="18" customHeight="1">
      <c r="A460" s="98" t="s">
        <v>190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191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114</v>
      </c>
      <c r="I464" s="10" t="s">
        <v>268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270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270</v>
      </c>
      <c r="N472" s="30"/>
    </row>
    <row r="473" spans="1:14" ht="15.75" customHeight="1">
      <c r="A473" s="105" t="s">
        <v>187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188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189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188</v>
      </c>
      <c r="N486" s="20">
        <v>240000</v>
      </c>
    </row>
    <row r="487" spans="1:14" ht="18" customHeight="1">
      <c r="A487" s="98" t="s">
        <v>190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191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187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188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189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188</v>
      </c>
      <c r="N513" s="20">
        <v>3930</v>
      </c>
    </row>
    <row r="514" spans="1:14" ht="18" customHeight="1">
      <c r="A514" s="98" t="s">
        <v>190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191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187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188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140</v>
      </c>
      <c r="I528" s="10" t="s">
        <v>125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307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276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148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189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188</v>
      </c>
      <c r="N540" s="20">
        <v>304230</v>
      </c>
    </row>
    <row r="541" spans="1:14" ht="18" customHeight="1">
      <c r="A541" s="98" t="s">
        <v>190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191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264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187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188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129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129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189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188</v>
      </c>
      <c r="N567" s="20">
        <v>437260</v>
      </c>
    </row>
    <row r="568" spans="1:14" ht="18" customHeight="1">
      <c r="A568" s="98" t="s">
        <v>190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191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158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308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160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187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188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126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309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126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248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189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188</v>
      </c>
      <c r="N594" s="20">
        <v>269570</v>
      </c>
    </row>
    <row r="595" spans="1:14" ht="18" customHeight="1">
      <c r="A595" s="98" t="s">
        <v>190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191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147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158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187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188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122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162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161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310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189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188</v>
      </c>
      <c r="N621" s="20">
        <v>176650</v>
      </c>
    </row>
    <row r="622" spans="1:14" ht="18" customHeight="1">
      <c r="A622" s="98" t="s">
        <v>190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191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311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187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188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312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189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188</v>
      </c>
      <c r="N648" s="20">
        <f>154590+56700</f>
        <v>211290</v>
      </c>
    </row>
    <row r="649" spans="1:14" ht="18" customHeight="1">
      <c r="A649" s="98" t="s">
        <v>190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191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129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187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188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122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189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188</v>
      </c>
      <c r="N675" s="20">
        <v>234010</v>
      </c>
    </row>
    <row r="676" spans="1:14" ht="18" customHeight="1">
      <c r="A676" s="98" t="s">
        <v>190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191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158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313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168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187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188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122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189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188</v>
      </c>
      <c r="N702" s="20">
        <f>151740+85690</f>
        <v>237430</v>
      </c>
    </row>
    <row r="703" spans="1:14" ht="18" customHeight="1">
      <c r="A703" s="98" t="s">
        <v>190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191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219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187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188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189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188</v>
      </c>
      <c r="N729" s="20">
        <v>377030</v>
      </c>
    </row>
    <row r="730" spans="1:14" ht="18" customHeight="1">
      <c r="A730" s="98" t="s">
        <v>190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191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/>
      <c r="L731" s="71" t="str">
        <f t="shared" ref="L731:L742" si="163">IFERROR(IF(K731="","",IF(K731&gt;=J731,K731-J731,K731+1-J731)),"")</f>
        <v/>
      </c>
      <c r="M731" s="11" t="s">
        <v>297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22</v>
      </c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22</v>
      </c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22</v>
      </c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22</v>
      </c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22</v>
      </c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187</v>
      </c>
      <c r="B743" s="105"/>
      <c r="C743" s="105"/>
      <c r="D743" s="105"/>
      <c r="E743" s="19">
        <f>SUM(E731:E742)</f>
        <v>13</v>
      </c>
      <c r="F743" s="19">
        <f>SUM(F731:F742)</f>
        <v>52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188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189</v>
      </c>
      <c r="B756" s="105"/>
      <c r="C756" s="105"/>
      <c r="D756" s="105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188</v>
      </c>
      <c r="N756" s="20"/>
    </row>
    <row r="757" spans="1:14" ht="18" customHeight="1">
      <c r="A757" s="98" t="s">
        <v>190</v>
      </c>
      <c r="B757" s="98"/>
      <c r="C757" s="98"/>
      <c r="D757" s="98"/>
      <c r="E757" s="22">
        <f>E743+E756</f>
        <v>13</v>
      </c>
      <c r="F757" s="22">
        <f>F743+F756</f>
        <v>52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191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187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188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189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188</v>
      </c>
      <c r="N783" s="20"/>
    </row>
    <row r="784" spans="1:14" ht="18" customHeight="1">
      <c r="A784" s="98" t="s">
        <v>190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191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187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188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189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188</v>
      </c>
      <c r="N810" s="20"/>
    </row>
    <row r="811" spans="1:14" ht="18" customHeight="1">
      <c r="A811" s="98" t="s">
        <v>190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191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abSelected="1" zoomScale="70" zoomScaleNormal="70" workbookViewId="0">
      <pane ySplit="1" topLeftCell="A709" activePane="bottomLeft" state="frozen"/>
      <selection pane="bottomLeft" activeCell="J733" sqref="J733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177</v>
      </c>
      <c r="C1" s="8" t="s">
        <v>12</v>
      </c>
      <c r="D1" s="57" t="s">
        <v>13</v>
      </c>
      <c r="E1" s="8" t="s">
        <v>178</v>
      </c>
      <c r="F1" s="8" t="s">
        <v>314</v>
      </c>
      <c r="G1" s="8" t="s">
        <v>14</v>
      </c>
      <c r="H1" s="8" t="s">
        <v>15</v>
      </c>
      <c r="I1" s="8" t="s">
        <v>180</v>
      </c>
      <c r="J1" s="8" t="s">
        <v>181</v>
      </c>
      <c r="K1" s="8" t="s">
        <v>182</v>
      </c>
      <c r="L1" s="69" t="s">
        <v>183</v>
      </c>
      <c r="M1" s="8" t="s">
        <v>184</v>
      </c>
      <c r="N1" s="8" t="s">
        <v>185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315</v>
      </c>
      <c r="I2" s="10" t="s">
        <v>316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315</v>
      </c>
      <c r="I3" s="16" t="s">
        <v>316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315</v>
      </c>
      <c r="I4" s="10" t="s">
        <v>316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315</v>
      </c>
      <c r="I5" s="16" t="s">
        <v>316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315</v>
      </c>
      <c r="I6" s="10" t="s">
        <v>316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315</v>
      </c>
      <c r="I7" s="16" t="s">
        <v>316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315</v>
      </c>
      <c r="I8" s="10" t="s">
        <v>316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315</v>
      </c>
      <c r="I9" s="16" t="s">
        <v>316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315</v>
      </c>
      <c r="I10" s="10" t="s">
        <v>316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315</v>
      </c>
      <c r="I11" s="16" t="s">
        <v>316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315</v>
      </c>
      <c r="I12" s="10" t="s">
        <v>316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315</v>
      </c>
      <c r="I13" s="16" t="s">
        <v>316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187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188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125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123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123</v>
      </c>
      <c r="I24" s="10" t="s">
        <v>317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189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188</v>
      </c>
      <c r="N27" s="20">
        <v>537710</v>
      </c>
    </row>
    <row r="28" spans="1:14" ht="18" customHeight="1">
      <c r="A28" s="98" t="s">
        <v>190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191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318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319</v>
      </c>
      <c r="I33" s="16" t="s">
        <v>320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186</v>
      </c>
      <c r="H36" s="10" t="s">
        <v>321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187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188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125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230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189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188</v>
      </c>
      <c r="N54" s="20">
        <v>800250</v>
      </c>
    </row>
    <row r="55" spans="1:14" ht="18" customHeight="1">
      <c r="A55" s="98" t="s">
        <v>190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191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134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134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187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188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321</v>
      </c>
      <c r="I71" s="16" t="s">
        <v>125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189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188</v>
      </c>
      <c r="N81" s="20">
        <v>423590</v>
      </c>
    </row>
    <row r="82" spans="1:14" ht="18" customHeight="1">
      <c r="A82" s="98" t="s">
        <v>190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191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153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134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187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188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322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189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188</v>
      </c>
      <c r="N108" s="20">
        <v>784300</v>
      </c>
    </row>
    <row r="109" spans="1:14" ht="18" customHeight="1">
      <c r="A109" s="98" t="s">
        <v>190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191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115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153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187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188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125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186</v>
      </c>
      <c r="H124" s="10" t="s">
        <v>153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189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188</v>
      </c>
      <c r="N135" s="20">
        <v>527600</v>
      </c>
    </row>
    <row r="136" spans="1:14" ht="18" customHeight="1">
      <c r="A136" s="98" t="s">
        <v>190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191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153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112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186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153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134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187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188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134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189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188</v>
      </c>
      <c r="N162" s="20">
        <v>215370</v>
      </c>
    </row>
    <row r="163" spans="1:14" ht="18" customHeight="1">
      <c r="A163" s="98" t="s">
        <v>190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191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187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134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134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134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134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134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134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134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134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134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134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134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189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188</v>
      </c>
      <c r="N189" s="20">
        <v>400530</v>
      </c>
    </row>
    <row r="190" spans="1:14" ht="18" customHeight="1">
      <c r="A190" s="98" t="s">
        <v>190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191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112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134</v>
      </c>
      <c r="I193" s="16" t="s">
        <v>323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187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188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233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189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188</v>
      </c>
      <c r="N216" s="28">
        <v>704110</v>
      </c>
    </row>
    <row r="217" spans="1:14" ht="18" customHeight="1">
      <c r="A217" s="98" t="s">
        <v>190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191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153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134</v>
      </c>
      <c r="I219" s="16" t="s">
        <v>324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112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248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187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188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131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189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188</v>
      </c>
      <c r="N243" s="20">
        <v>0</v>
      </c>
    </row>
    <row r="244" spans="1:14" ht="18" customHeight="1">
      <c r="A244" s="98" t="s">
        <v>190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191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143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325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187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188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153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189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188</v>
      </c>
      <c r="N270" s="20">
        <f>214250+252630</f>
        <v>466880</v>
      </c>
    </row>
    <row r="271" spans="1:14" ht="18" customHeight="1">
      <c r="A271" s="98" t="s">
        <v>190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191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143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134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326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153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187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188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327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328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329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189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188</v>
      </c>
      <c r="N297" s="20">
        <f>124260+105220</f>
        <v>229480</v>
      </c>
    </row>
    <row r="298" spans="1:14" ht="18" customHeight="1">
      <c r="A298" s="98" t="s">
        <v>190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191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328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330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302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187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188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331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153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331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153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331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153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332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189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188</v>
      </c>
      <c r="N324" s="20">
        <f>311920+165290</f>
        <v>477210</v>
      </c>
    </row>
    <row r="325" spans="1:14" ht="18" customHeight="1">
      <c r="A325" s="98" t="s">
        <v>190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191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153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187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188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153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333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153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253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189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188</v>
      </c>
      <c r="N351" s="20">
        <f>117790+390790</f>
        <v>508580</v>
      </c>
    </row>
    <row r="352" spans="1:14" ht="18" customHeight="1">
      <c r="A352" s="98" t="s">
        <v>190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191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334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335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304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187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188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153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189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188</v>
      </c>
      <c r="N378" s="20">
        <f>490380+390690</f>
        <v>881070</v>
      </c>
    </row>
    <row r="379" spans="1:14" ht="18" customHeight="1">
      <c r="A379" s="98" t="s">
        <v>190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191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125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153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187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188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153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143</v>
      </c>
      <c r="I401" s="16" t="s">
        <v>121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189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188</v>
      </c>
      <c r="N405" s="20">
        <v>745910</v>
      </c>
    </row>
    <row r="406" spans="1:14" ht="18" customHeight="1">
      <c r="A406" s="98" t="s">
        <v>190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191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336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337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338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187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188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153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189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188</v>
      </c>
      <c r="N432" s="20">
        <v>669300</v>
      </c>
    </row>
    <row r="433" spans="1:16" ht="18" customHeight="1">
      <c r="A433" s="98" t="s">
        <v>190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191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143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187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188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123</v>
      </c>
      <c r="I447" s="16" t="s">
        <v>163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328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122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153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328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189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188</v>
      </c>
      <c r="N459" s="20">
        <v>561580</v>
      </c>
    </row>
    <row r="460" spans="1:14" ht="18" customHeight="1">
      <c r="A460" s="98" t="s">
        <v>190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191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143</v>
      </c>
      <c r="I462" s="10" t="s">
        <v>159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270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270</v>
      </c>
      <c r="N472" s="41"/>
    </row>
    <row r="473" spans="1:14" ht="15.75" customHeight="1">
      <c r="A473" s="105" t="s">
        <v>187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188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153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339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340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341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189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188</v>
      </c>
      <c r="N486" s="20">
        <v>508000</v>
      </c>
    </row>
    <row r="487" spans="1:14" ht="18" customHeight="1">
      <c r="A487" s="98" t="s">
        <v>190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191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187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188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342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153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157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343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189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188</v>
      </c>
      <c r="N513" s="20">
        <v>745760</v>
      </c>
    </row>
    <row r="514" spans="1:14" ht="18" customHeight="1">
      <c r="A514" s="98" t="s">
        <v>190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191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187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188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153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153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344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345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248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189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188</v>
      </c>
      <c r="N540" s="20">
        <v>426450</v>
      </c>
    </row>
    <row r="541" spans="1:14" ht="18" customHeight="1">
      <c r="A541" s="98" t="s">
        <v>190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191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346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347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187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188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348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149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153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189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188</v>
      </c>
      <c r="N567" s="20">
        <v>652080</v>
      </c>
    </row>
    <row r="568" spans="1:14" ht="18" customHeight="1">
      <c r="A568" s="98" t="s">
        <v>190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191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349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155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350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143</v>
      </c>
      <c r="I573" s="16" t="s">
        <v>121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160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187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188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351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157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274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248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189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188</v>
      </c>
      <c r="N594" s="20">
        <v>800310</v>
      </c>
    </row>
    <row r="595" spans="1:14" ht="18" customHeight="1">
      <c r="A595" s="98" t="s">
        <v>190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191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123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123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123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123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352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187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188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161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353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189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188</v>
      </c>
      <c r="N621" s="20">
        <v>141320</v>
      </c>
    </row>
    <row r="622" spans="1:14" ht="18" customHeight="1">
      <c r="A622" s="98" t="s">
        <v>190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191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340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123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123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187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188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123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354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153</v>
      </c>
      <c r="I637" s="16" t="s">
        <v>174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355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153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123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153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189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188</v>
      </c>
      <c r="N648" s="20">
        <f>89640+153770</f>
        <v>243410</v>
      </c>
    </row>
    <row r="649" spans="1:14" ht="18" customHeight="1">
      <c r="A649" s="98" t="s">
        <v>190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191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187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188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356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122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123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189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188</v>
      </c>
      <c r="N675" s="20">
        <v>425320</v>
      </c>
    </row>
    <row r="676" spans="1:14" ht="18" customHeight="1">
      <c r="A676" s="98" t="s">
        <v>190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191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153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187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188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153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357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122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358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189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188</v>
      </c>
      <c r="N702" s="20">
        <f>626540+94190</f>
        <v>720730</v>
      </c>
    </row>
    <row r="703" spans="1:14" ht="18" customHeight="1">
      <c r="A703" s="98" t="s">
        <v>190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191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153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359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132</v>
      </c>
      <c r="I705" s="16" t="s">
        <v>170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360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361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187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188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153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362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363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189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188</v>
      </c>
      <c r="N729" s="20">
        <v>874110</v>
      </c>
    </row>
    <row r="730" spans="1:14" ht="18" customHeight="1">
      <c r="A730" s="98" t="s">
        <v>190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191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153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297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/>
      <c r="H733" s="16"/>
      <c r="I733" s="16"/>
      <c r="J733" s="13" t="s">
        <v>364</v>
      </c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22</v>
      </c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22</v>
      </c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22</v>
      </c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22</v>
      </c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22</v>
      </c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22</v>
      </c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187</v>
      </c>
      <c r="B743" s="105"/>
      <c r="C743" s="105"/>
      <c r="D743" s="105"/>
      <c r="E743" s="19">
        <f>SUM(E731:E742)</f>
        <v>39</v>
      </c>
      <c r="F743" s="19">
        <f>SUM(F731:F742)</f>
        <v>156</v>
      </c>
      <c r="G743" s="38"/>
      <c r="H743" s="38"/>
      <c r="I743" s="38"/>
      <c r="J743" s="38"/>
      <c r="K743" s="38"/>
      <c r="L743" s="72">
        <f>IFERROR(SUM(L731:L742),"")</f>
        <v>0.10416666666666663</v>
      </c>
      <c r="M743" s="19" t="s">
        <v>188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189</v>
      </c>
      <c r="B756" s="105"/>
      <c r="C756" s="105"/>
      <c r="D756" s="105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188</v>
      </c>
      <c r="N756" s="20"/>
    </row>
    <row r="757" spans="1:14" ht="18" customHeight="1">
      <c r="A757" s="98" t="s">
        <v>190</v>
      </c>
      <c r="B757" s="98"/>
      <c r="C757" s="98"/>
      <c r="D757" s="98"/>
      <c r="E757" s="22">
        <f>E743+E756</f>
        <v>39</v>
      </c>
      <c r="F757" s="22">
        <f>F743+F756</f>
        <v>156</v>
      </c>
      <c r="G757" s="39"/>
      <c r="H757" s="39"/>
      <c r="I757" s="39"/>
      <c r="J757" s="39"/>
      <c r="K757" s="39"/>
      <c r="L757" s="73">
        <f>IFERROR(L743+L756,"")</f>
        <v>0.10416666666666663</v>
      </c>
      <c r="M757" s="22" t="s">
        <v>191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5" t="s">
        <v>187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188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189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188</v>
      </c>
      <c r="N783" s="20"/>
    </row>
    <row r="784" spans="1:14" ht="18" customHeight="1">
      <c r="A784" s="98" t="s">
        <v>190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191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187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188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189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188</v>
      </c>
      <c r="N810" s="20"/>
    </row>
    <row r="811" spans="1:14" ht="18" customHeight="1">
      <c r="A811" s="110" t="s">
        <v>190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191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914D07B3-4831-4991-A053-ED05E81548EC}"/>
</file>

<file path=customXml/itemProps3.xml><?xml version="1.0" encoding="utf-8"?>
<ds:datastoreItem xmlns:ds="http://schemas.openxmlformats.org/officeDocument/2006/customXml" ds:itemID="{F91E8D77-88C5-466C-9E71-B0518BBFB65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2026-06-28T16:27:35Z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