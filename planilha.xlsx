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" documentId="13_ncr:1_{A6DBCFB4-28D9-4249-9038-216934055CA6}" xr6:coauthVersionLast="47" xr6:coauthVersionMax="47" xr10:uidLastSave="{D03D63B8-4E3F-4E21-ADA2-63788293BF8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<sst xmlns="http://schemas.openxmlformats.org/spreadsheetml/2006/main" count="8511" uniqueCount="395">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</sst>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D502" sqref="D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D504" sqref="D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0.67096261573897209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0.80985150462785982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0.89457372685008263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7" activePane="bottomLeft" state="frozen"/>
      <selection pane="bottomLeft" activeCell="D507" sqref="D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O502" sqref="O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/>
      <c r="F501" s="101">
        <f>IFERROR(IF($D501="","",VLOOKUP($D501,Cadastro!$C$4:$E$7,3,FALSE())),"")</f>
        <v>0.35</v>
      </c>
      <c r="G501" s="89"/>
      <c r="H501" s="101" t="str">
        <f>IFERROR(IF($G501="","",$G501*$S$513/$G$513/Cadastro!$E$33),"")</f>
        <v/>
      </c>
      <c r="I501" s="102">
        <f>IFERROR(IF($D501="","",VLOOKUP($D501,Cadastro!$C$4:$G$7,5,FALSE())),"")</f>
        <v>0.6</v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>
        <v>0.79166666666666663</v>
      </c>
      <c r="P501" s="65"/>
      <c r="Q501" s="71">
        <f t="shared" ref="Q501:Q512" ca="1" si="128">IFERROR(IF(O501="","",IF(P501="",MOD(NOW()-O501,1),IF(P501&gt;=O501,P501-O501,P501+1-O501))),"")</f>
        <v>8.2372685574227944E-4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8.2372685574227944E-4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8.5545949077963812E-2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2026-08-19T23:01:12Z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