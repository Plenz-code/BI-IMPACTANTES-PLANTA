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74" documentId="8_{C51EB6CB-002B-4D6B-B68F-DDEBDB4460C0}" xr6:coauthVersionLast="47" xr6:coauthVersionMax="47" xr10:uidLastSave="{68B203F2-5CB6-47A8-B19C-CD7666650A85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<sst xmlns="http://schemas.openxmlformats.org/spreadsheetml/2006/main" count="4833" uniqueCount="329">
  <si>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</si>
  <si>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</si>
  <si>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</si>
  <si>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</si>
  <si>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</si>
  <si>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</si>
  <si>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</si>
  <si>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</si>
  <si>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</si>
  <si>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</si>
  <si>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</si>
  <si>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</si>
  <si>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</si>
  <si>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</si>
  <si>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</si>
  <si>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</si>
  <si>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</si>
  <si>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</si>
  <si>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</si>
  <si>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</si>
  <si>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</si>
  <si>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</si>
  <si>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</si>
  <si>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</si>
  <si>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</si>
  <si>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</si>
  <si>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</si>
  <si>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</si>
  <si>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</si>
  <si>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</si>
  <si>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</si>
  <si>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</si>
  <si>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</si>
  <si>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</si>
  <si>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</si>
  <si>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</si>
  <si>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</si>
  <si>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</si>
  <si>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</si>
  <si>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</si>
  <si>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</si>
  <si>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</si>
  <si>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</si>
  <si>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</si>
  <si>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</si>
  <si>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</si>
  <si>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</si>
  <si>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</si>
  <si>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</si>
  <si>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</si>
  <si>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</si>
  <si>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</si>
  <si>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</si>
  <si>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</si>
  <si>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</si>
  <si>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</si>
  <si>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</si>
  <si>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</si>
  <si>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</si>
  <si>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</si>
  <si>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</si>
  <si>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</si>
  <si>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</si>
  <si>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</si>
  <si>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</si>
  <si>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</si>
  <si>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</si>
  <si>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</si>
  <si>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</si>
  <si>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</si>
  <si>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</si>
  <si>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</si>
  <si>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</si>
  <si>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</si>
  <si>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</si>
  <si>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</si>
  <si>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</si>
  <si>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</si>
  <si>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</si>
  <si>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</si>
  <si>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</si>
  <si>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</si>
  <si>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</si>
  <si>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</si>
  <si>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</si>
  <si>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</si>
  <si>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</si>
  <si>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</si>
  <si>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</si>
  <si>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</si>
  <si>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</si>
  <si>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</si>
  <si>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</si>
  <si>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</si>
  <si>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</si>
  <si>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</si>
  <si>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</si>
  <si>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</si>
  <si>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</si>
  <si>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</si>
  <si>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</si>
  <si>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</si>
  <si>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</si>
  <si>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</si>
  <si>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</si>
  <si>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</si>
  <si>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</si>
  <si>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</si>
  <si>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</si>
  <si>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</si>
  <si>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</si>
  <si>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</si>
  <si>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</si>
  <si>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</si>
  <si>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</si>
  <si>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</si>
  <si>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</si>
  <si>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</si>
  <si>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</si>
  <si>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</si>
  <si>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</si>
  <si>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</si>
  <si>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</si>
  <si>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</si>
  <si>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</si>
  <si>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</si>
  <si>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</si>
  <si>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</si>
  <si>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</si>
  <si>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</si>
  <si>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</si>
  <si>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</si>
  <si>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</si>
  <si>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</si>
  <si>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</si>
  <si>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</si>
  <si>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</si>
  <si>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</si>
  <si>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</si>
  <si>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</si>
  <si>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</si>
  <si>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</si>
  <si>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</si>
  <si>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</si>
  <si>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</si>
  <si>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</si>
  <si>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</si>
  <si>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</si>
  <si>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</si>
  <si>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</si>
  <si>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</si>
  <si>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</si>
  <si>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</si>
  <si>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</si>
  <si>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</si>
  <si>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</si>
  <si>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</si>
  <si>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</si>
  <si>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</si>
  <si>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</si>
  <si>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</si>
  <si>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</si>
  <si>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</si>
  <si>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</si>
  <si>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</si>
  <si>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</si>
  <si>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</si>
  <si>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</si>
  <si>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</si>
  <si>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</si>
  <si>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</si>
  <si>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</si>
  <si>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</si>
  <si>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</si>
  <si>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</si>
  <si>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</si>
  <si>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</si>
  <si>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</si>
  <si>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</si>
  <si>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</si>
  <si>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</si>
  <si>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</si>
  <si>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</si>
  <si>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</si>
  <si>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</si>
  <si>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</si>
  <si>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</si>
  <si>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</si>
  <si>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</si>
  <si>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</si>
  <si>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</si>
  <si>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</si>
  <si>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</si>
  <si>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</si>
  <si>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</si>
  <si>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</si>
  <si>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</si>
  <si>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</si>
  <si>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</si>
  <si>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</si>
  <si>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</si>
  <si>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</si>
  <si>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</si>
  <si>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</si>
  <si>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</si>
  <si>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</si>
  <si>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</si>
  <si>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</si>
  <si>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</si>
  <si>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</si>
  <si>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</si>
  <si>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</si>
  <si>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</si>
  <si>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</si>
  <si>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</si>
  <si>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</si>
  <si>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</si>
  <si>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</si>
  <si>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</si>
  <si>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</si>
  <si>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</si>
  <si>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</si>
  <si>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</si>
  <si>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</si>
  <si>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</si>
  <si>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</si>
  <si>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</si>
  <si>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</si>
  <si>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</si>
  <si>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</si>
  <si>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</si>
  <si>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</si>
  <si>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</si>
  <si>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</si>
  <si>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</si>
  <si>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</si>
  <si>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</si>
  <si>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</si>
  <si>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</si>
  <si>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</si>
  <si>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</si>
  <si>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</si>
  <si>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</si>
  <si>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</si>
  <si>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</si>
  <si>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</si>
  <si>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</si>
  <si>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</si>
  <si>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</si>
  <si>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</si>
  <si>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</si>
  <si>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</si>
  <si>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</si>
  <si>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</si>
  <si>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</si>
  <si>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</si>
  <si>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</si>
  <si>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</si>
  <si>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</si>
  <si>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</si>
  <si>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</si>
  <si>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</si>
  <si>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</si>
  <si>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</si>
  <si>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</si>
  <si>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</si>
  <si>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</si>
  <si>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</si>
  <si>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</si>
  <si>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</si>
  <si>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</si>
  <si>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</si>
  <si>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</si>
  <si>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</si>
  <si>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</si>
  <si>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</si>
  <si>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</si>
  <si>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</si>
  <si>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</si>
  <si>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</si>
  <si>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</si>
  <si>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</si>
  <si>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</si>
  <si>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</si>
  <si>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</si>
  <si>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</si>
  <si>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</si>
  <si>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</si>
  <si>
    <t>PC 29</t>
  </si>
  <si>
    <t>PC 30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</si>
  <si>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</si>
  <si>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</si>
  <si>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</si>
  <si>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</si>
  <si>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</si>
  <si>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</si>
  <si>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</si>
  <si>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</si>
  <si>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</si>
  <si>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</si>
  <si>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</si>
  <si>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</si>
  <si>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</si>
  <si>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</si>
  <si>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</si>
  <si>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 xml:space="preserve">observação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</si>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</sst>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N246" sqref="N2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3" t="s">
        <v>234</v>
      </c>
      <c r="B230" s="114"/>
      <c r="C230" s="114"/>
      <c r="D230" s="114"/>
      <c r="E230" s="115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>
        <v>3</v>
      </c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3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3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0" activePane="bottomLeft" state="frozen"/>
      <selection pane="bottomLeft" activeCell="G247" sqref="G2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0.22217569444183027</v>
      </c>
      <c r="N53" s="46" t="s">
        <v>261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0.36106458333071917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0.44578680555294148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234</v>
      </c>
      <c r="B230" s="114"/>
      <c r="C230" s="114"/>
      <c r="D230" s="114"/>
      <c r="E230" s="115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279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280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281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282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283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284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285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286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287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288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289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23</v>
      </c>
      <c r="G257" s="36">
        <f>SUM(G245:G256)</f>
        <v>115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23</v>
      </c>
      <c r="G271" s="40">
        <f>G257+G270</f>
        <v>115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2" zoomScale="50" zoomScaleNormal="50" workbookViewId="0">
      <selection activeCell="K248" sqref="K2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301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303</v>
      </c>
      <c r="M222" s="30" t="str">
        <f t="shared" ca="1" si="49"/>
        <v/>
      </c>
      <c r="N222" s="27" t="s">
        <v>304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21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305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21"/>
      <c r="G246" s="34" t="str">
        <f t="shared" si="54"/>
        <v/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21"/>
      <c r="G247" s="28" t="str">
        <f t="shared" si="54"/>
        <v/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/>
      <c r="M247" s="35">
        <f t="shared" ca="1" si="55"/>
        <v>1.3423611089820042E-3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121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121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121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121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121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121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121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121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121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19"/>
      <c r="F257" s="120">
        <f>SUM(F245:F256)</f>
        <v>7</v>
      </c>
      <c r="G257" s="36">
        <f>SUM(G245:G256)</f>
        <v>35</v>
      </c>
      <c r="H257" s="37"/>
      <c r="I257" s="37"/>
      <c r="J257" s="37"/>
      <c r="K257" s="37"/>
      <c r="L257" s="37"/>
      <c r="M257" s="38">
        <f ca="1">IFERROR(SUM(M245:M256),"")</f>
        <v>2.1481249997870877E-2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19"/>
      <c r="F258" s="121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19"/>
      <c r="F259" s="121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19"/>
      <c r="F260" s="121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7</v>
      </c>
      <c r="G271" s="40">
        <f>G257+G270</f>
        <v>35</v>
      </c>
      <c r="H271" s="41"/>
      <c r="I271" s="41"/>
      <c r="J271" s="41"/>
      <c r="K271" s="41"/>
      <c r="L271" s="41"/>
      <c r="M271" s="42">
        <f ca="1">IFERROR(M257+M270,"")</f>
        <v>2.1481249997870877E-2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8" activePane="bottomLeft" state="frozen"/>
      <selection pane="bottomLeft" activeCell="F260" sqref="F2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15</v>
      </c>
      <c r="G257" s="36">
        <f>SUM(G245:G256)</f>
        <v>75</v>
      </c>
      <c r="H257" s="37"/>
      <c r="I257" s="37"/>
      <c r="J257" s="37"/>
      <c r="K257" s="61"/>
      <c r="L257" s="61"/>
      <c r="M257" s="38">
        <f ca="1">IFERROR(SUM(M245:M256),"")</f>
        <v>4.1666666666666519E-3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15</v>
      </c>
      <c r="G271" s="40">
        <f>G257+G270</f>
        <v>75</v>
      </c>
      <c r="H271" s="41"/>
      <c r="I271" s="41"/>
      <c r="J271" s="41"/>
      <c r="K271" s="63"/>
      <c r="L271" s="63"/>
      <c r="M271" s="42">
        <f ca="1">IFERROR(M257+M270,"")</f>
        <v>4.1666666666666519E-3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2026-08-10T12:15:38Z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