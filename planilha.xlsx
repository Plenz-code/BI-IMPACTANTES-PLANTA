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76" documentId="8_{AF585B22-221D-4780-BB9C-493D365A6A02}" xr6:coauthVersionLast="47" xr6:coauthVersionMax="47" xr10:uidLastSave="{C41D0402-FD25-4569-913F-F0657F84083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<sst xmlns="http://schemas.openxmlformats.org/spreadsheetml/2006/main" count="7107" uniqueCount="339">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</sst>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57" zoomScale="85" zoomScaleNormal="85" workbookViewId="0">
      <selection activeCell="K69" sqref="K6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5" sqref="F4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222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226</v>
      </c>
      <c r="O27" s="39">
        <v>1183060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226</v>
      </c>
      <c r="O54" s="39">
        <v>959290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226</v>
      </c>
      <c r="O81" s="39">
        <v>878050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226</v>
      </c>
      <c r="O108" s="39">
        <v>1700000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226</v>
      </c>
      <c r="O135" s="39">
        <v>862330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226</v>
      </c>
      <c r="O162" s="44">
        <v>1546080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226</v>
      </c>
      <c r="O189" s="39">
        <v>2355810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226</v>
      </c>
      <c r="O216" s="45">
        <v>2013260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226</v>
      </c>
      <c r="O243" s="39">
        <v>1545480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226</v>
      </c>
      <c r="O270" s="39">
        <v>1182690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237</v>
      </c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226</v>
      </c>
      <c r="O297" s="39">
        <v>1843460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239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226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240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240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240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240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226</v>
      </c>
      <c r="O324" s="39">
        <v>1940000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229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226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226</v>
      </c>
      <c r="O351" s="39">
        <v>701874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229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242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226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226</v>
      </c>
      <c r="O378" s="39">
        <v>1088710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229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243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244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226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245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226</v>
      </c>
      <c r="O405" s="39">
        <v>1202270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229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246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247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248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248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226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226</v>
      </c>
      <c r="O432" s="39">
        <v>1801910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229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223</v>
      </c>
      <c r="F434" s="27">
        <v>7</v>
      </c>
      <c r="G434" s="28">
        <f t="shared" ref="G434:G445" si="96">IF(F434="","",IF(E434="PC 17",F434*4.2,IF(E434="PC 19",F434*5,"")))</f>
        <v>35</v>
      </c>
      <c r="H434" s="26"/>
      <c r="I434" s="26" t="s">
        <v>23</v>
      </c>
      <c r="J434" s="26"/>
      <c r="K434" s="29">
        <v>0.31805555555555554</v>
      </c>
      <c r="L434" s="29"/>
      <c r="M434" s="30">
        <f t="shared" ref="M434:M445" ca="1" si="97">IFERROR(IF(K434="","",IF(L434="",MOD(NOW()-K434,1),IF(L434&gt;=K434,L434-K434,L434+1-K434))),"")</f>
        <v>6.3930208329111338E-2</v>
      </c>
      <c r="N434" s="46" t="s">
        <v>249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223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223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223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223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223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223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223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223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223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223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223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7</v>
      </c>
      <c r="G446" s="36">
        <f>SUM(G434:G445)</f>
        <v>35</v>
      </c>
      <c r="H446" s="37"/>
      <c r="I446" s="37"/>
      <c r="J446" s="37"/>
      <c r="K446" s="37"/>
      <c r="L446" s="37"/>
      <c r="M446" s="38">
        <f ca="1">IFERROR(SUM(M434:M445),"")</f>
        <v>6.3930208329111338E-2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7</v>
      </c>
      <c r="G460" s="40">
        <f>G446+G459</f>
        <v>35</v>
      </c>
      <c r="H460" s="41"/>
      <c r="I460" s="41"/>
      <c r="J460" s="41"/>
      <c r="K460" s="41"/>
      <c r="L460" s="41"/>
      <c r="M460" s="42">
        <f ca="1">IFERROR(M446+M459,"")</f>
        <v>6.3930208329111338E-2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59" t="s">
        <v>223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36" sqref="F4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226</v>
      </c>
      <c r="O27" s="78">
        <v>393200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250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85">
        <v>276360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226</v>
      </c>
      <c r="O81" s="54">
        <v>787860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226</v>
      </c>
      <c r="O108" s="54">
        <v>1087080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226</v>
      </c>
      <c r="O135" s="54">
        <v>794480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226</v>
      </c>
      <c r="O162" s="54">
        <v>882280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226</v>
      </c>
      <c r="O189" s="78"/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226</v>
      </c>
      <c r="O216" s="78">
        <v>648410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226</v>
      </c>
      <c r="O243" s="78">
        <v>849060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226</v>
      </c>
      <c r="O270" s="78">
        <v>625070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226</v>
      </c>
      <c r="O297" s="78">
        <v>761660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226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226</v>
      </c>
      <c r="O324" s="78">
        <v>524410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229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226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226</v>
      </c>
      <c r="O351" s="78">
        <v>598420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229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226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0.14240243055246538</v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0.30004131944135426</v>
      </c>
      <c r="N378" s="36" t="s">
        <v>226</v>
      </c>
      <c r="O378" s="78">
        <v>511980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0.40976354166357642</v>
      </c>
      <c r="N379" s="40" t="s">
        <v>229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226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283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241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226</v>
      </c>
      <c r="O405" s="78">
        <v>552440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229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226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0.1208746527772746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227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0.291707986110608</v>
      </c>
      <c r="N432" s="36" t="s">
        <v>226</v>
      </c>
      <c r="O432" s="78">
        <v>484540</v>
      </c>
    </row>
    <row r="433" spans="1:15" ht="18" customHeight="1">
      <c r="A433" s="94" t="s">
        <v>228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0.43684687499949687</v>
      </c>
      <c r="N433" s="40" t="s">
        <v>229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>
        <v>24</v>
      </c>
      <c r="G435" s="28">
        <f t="shared" si="96"/>
        <v>100.80000000000001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40</v>
      </c>
      <c r="G446" s="36">
        <f>SUM(G434:G445)</f>
        <v>168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78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40</v>
      </c>
      <c r="G460" s="40">
        <f>G446+G459</f>
        <v>168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229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78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78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78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78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78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78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78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78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78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78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36" sqref="F4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226</v>
      </c>
      <c r="O27" s="39">
        <v>308500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39">
        <v>124290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226</v>
      </c>
      <c r="O81" s="39">
        <v>396340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226</v>
      </c>
      <c r="O108" s="39">
        <v>41230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226</v>
      </c>
      <c r="O135" s="39">
        <v>381250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264</v>
      </c>
      <c r="K141" s="29">
        <v>0.71597222222222223</v>
      </c>
      <c r="L141" s="29" t="s">
        <v>293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226</v>
      </c>
      <c r="O162" s="39">
        <v>337120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295</v>
      </c>
      <c r="N166" s="27" t="s">
        <v>296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226</v>
      </c>
      <c r="O189" s="39">
        <v>747210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226</v>
      </c>
      <c r="O216" s="39">
        <v>468430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226</v>
      </c>
      <c r="O243" s="39">
        <v>575930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226</v>
      </c>
      <c r="O270" s="39">
        <v>483510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226</v>
      </c>
      <c r="O297" s="39">
        <v>487980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226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226</v>
      </c>
      <c r="O324" s="39">
        <v>609460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229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226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226</v>
      </c>
      <c r="O351" s="39">
        <v>437940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229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226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226</v>
      </c>
      <c r="O378" s="39">
        <v>473310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229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226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226</v>
      </c>
      <c r="O405" s="39">
        <v>507450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229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250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226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226</v>
      </c>
      <c r="O432" s="39">
        <v>229150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229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15</v>
      </c>
      <c r="G446" s="36">
        <f>SUM(G434:G445)</f>
        <v>63.000000000000007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15</v>
      </c>
      <c r="G460" s="40">
        <f>G446+G459</f>
        <v>63.000000000000007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F436" sqref="F4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226</v>
      </c>
      <c r="O27" s="39">
        <v>202230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226</v>
      </c>
      <c r="O54" s="39">
        <v>473910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310</v>
      </c>
      <c r="L58" s="29">
        <v>0.54097222222222219</v>
      </c>
      <c r="M58" s="30" t="str">
        <f t="shared" ca="1" si="13"/>
        <v/>
      </c>
      <c r="N58" s="27" t="s">
        <v>311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226</v>
      </c>
      <c r="O81" s="39">
        <v>565120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226</v>
      </c>
      <c r="O108" s="39">
        <v>558590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0.1326804398195236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0.33198599537507922</v>
      </c>
      <c r="N135" s="36" t="s">
        <v>226</v>
      </c>
      <c r="O135" s="39">
        <v>729290</v>
      </c>
    </row>
    <row r="136" spans="1:18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0.69934710648619025</v>
      </c>
      <c r="N136" s="40" t="s">
        <v>229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226</v>
      </c>
      <c r="O162" s="39">
        <v>697320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250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226</v>
      </c>
      <c r="O189" s="39">
        <v>973580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226</v>
      </c>
      <c r="O216" s="45">
        <v>1060630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226</v>
      </c>
      <c r="O243" s="39">
        <v>982340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226</v>
      </c>
      <c r="O270" s="39">
        <v>1208450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226</v>
      </c>
      <c r="O297" s="39">
        <v>1049090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226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226</v>
      </c>
      <c r="O324" s="39">
        <v>1063720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229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225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226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226</v>
      </c>
      <c r="O351" s="39">
        <v>696140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229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225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226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226</v>
      </c>
      <c r="O378" s="39">
        <v>704750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229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226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226</v>
      </c>
      <c r="O405" s="39">
        <v>958130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229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226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226</v>
      </c>
      <c r="O432" s="39">
        <v>605220</v>
      </c>
    </row>
    <row r="433" spans="1:17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229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34</v>
      </c>
      <c r="G446" s="36">
        <f>SUM(G434:G445)</f>
        <v>142.80000000000001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34</v>
      </c>
      <c r="G460" s="40">
        <f>G446+G459</f>
        <v>142.80000000000001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2026-07-17T13:12:15Z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