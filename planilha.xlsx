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08" documentId="8_{AF585B22-221D-4780-BB9C-493D365A6A02}" xr6:coauthVersionLast="47" xr6:coauthVersionMax="47" xr10:uidLastSave="{F921F126-BF81-458B-9BEB-A6E16CCC10F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<sst xmlns="http://schemas.openxmlformats.org/spreadsheetml/2006/main" count="4079" uniqueCount="276">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</sst>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D231" sqref="D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J231" sqref="J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>
        <v>1</v>
      </c>
      <c r="G231" s="34" t="str">
        <f t="shared" ref="G231:G242" si="51">IF(F231="","",IF(E231="PC 17",F231*4.2,IF(E231="PC 19",F231*5,"")))</f>
        <v/>
      </c>
      <c r="H231" s="33" t="s">
        <v>18</v>
      </c>
      <c r="I231" s="33"/>
      <c r="J231" s="33" t="s">
        <v>197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6.25E-2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116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0.39305555555555549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2" sqref="F2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>
        <v>20</v>
      </c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122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22" sqref="F2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0.6165689814806683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0.81587453703622392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1.183235648147335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23</v>
      </c>
      <c r="G243" s="36">
        <f>SUM(G231:G242)</f>
        <v>96.600000000000009</v>
      </c>
      <c r="H243" s="37"/>
      <c r="I243" s="37"/>
      <c r="J243" s="37"/>
      <c r="K243" s="61"/>
      <c r="L243" s="61"/>
      <c r="M243" s="38">
        <f ca="1">IFERROR(SUM(M231:M242),"")</f>
        <v>1.4583333333333282E-2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141</v>
      </c>
      <c r="G244" s="40">
        <f>G230+G243</f>
        <v>592.20000000000005</v>
      </c>
      <c r="H244" s="41"/>
      <c r="I244" s="41"/>
      <c r="J244" s="41"/>
      <c r="K244" s="63"/>
      <c r="L244" s="63"/>
      <c r="M244" s="42">
        <f ca="1">IFERROR(M230+M243,"")</f>
        <v>0.21111111111111122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2026-07-10T00:47:06Z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