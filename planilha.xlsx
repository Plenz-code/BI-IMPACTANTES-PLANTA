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528" documentId="13_ncr:1_{0A10D8D4-8450-4366-8075-B53B08E6B7EA}" xr6:coauthVersionLast="47" xr6:coauthVersionMax="47" xr10:uidLastSave="{F63CA268-2C07-49E7-9751-D40FE2BC7624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1" i="5"/>
  <c r="J381" i="5" s="1"/>
  <c r="H382" i="5"/>
  <c r="J382" i="5" s="1"/>
  <c r="H383" i="5"/>
  <c r="J383" i="5" s="1"/>
  <c r="H384" i="5"/>
  <c r="J384" i="5" s="1"/>
  <c r="H385" i="5"/>
  <c r="J385" i="5" s="1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1" i="4"/>
  <c r="J381" i="4" s="1"/>
  <c r="H382" i="4"/>
  <c r="J382" i="4" s="1"/>
  <c r="H383" i="4"/>
  <c r="J383" i="4" s="1"/>
  <c r="H384" i="4"/>
  <c r="J384" i="4" s="1"/>
  <c r="H385" i="4"/>
  <c r="J385" i="4" s="1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80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80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G406" i="6" l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<sst xmlns="http://schemas.openxmlformats.org/spreadsheetml/2006/main" count="6705" uniqueCount="349">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</sst>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1" sqref="F38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53</v>
      </c>
      <c r="D381" s="59" t="s">
        <v>29</v>
      </c>
      <c r="E381" s="59" t="s">
        <v>243</v>
      </c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53</v>
      </c>
      <c r="D382" s="59" t="s">
        <v>29</v>
      </c>
      <c r="E382" s="20" t="s">
        <v>243</v>
      </c>
      <c r="F382" s="27"/>
      <c r="G382" s="28" t="str">
        <f>IF(F382="","",IF(E383="PC 17",F382*4.2,IF(E383="PC 19",F382*5,IF(E383="CB",F382*35,""))))</f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53</v>
      </c>
      <c r="D383" s="59" t="s">
        <v>29</v>
      </c>
      <c r="E383" s="59" t="s">
        <v>243</v>
      </c>
      <c r="F383" s="27"/>
      <c r="G383" s="34" t="str">
        <f>IF(F383="","",IF(#REF!="PC 17",F383*4.2,IF(#REF!="PC 19",F383*5,IF(#REF!="CB",F383*35,""))))</f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53</v>
      </c>
      <c r="D384" s="59" t="s">
        <v>29</v>
      </c>
      <c r="E384" s="59" t="s">
        <v>243</v>
      </c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53</v>
      </c>
      <c r="D385" s="59" t="s">
        <v>29</v>
      </c>
      <c r="E385" s="59" t="s">
        <v>243</v>
      </c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53</v>
      </c>
      <c r="D386" s="59" t="s">
        <v>29</v>
      </c>
      <c r="E386" s="59" t="s">
        <v>243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53</v>
      </c>
      <c r="D387" s="59" t="s">
        <v>29</v>
      </c>
      <c r="E387" s="59" t="s">
        <v>243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53</v>
      </c>
      <c r="D388" s="59" t="s">
        <v>29</v>
      </c>
      <c r="E388" s="59" t="s">
        <v>243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53</v>
      </c>
      <c r="D389" s="59" t="s">
        <v>29</v>
      </c>
      <c r="E389" s="59" t="s">
        <v>243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53</v>
      </c>
      <c r="D390" s="59" t="s">
        <v>29</v>
      </c>
      <c r="E390" s="59" t="s">
        <v>243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53</v>
      </c>
      <c r="D391" s="59" t="s">
        <v>29</v>
      </c>
      <c r="E391" s="59" t="s">
        <v>243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20</v>
      </c>
      <c r="G392" s="36">
        <f>SUM(G380:G391)</f>
        <v>100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20</v>
      </c>
      <c r="G406" s="40">
        <f>G392+G405</f>
        <v>100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55" activePane="bottomLeft" state="frozen"/>
      <selection pane="bottomLeft" activeCell="G381" sqref="G3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0.21708240740554174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0.35597129629443064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0.44069351851665295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>
        <f t="shared" ref="K380:K391" si="91">IF(G380="","",IF(E380="PC 17",G380*4.2,IF(E380="PC 19",G380*5,IF(E380="CB",G380*24,""))))</f>
        <v>71.400000000000006</v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17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71.400000000000006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17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71.400000000000006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3" activePane="bottomLeft" state="frozen"/>
      <selection pane="bottomLeft" activeCell="G381" sqref="G3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53</v>
      </c>
      <c r="D381" s="59" t="s">
        <v>29</v>
      </c>
      <c r="F381" s="134">
        <f>IFERROR(IF($D381="","",VLOOKUP($D381,Cadastro!$C$4:$E$7,3,FALSE)),"")</f>
        <v>0.35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10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51" activePane="bottomLeft" state="frozen"/>
      <selection pane="bottomLeft" activeCell="D391" sqref="D39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67.2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16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67.2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2026-08-15T12:07:38Z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