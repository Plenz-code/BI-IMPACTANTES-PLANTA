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891" documentId="8_{AF585B22-221D-4780-BB9C-493D365A6A02}" xr6:coauthVersionLast="47" xr6:coauthVersionMax="47" xr10:uidLastSave="{8B1C53BC-DBD4-4EFA-8B68-B0637546F4C0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<sst xmlns="http://schemas.openxmlformats.org/spreadsheetml/2006/main" count="4534" uniqueCount="286">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</sst>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2070060</v>
      </c>
      <c r="D13" s="11">
        <f>IFERROR('Linha 1'!O271,"")</f>
        <v>631580</v>
      </c>
      <c r="E13" s="11">
        <f>IFERROR('Linha 2'!O271,"")</f>
        <v>456270</v>
      </c>
      <c r="F13" s="11">
        <f>IFERROR('Linha 3'!O271,"")</f>
        <v>874480</v>
      </c>
      <c r="G13" s="12">
        <f t="shared" si="0"/>
        <v>1962330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28393390</v>
      </c>
      <c r="D35" s="13">
        <f>IFERROR(SUM(D4:D34),"")</f>
        <v>9850090</v>
      </c>
      <c r="E35" s="13">
        <f>IFERROR(SUM(E4:E34),"")</f>
        <v>6933540</v>
      </c>
      <c r="F35" s="13">
        <f>IFERROR(SUM(F4:F34),"")</f>
        <v>12384660</v>
      </c>
      <c r="G35" s="13">
        <f>IFERROR(SUM(G4:G34),"")</f>
        <v>29168290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41" activePane="bottomLeft" state="frozen"/>
      <selection pane="bottomLeft" activeCell="F263" sqref="F26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122</v>
      </c>
      <c r="G270" s="36">
        <f>SUM(G258:G269)</f>
        <v>610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472</v>
      </c>
      <c r="G271" s="40">
        <f>G257+G270</f>
        <v>2360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2070060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239" activePane="bottomLeft" state="frozen"/>
      <selection pane="bottomLeft" activeCell="H262" sqref="H26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4</v>
      </c>
      <c r="G262" s="34">
        <f t="shared" si="57"/>
        <v>16.8</v>
      </c>
      <c r="H262" s="33" t="s">
        <v>19</v>
      </c>
      <c r="I262" s="26" t="s">
        <v>31</v>
      </c>
      <c r="J262" s="33"/>
      <c r="K262" s="29">
        <v>0.9868055555555556</v>
      </c>
      <c r="L262" s="29"/>
      <c r="M262" s="30">
        <f t="shared" ca="1" si="58"/>
        <v>5.163356481352821E-2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46</v>
      </c>
      <c r="G270" s="36">
        <f>SUM(G258:G269)</f>
        <v>199.6</v>
      </c>
      <c r="H270" s="37"/>
      <c r="I270" s="37"/>
      <c r="J270" s="37"/>
      <c r="K270" s="37"/>
      <c r="L270" s="37"/>
      <c r="M270" s="38">
        <f ca="1">IFERROR(SUM(M258:M269),"")</f>
        <v>0.12455023148019484</v>
      </c>
      <c r="N270" s="36" t="s">
        <v>216</v>
      </c>
      <c r="O270" s="78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211</v>
      </c>
      <c r="G271" s="40">
        <f>G257+G270</f>
        <v>892.59999999999991</v>
      </c>
      <c r="H271" s="41"/>
      <c r="I271" s="41"/>
      <c r="J271" s="41"/>
      <c r="K271" s="41"/>
      <c r="L271" s="41"/>
      <c r="M271" s="42">
        <f ca="1">IFERROR(M257+M270,"")</f>
        <v>0.19677245370241708</v>
      </c>
      <c r="N271" s="40" t="s">
        <v>219</v>
      </c>
      <c r="O271" s="84">
        <f>IFERROR(O257+O270,"")</f>
        <v>631580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B239" zoomScale="50" zoomScaleNormal="50" workbookViewId="0">
      <selection activeCell="F262" sqref="F26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257</v>
      </c>
      <c r="N166" s="27" t="s">
        <v>258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260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8</v>
      </c>
      <c r="G260" s="34">
        <f t="shared" si="57"/>
        <v>33.6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14</v>
      </c>
      <c r="G261" s="28">
        <f t="shared" si="57"/>
        <v>58.800000000000004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9</v>
      </c>
      <c r="G262" s="34">
        <f t="shared" si="57"/>
        <v>37.800000000000004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39</v>
      </c>
      <c r="G270" s="36">
        <f>SUM(G258:G269)</f>
        <v>163.80000000000001</v>
      </c>
      <c r="H270" s="37"/>
      <c r="I270" s="37"/>
      <c r="J270" s="37"/>
      <c r="K270" s="37"/>
      <c r="L270" s="37"/>
      <c r="M270" s="38">
        <f ca="1">IFERROR(SUM(M258:M269),"")</f>
        <v>1.1805555555555625E-2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178</v>
      </c>
      <c r="G271" s="40">
        <f>G257+G270</f>
        <v>747.59999999999991</v>
      </c>
      <c r="H271" s="41"/>
      <c r="I271" s="41"/>
      <c r="J271" s="41"/>
      <c r="K271" s="41"/>
      <c r="L271" s="41"/>
      <c r="M271" s="42">
        <f ca="1">IFERROR(M257+M270,"")</f>
        <v>7.9166666666666829E-2</v>
      </c>
      <c r="N271" s="40" t="s">
        <v>219</v>
      </c>
      <c r="O271" s="48">
        <f>IFERROR(O257+O270,"")</f>
        <v>456270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51" activePane="bottomLeft" state="frozen"/>
      <selection pane="bottomLeft" activeCell="F263" sqref="F26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261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262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263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264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265</v>
      </c>
      <c r="L58" s="29">
        <v>0.54097222222222219</v>
      </c>
      <c r="M58" s="30" t="str">
        <f t="shared" ca="1" si="13"/>
        <v/>
      </c>
      <c r="N58" s="27" t="s">
        <v>266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267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268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269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270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271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272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273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274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0.78913356481643859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0.98843912037199422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1.3558002314831052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275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277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278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279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280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281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282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284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285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95</v>
      </c>
      <c r="G270" s="36">
        <f>SUM(G258:G269)</f>
        <v>399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285</v>
      </c>
      <c r="G271" s="40">
        <f>G257+G270</f>
        <v>1197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874480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2026-07-11T04:55:36Z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