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25" documentId="8_{C51EB6CB-002B-4D6B-B68F-DDEBDB4460C0}" xr6:coauthVersionLast="47" xr6:coauthVersionMax="47" xr10:uidLastSave="{16DDE1B8-4E28-430A-BD6F-5E4E5756285C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<sst xmlns="http://schemas.openxmlformats.org/spreadsheetml/2006/main" count="4926" uniqueCount="323">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</sst>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0</v>
      </c>
      <c r="F13" s="11">
        <f>IFERROR('Linha 3'!O271,"")</f>
        <v>0</v>
      </c>
      <c r="G13" s="12">
        <f t="shared" si="0"/>
        <v>898190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27510450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1" activePane="bottomLeft" state="frozen"/>
      <selection pane="bottomLeft" activeCell="O258" sqref="O2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5.555555555555558E-2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29" activePane="bottomLeft" state="frozen"/>
      <selection pane="bottomLeft" activeCell="O258" sqref="O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0.67100578703684732</v>
      </c>
      <c r="N53" s="46" t="s">
        <v>264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0.80989467592573616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0.89461689814795853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266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267</v>
      </c>
      <c r="M96" s="30" t="str">
        <f t="shared" ref="M96:M107" ca="1" si="22">IFERROR(IF(K96="","",IF(L96="",MOD(NOW()-K96,1),IF(L96&gt;=K96,L96-K96,L96+1-K96))),"")</f>
        <v/>
      </c>
      <c r="N96" s="46" t="s">
        <v>268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276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277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278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271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265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280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281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825.4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7" sqref="F2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277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295</v>
      </c>
      <c r="M222" s="30" t="str">
        <f t="shared" ca="1" si="49"/>
        <v/>
      </c>
      <c r="N222" s="27" t="s">
        <v>296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113</v>
      </c>
      <c r="G271" s="40">
        <f>G257+G270</f>
        <v>512.20000000000005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57" sqref="F2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182</v>
      </c>
      <c r="G271" s="40">
        <f>G257+G270</f>
        <v>822.80000000000007</v>
      </c>
      <c r="H271" s="41"/>
      <c r="I271" s="41"/>
      <c r="J271" s="41"/>
      <c r="K271" s="63"/>
      <c r="L271" s="63"/>
      <c r="M271" s="42">
        <f ca="1">IFERROR(M257+M270,"")</f>
        <v>9.166666666666673E-2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2026-08-10T23:02:17Z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