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7" documentId="8_{C51EB6CB-002B-4D6B-B68F-DDEBDB4460C0}" xr6:coauthVersionLast="47" xr6:coauthVersionMax="47" xr10:uidLastSave="{C859143C-5211-4A38-A941-8414D60063B3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<sst xmlns="http://schemas.openxmlformats.org/spreadsheetml/2006/main" count="2827" uniqueCount="270">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</sst>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5" activePane="bottomLeft" state="frozen"/>
      <selection pane="bottomLeft" activeCell="F114" sqref="F1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J113" sqref="J1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0.35172546296234941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0.49061435185123831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0.57533657407346062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/>
      <c r="M110" s="35">
        <f t="shared" ref="M110:M121" ca="1" si="25">IFERROR(IF(K110="","",IF(L110="",MOD(NOW()-K110,1),IF(L110&gt;=K110,L110-K110,L110+1-K110))),"")</f>
        <v>1.3531018521462101E-2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76</v>
      </c>
      <c r="G122" s="36">
        <f>SUM(G110:G121)</f>
        <v>319.2</v>
      </c>
      <c r="H122" s="37"/>
      <c r="I122" s="37"/>
      <c r="J122" s="37"/>
      <c r="K122" s="37"/>
      <c r="L122" s="37"/>
      <c r="M122" s="38">
        <f ca="1">IFERROR(SUM(M110:M121),"")</f>
        <v>1.3531018521462101E-2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76</v>
      </c>
      <c r="G136" s="40">
        <f>G122+G135</f>
        <v>319.2</v>
      </c>
      <c r="H136" s="41"/>
      <c r="I136" s="41"/>
      <c r="J136" s="41"/>
      <c r="K136" s="41"/>
      <c r="L136" s="41"/>
      <c r="M136" s="42">
        <f ca="1">IFERROR(M122+M135,"")</f>
        <v>1.3531018521462101E-2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1" zoomScale="50" zoomScaleNormal="50" workbookViewId="0">
      <selection activeCell="F114" sqref="F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0.19478101852291729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0.24200324074513949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0.39825324074513946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26</v>
      </c>
      <c r="G122" s="36">
        <f>SUM(G110:G121)</f>
        <v>109.2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26</v>
      </c>
      <c r="G136" s="40">
        <f>G122+G135</f>
        <v>109.2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J116" sqref="J1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/>
      <c r="I112" s="26"/>
      <c r="J112" s="33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69</v>
      </c>
      <c r="G122" s="36">
        <f>SUM(G110:G121)</f>
        <v>289.8</v>
      </c>
      <c r="H122" s="37"/>
      <c r="I122" s="37"/>
      <c r="J122" s="37"/>
      <c r="K122" s="61"/>
      <c r="L122" s="61"/>
      <c r="M122" s="38">
        <f ca="1">IFERROR(SUM(M110:M121),"")</f>
        <v>3.4722222222222265E-2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69</v>
      </c>
      <c r="G136" s="40">
        <f>G122+G135</f>
        <v>289.8</v>
      </c>
      <c r="H136" s="41"/>
      <c r="I136" s="41"/>
      <c r="J136" s="41"/>
      <c r="K136" s="63"/>
      <c r="L136" s="63"/>
      <c r="M136" s="42">
        <f ca="1">IFERROR(M122+M135,"")</f>
        <v>3.4722222222222265E-2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2026-08-05T15:23:22Z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