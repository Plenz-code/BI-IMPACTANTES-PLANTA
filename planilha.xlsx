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335" documentId="13_ncr:1_{0A10D8D4-8450-4366-8075-B53B08E6B7EA}" xr6:coauthVersionLast="47" xr6:coauthVersionMax="47" xr10:uidLastSave="{D5EC7D63-8D32-48A7-B419-D2867ACA0666}"/>
  <bookViews>
    <workbookView xWindow="-28920" yWindow="-6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339" i="6"/>
  <c r="J340" i="6"/>
  <c r="J341" i="6"/>
  <c r="J342" i="6"/>
  <c r="J343" i="6"/>
  <c r="J344" i="6"/>
  <c r="J34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39" i="6"/>
  <c r="H340" i="6"/>
  <c r="H341" i="6"/>
  <c r="H342" i="6"/>
  <c r="H343" i="6"/>
  <c r="H344" i="6"/>
  <c r="H345" i="6"/>
  <c r="H346" i="6"/>
  <c r="J346" i="6" s="1"/>
  <c r="H347" i="6"/>
  <c r="J347" i="6" s="1"/>
  <c r="H348" i="6"/>
  <c r="J348" i="6" s="1"/>
  <c r="H349" i="6"/>
  <c r="J349" i="6" s="1"/>
  <c r="H350" i="6"/>
  <c r="J350" i="6" s="1"/>
  <c r="H332" i="6"/>
  <c r="J332" i="6" s="1"/>
  <c r="H333" i="6"/>
  <c r="J333" i="6" s="1"/>
  <c r="H334" i="6"/>
  <c r="J334" i="6" s="1"/>
  <c r="H335" i="6"/>
  <c r="J335" i="6" s="1"/>
  <c r="H336" i="6"/>
  <c r="J336" i="6" s="1"/>
  <c r="H337" i="6"/>
  <c r="J33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31" i="5"/>
  <c r="J331" i="5" s="1"/>
  <c r="H332" i="5"/>
  <c r="J332" i="5" s="1"/>
  <c r="H333" i="5"/>
  <c r="J333" i="5" s="1"/>
  <c r="H334" i="5"/>
  <c r="J334" i="5" s="1"/>
  <c r="H335" i="5"/>
  <c r="J335" i="5" s="1"/>
  <c r="H336" i="5"/>
  <c r="J336" i="5" s="1"/>
  <c r="H337" i="5"/>
  <c r="J33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31" i="4"/>
  <c r="J331" i="4" s="1"/>
  <c r="H332" i="4"/>
  <c r="J332" i="4" s="1"/>
  <c r="H333" i="4"/>
  <c r="J333" i="4" s="1"/>
  <c r="H334" i="4"/>
  <c r="J334" i="4" s="1"/>
  <c r="H335" i="4"/>
  <c r="J335" i="4" s="1"/>
  <c r="H336" i="4"/>
  <c r="J336" i="4" s="1"/>
  <c r="H337" i="4"/>
  <c r="J33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51" i="6"/>
  <c r="T351" i="6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351" i="4"/>
  <c r="T351" i="4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351" i="5"/>
  <c r="T351" i="5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5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51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51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1" i="6" s="1"/>
  <c r="J331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H330" i="5" s="1"/>
  <c r="J330" i="5" s="1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H330" i="4" s="1"/>
  <c r="J330" i="4" s="1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29" i="6" l="1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<sst xmlns="http://schemas.openxmlformats.org/spreadsheetml/2006/main" count="5905" uniqueCount="337">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</sst>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9" fillId="11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2" sqref="G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0</v>
      </c>
      <c r="D16" s="8">
        <f>IFERROR('Linha 1'!S352,"")</f>
        <v>0</v>
      </c>
      <c r="E16" s="8">
        <f>IFERROR('Linha 2'!S352,"")</f>
        <v>0</v>
      </c>
      <c r="F16" s="8">
        <f>IFERROR('Linha 3'!S352,"")</f>
        <v>0</v>
      </c>
      <c r="G16" s="9">
        <f t="shared" si="0"/>
        <v>0</v>
      </c>
      <c r="H16" s="96">
        <f>IFERROR('Linha 1'!T352+'Linha 2'!T352+'Linha 3'!T352,0)</f>
        <v>0</v>
      </c>
      <c r="I16" s="96"/>
      <c r="J16" s="129" t="str">
        <f t="shared" si="1"/>
        <v>-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42278010</v>
      </c>
      <c r="D35" s="13">
        <f t="shared" si="2"/>
        <v>14325530</v>
      </c>
      <c r="E35" s="13">
        <f t="shared" si="2"/>
        <v>7129520</v>
      </c>
      <c r="F35" s="13">
        <f t="shared" si="2"/>
        <v>17552120</v>
      </c>
      <c r="G35" s="13">
        <f t="shared" si="2"/>
        <v>39007170</v>
      </c>
      <c r="H35" s="97">
        <f t="shared" si="2"/>
        <v>682.96512154031052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9" activePane="bottomLeft" state="frozen"/>
      <selection pane="bottomLeft" activeCell="F332" sqref="F332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/>
      <c r="I327" s="33"/>
      <c r="J327" s="33"/>
      <c r="K327" s="29"/>
      <c r="L327" s="29"/>
      <c r="M327" s="35" t="str">
        <f t="shared" ca="1" si="68"/>
        <v/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/>
      <c r="F332" s="27"/>
      <c r="G332" s="28" t="str">
        <f t="shared" si="67"/>
        <v/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/>
      <c r="F333" s="27"/>
      <c r="G333" s="34" t="str">
        <f t="shared" si="67"/>
        <v/>
      </c>
      <c r="H333" s="33"/>
      <c r="I333" s="33"/>
      <c r="J333" s="33"/>
      <c r="K333" s="29"/>
      <c r="L333" s="29"/>
      <c r="M333" s="35" t="str">
        <f t="shared" ca="1" si="68"/>
        <v/>
      </c>
      <c r="N333" s="46"/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/>
      <c r="F334" s="27"/>
      <c r="G334" s="28" t="str">
        <f t="shared" si="67"/>
        <v/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/>
      <c r="F335" s="27"/>
      <c r="G335" s="34" t="str">
        <f t="shared" si="67"/>
        <v/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/>
      <c r="F336" s="27"/>
      <c r="G336" s="28" t="str">
        <f t="shared" si="67"/>
        <v/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/>
      <c r="F337" s="27"/>
      <c r="G337" s="34" t="str">
        <f t="shared" si="67"/>
        <v/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44</v>
      </c>
      <c r="G338" s="36">
        <f>SUM(G326:G337)</f>
        <v>220</v>
      </c>
      <c r="H338" s="37"/>
      <c r="I338" s="37"/>
      <c r="J338" s="37"/>
      <c r="K338" s="37"/>
      <c r="L338" s="37"/>
      <c r="M338" s="38">
        <f ca="1">IFERROR(SUM(M326:M337),"")</f>
        <v>5.3472222222222254E-2</v>
      </c>
      <c r="N338" s="36" t="s">
        <v>242</v>
      </c>
      <c r="O338" s="39"/>
    </row>
    <row r="339" spans="1:15" ht="15" customHeight="1">
      <c r="A339" s="68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0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1">IFERROR(IF(K339="","",IF(L339="",MOD(NOW()-K339,1),IF(L339&gt;=K339,L339-K339,L339+1-K339))),"")</f>
        <v/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/>
      <c r="D340" s="62"/>
      <c r="E340" s="62"/>
      <c r="F340" s="27"/>
      <c r="G340" s="28" t="str">
        <f t="shared" si="70"/>
        <v/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/>
      <c r="D341" s="62"/>
      <c r="E341" s="62"/>
      <c r="F341" s="27"/>
      <c r="G341" s="34" t="str">
        <f t="shared" si="70"/>
        <v/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/>
      <c r="D342" s="62"/>
      <c r="E342" s="62"/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/>
      <c r="D343" s="62"/>
      <c r="E343" s="62"/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/>
      <c r="D344" s="62"/>
      <c r="E344" s="62"/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/>
      <c r="D345" s="62"/>
      <c r="E345" s="62"/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/>
      <c r="D346" s="62"/>
      <c r="E346" s="62"/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/>
      <c r="D347" s="62"/>
      <c r="E347" s="62"/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/>
      <c r="D348" s="62"/>
      <c r="E348" s="62"/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/>
      <c r="D349" s="62"/>
      <c r="E349" s="62"/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/>
      <c r="D350" s="62"/>
      <c r="E350" s="62"/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44</v>
      </c>
      <c r="G352" s="40">
        <f>G338+G351</f>
        <v>220</v>
      </c>
      <c r="H352" s="41"/>
      <c r="I352" s="41"/>
      <c r="J352" s="41"/>
      <c r="K352" s="41"/>
      <c r="L352" s="41"/>
      <c r="M352" s="42">
        <f ca="1">IFERROR(M338+M351,"")</f>
        <v>5.3472222222222254E-2</v>
      </c>
      <c r="N352" s="40" t="s">
        <v>246</v>
      </c>
      <c r="O352" s="48">
        <f>IFERROR(O338+O351,"")</f>
        <v>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23" activePane="bottomLeft" state="frozen"/>
      <selection pane="bottomLeft" activeCell="E331" sqref="E33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267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268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269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270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271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272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273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274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0.43365289351640968</v>
      </c>
      <c r="R53" s="46" t="s">
        <v>275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0.57254178240529852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0.65726400462752088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267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276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277</v>
      </c>
      <c r="Q96" s="30" t="str">
        <f t="shared" ref="Q96:Q107" ca="1" si="22">IFERROR(IF(O96="","",IF(P96="",MOD(NOW()-O96,1),IF(P96&gt;=O96,P96-O96,P96+1-O96))),"")</f>
        <v/>
      </c>
      <c r="R96" s="46" t="s">
        <v>278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279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280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281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282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283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284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286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287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288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281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276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289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290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291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292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293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4"/>
        <v>0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294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4"/>
        <v>0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4"/>
        <v/>
      </c>
      <c r="K331" s="34" t="str">
        <f t="shared" si="75"/>
        <v/>
      </c>
      <c r="L331" s="33"/>
      <c r="M331" s="33"/>
      <c r="N331" s="33"/>
      <c r="O331" s="29"/>
      <c r="P331" s="29"/>
      <c r="Q331" s="35" t="str">
        <f t="shared" ca="1" si="76"/>
        <v/>
      </c>
      <c r="R331" s="46"/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4"/>
        <v/>
      </c>
      <c r="K332" s="28" t="str">
        <f t="shared" si="75"/>
        <v/>
      </c>
      <c r="L332" s="26"/>
      <c r="M332" s="26"/>
      <c r="N332" s="26"/>
      <c r="O332" s="29"/>
      <c r="P332" s="29"/>
      <c r="Q332" s="30" t="str">
        <f t="shared" ca="1" si="76"/>
        <v/>
      </c>
      <c r="R332" s="46"/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4"/>
        <v/>
      </c>
      <c r="K333" s="34" t="str">
        <f t="shared" si="75"/>
        <v/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4"/>
        <v/>
      </c>
      <c r="K334" s="28" t="str">
        <f t="shared" si="75"/>
        <v/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5"/>
        <v/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5"/>
        <v/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5"/>
        <v/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22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110</v>
      </c>
      <c r="L338" s="37"/>
      <c r="M338" s="37"/>
      <c r="N338" s="37"/>
      <c r="O338" s="37"/>
      <c r="P338" s="37"/>
      <c r="Q338" s="38">
        <f ca="1">IFERROR(SUM(Q326:Q337),"")</f>
        <v>0.12986111111111098</v>
      </c>
      <c r="R338" s="36" t="s">
        <v>242</v>
      </c>
      <c r="S338" s="45"/>
      <c r="T338" s="122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46"/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22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110</v>
      </c>
      <c r="L352" s="41"/>
      <c r="M352" s="41"/>
      <c r="N352" s="41"/>
      <c r="O352" s="41"/>
      <c r="P352" s="41"/>
      <c r="Q352" s="42">
        <f ca="1">IFERROR(Q338+Q351,"")</f>
        <v>0.12986111111111098</v>
      </c>
      <c r="R352" s="40" t="s">
        <v>246</v>
      </c>
      <c r="S352" s="143">
        <f>IFERROR(S338+S351,"")</f>
        <v>0</v>
      </c>
      <c r="T352" s="144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17" activePane="bottomLeft" state="frozen"/>
      <selection pane="bottomLeft" activeCell="P329" sqref="P32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295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270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296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276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295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295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297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298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299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300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301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302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303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284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276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304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305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287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306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307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308</v>
      </c>
      <c r="Q222" s="30" t="str">
        <f t="shared" ca="1" si="49"/>
        <v/>
      </c>
      <c r="R222" s="27" t="s">
        <v>309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310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0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294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2"/>
        <v>0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311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2"/>
        <v>0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2"/>
        <v>0</v>
      </c>
      <c r="K329" s="34">
        <f t="shared" si="73"/>
        <v>60</v>
      </c>
      <c r="L329" s="33"/>
      <c r="M329" s="33"/>
      <c r="N329" s="33"/>
      <c r="O329" s="29"/>
      <c r="P329" s="29"/>
      <c r="Q329" s="35" t="str">
        <f t="shared" ca="1" si="74"/>
        <v/>
      </c>
      <c r="R329" s="27"/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2"/>
        <v>0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2"/>
        <v/>
      </c>
      <c r="K331" s="34" t="str">
        <f t="shared" si="73"/>
        <v/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2"/>
        <v/>
      </c>
      <c r="K332" s="28" t="str">
        <f t="shared" si="73"/>
        <v/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2"/>
        <v/>
      </c>
      <c r="K333" s="34" t="str">
        <f t="shared" si="73"/>
        <v/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2"/>
        <v/>
      </c>
      <c r="K334" s="28" t="str">
        <f t="shared" si="73"/>
        <v/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2"/>
        <v/>
      </c>
      <c r="K335" s="34" t="str">
        <f t="shared" si="73"/>
        <v/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2"/>
        <v/>
      </c>
      <c r="K336" s="28" t="str">
        <f t="shared" si="73"/>
        <v/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2"/>
        <v/>
      </c>
      <c r="K337" s="34" t="str">
        <f t="shared" si="73"/>
        <v/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51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255</v>
      </c>
      <c r="L338" s="37"/>
      <c r="M338" s="37"/>
      <c r="N338" s="37"/>
      <c r="O338" s="37"/>
      <c r="P338" s="37"/>
      <c r="Q338" s="38">
        <f ca="1">IFERROR(SUM(Q326:Q337),"")</f>
        <v>5.5555555555555469E-2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6">IFERROR(IF($H339="","",$H339*$F339*$I339),"")</f>
        <v/>
      </c>
      <c r="K339" s="34" t="str">
        <f t="shared" ref="K339:K350" si="77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6"/>
        <v/>
      </c>
      <c r="K340" s="28" t="str">
        <f t="shared" si="77"/>
        <v/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6"/>
        <v/>
      </c>
      <c r="K341" s="34" t="str">
        <f t="shared" si="77"/>
        <v/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51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255</v>
      </c>
      <c r="L352" s="41"/>
      <c r="M352" s="41"/>
      <c r="N352" s="41"/>
      <c r="O352" s="41"/>
      <c r="P352" s="41"/>
      <c r="Q352" s="42">
        <f ca="1">IFERROR(Q338+Q351,"")</f>
        <v>5.5555555555555469E-2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08" activePane="bottomLeft" state="frozen"/>
      <selection pane="bottomLeft" activeCell="L333" sqref="L333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273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295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317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318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295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295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319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276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295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284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327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328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329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335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336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170">
        <f>IF(G327="","",IF(E328="PC 17",G327*4.2,IF(E328="PC 19",G327*5,"")))</f>
        <v>85</v>
      </c>
      <c r="L327" s="33"/>
      <c r="M327" s="33"/>
      <c r="N327" s="33"/>
      <c r="O327" s="29"/>
      <c r="P327" s="29"/>
      <c r="Q327" s="35" t="str">
        <f t="shared" ca="1" si="75"/>
        <v/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ref="K328:K337" si="77">IF(G328="","",IF(E328="PC 17",G328*4.2,IF(E328="PC 19",G328*5,IF(E328="CB",G328*24,""))))</f>
        <v>75</v>
      </c>
      <c r="L328" s="26"/>
      <c r="M328" s="26"/>
      <c r="N328" s="26"/>
      <c r="O328" s="29"/>
      <c r="P328" s="29"/>
      <c r="Q328" s="30" t="str">
        <f t="shared" ca="1" si="75"/>
        <v/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4"/>
        <v>0</v>
      </c>
      <c r="K329" s="34">
        <f t="shared" si="77"/>
        <v>55</v>
      </c>
      <c r="L329" s="33"/>
      <c r="M329" s="33"/>
      <c r="N329" s="33"/>
      <c r="O329" s="29"/>
      <c r="P329" s="29"/>
      <c r="Q329" s="35" t="str">
        <f t="shared" ca="1" si="75"/>
        <v/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4"/>
        <v>0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4"/>
        <v/>
      </c>
      <c r="K332" s="28" t="str">
        <f t="shared" si="77"/>
        <v/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4"/>
        <v/>
      </c>
      <c r="K333" s="34" t="str">
        <f t="shared" si="77"/>
        <v/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4"/>
        <v/>
      </c>
      <c r="K334" s="28" t="str">
        <f t="shared" si="77"/>
        <v/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7"/>
        <v/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7"/>
        <v/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7"/>
        <v/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88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426.4</v>
      </c>
      <c r="L338" s="37"/>
      <c r="M338" s="37"/>
      <c r="N338" s="37"/>
      <c r="O338" s="61"/>
      <c r="P338" s="61"/>
      <c r="Q338" s="38">
        <f ca="1">IFERROR(SUM(Q326:Q337),"")</f>
        <v>1.1805555555555569E-2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61"/>
      <c r="P351" s="61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88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426.4</v>
      </c>
      <c r="L352" s="41"/>
      <c r="M352" s="41"/>
      <c r="N352" s="41"/>
      <c r="O352" s="63"/>
      <c r="P352" s="63"/>
      <c r="Q352" s="42">
        <f ca="1">IFERROR(Q338+Q351,"")</f>
        <v>1.1805555555555569E-2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2026-08-13T17:21:29Z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