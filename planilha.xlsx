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838" documentId="13_ncr:1_{A6DBCFB4-28D9-4249-9038-216934055CA6}" xr6:coauthVersionLast="47" xr6:coauthVersionMax="47" xr10:uidLastSave="{2D47B269-A4D7-4703-9450-4B5C69EEEC0C}"/>
  <bookViews>
    <workbookView xWindow="-110" yWindow="-110" windowWidth="25820" windowHeight="15500" tabRatio="500" firstSheet="4" activeTab="6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515" i="5" l="1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J561" i="6" s="1"/>
  <c r="F561" i="6"/>
  <c r="Q560" i="6"/>
  <c r="K560" i="6"/>
  <c r="I560" i="6"/>
  <c r="H560" i="6"/>
  <c r="J560" i="6" s="1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J557" i="6" s="1"/>
  <c r="F557" i="6"/>
  <c r="Q556" i="6"/>
  <c r="Q567" i="6" s="1"/>
  <c r="K556" i="6"/>
  <c r="I556" i="6"/>
  <c r="H556" i="6"/>
  <c r="J556" i="6" s="1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J553" i="6" s="1"/>
  <c r="F553" i="6"/>
  <c r="Q552" i="6"/>
  <c r="K552" i="6"/>
  <c r="I552" i="6"/>
  <c r="H552" i="6"/>
  <c r="J552" i="6" s="1"/>
  <c r="F552" i="6"/>
  <c r="Q551" i="6"/>
  <c r="K551" i="6"/>
  <c r="I551" i="6"/>
  <c r="H551" i="6"/>
  <c r="J551" i="6" s="1"/>
  <c r="F551" i="6"/>
  <c r="Q550" i="6"/>
  <c r="K550" i="6"/>
  <c r="I550" i="6"/>
  <c r="H550" i="6"/>
  <c r="J550" i="6" s="1"/>
  <c r="F550" i="6"/>
  <c r="Q549" i="6"/>
  <c r="K549" i="6"/>
  <c r="I549" i="6"/>
  <c r="H549" i="6"/>
  <c r="J549" i="6" s="1"/>
  <c r="F549" i="6"/>
  <c r="Q548" i="6"/>
  <c r="K548" i="6"/>
  <c r="I548" i="6"/>
  <c r="H548" i="6"/>
  <c r="J548" i="6" s="1"/>
  <c r="F548" i="6"/>
  <c r="Q547" i="6"/>
  <c r="K547" i="6"/>
  <c r="I547" i="6"/>
  <c r="H547" i="6"/>
  <c r="J547" i="6" s="1"/>
  <c r="F547" i="6"/>
  <c r="Q546" i="6"/>
  <c r="K546" i="6"/>
  <c r="I546" i="6"/>
  <c r="H546" i="6"/>
  <c r="F546" i="6"/>
  <c r="Q545" i="6"/>
  <c r="K545" i="6"/>
  <c r="I545" i="6"/>
  <c r="H545" i="6"/>
  <c r="J545" i="6" s="1"/>
  <c r="F545" i="6"/>
  <c r="Q544" i="6"/>
  <c r="K544" i="6"/>
  <c r="I544" i="6"/>
  <c r="H544" i="6"/>
  <c r="J544" i="6" s="1"/>
  <c r="F544" i="6"/>
  <c r="Q543" i="6"/>
  <c r="K543" i="6"/>
  <c r="I543" i="6"/>
  <c r="H543" i="6"/>
  <c r="J543" i="6" s="1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J542" i="6" s="1"/>
  <c r="F542" i="6"/>
  <c r="S541" i="6"/>
  <c r="G540" i="6"/>
  <c r="Q539" i="6"/>
  <c r="K539" i="6"/>
  <c r="I539" i="6"/>
  <c r="H539" i="6"/>
  <c r="J539" i="6" s="1"/>
  <c r="F539" i="6"/>
  <c r="Q538" i="6"/>
  <c r="K538" i="6"/>
  <c r="I538" i="6"/>
  <c r="H538" i="6"/>
  <c r="J538" i="6" s="1"/>
  <c r="F538" i="6"/>
  <c r="Q537" i="6"/>
  <c r="K537" i="6"/>
  <c r="I537" i="6"/>
  <c r="H537" i="6"/>
  <c r="J537" i="6" s="1"/>
  <c r="F537" i="6"/>
  <c r="Q536" i="6"/>
  <c r="K536" i="6"/>
  <c r="I536" i="6"/>
  <c r="H536" i="6"/>
  <c r="J536" i="6" s="1"/>
  <c r="F536" i="6"/>
  <c r="Q535" i="6"/>
  <c r="K535" i="6"/>
  <c r="I535" i="6"/>
  <c r="H535" i="6"/>
  <c r="J535" i="6" s="1"/>
  <c r="F535" i="6"/>
  <c r="Q534" i="6"/>
  <c r="K534" i="6"/>
  <c r="I534" i="6"/>
  <c r="H534" i="6"/>
  <c r="J534" i="6" s="1"/>
  <c r="F534" i="6"/>
  <c r="Q533" i="6"/>
  <c r="K533" i="6"/>
  <c r="I533" i="6"/>
  <c r="H533" i="6"/>
  <c r="J533" i="6" s="1"/>
  <c r="F533" i="6"/>
  <c r="Q532" i="6"/>
  <c r="K532" i="6"/>
  <c r="I532" i="6"/>
  <c r="H532" i="6"/>
  <c r="J532" i="6" s="1"/>
  <c r="F532" i="6"/>
  <c r="Q531" i="6"/>
  <c r="K531" i="6"/>
  <c r="I531" i="6"/>
  <c r="H531" i="6"/>
  <c r="J531" i="6" s="1"/>
  <c r="F531" i="6"/>
  <c r="Q530" i="6"/>
  <c r="K530" i="6"/>
  <c r="I530" i="6"/>
  <c r="H530" i="6"/>
  <c r="J530" i="6" s="1"/>
  <c r="F530" i="6"/>
  <c r="Q529" i="6"/>
  <c r="K529" i="6"/>
  <c r="I529" i="6"/>
  <c r="H529" i="6"/>
  <c r="J529" i="6" s="1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J526" i="6" s="1"/>
  <c r="F526" i="6"/>
  <c r="Q525" i="6"/>
  <c r="K525" i="6"/>
  <c r="I525" i="6"/>
  <c r="H525" i="6"/>
  <c r="J525" i="6" s="1"/>
  <c r="F525" i="6"/>
  <c r="Q524" i="6"/>
  <c r="K524" i="6"/>
  <c r="I524" i="6"/>
  <c r="H524" i="6"/>
  <c r="J524" i="6" s="1"/>
  <c r="F524" i="6"/>
  <c r="Q523" i="6"/>
  <c r="K523" i="6"/>
  <c r="I523" i="6"/>
  <c r="H523" i="6"/>
  <c r="J523" i="6" s="1"/>
  <c r="F523" i="6"/>
  <c r="Q522" i="6"/>
  <c r="K522" i="6"/>
  <c r="I522" i="6"/>
  <c r="H522" i="6"/>
  <c r="J522" i="6" s="1"/>
  <c r="F522" i="6"/>
  <c r="Q521" i="6"/>
  <c r="K521" i="6"/>
  <c r="I521" i="6"/>
  <c r="H521" i="6"/>
  <c r="J521" i="6" s="1"/>
  <c r="F521" i="6"/>
  <c r="Q520" i="6"/>
  <c r="K520" i="6"/>
  <c r="I520" i="6"/>
  <c r="H520" i="6"/>
  <c r="J520" i="6" s="1"/>
  <c r="F520" i="6"/>
  <c r="Q519" i="6"/>
  <c r="K519" i="6"/>
  <c r="I519" i="6"/>
  <c r="H519" i="6"/>
  <c r="J519" i="6" s="1"/>
  <c r="F519" i="6"/>
  <c r="Q518" i="6"/>
  <c r="K518" i="6"/>
  <c r="I518" i="6"/>
  <c r="H518" i="6"/>
  <c r="J518" i="6" s="1"/>
  <c r="F518" i="6"/>
  <c r="Q517" i="6"/>
  <c r="K517" i="6"/>
  <c r="I517" i="6"/>
  <c r="H517" i="6"/>
  <c r="J517" i="6" s="1"/>
  <c r="F517" i="6"/>
  <c r="Q516" i="6"/>
  <c r="K516" i="6"/>
  <c r="I516" i="6"/>
  <c r="H516" i="6"/>
  <c r="J516" i="6" s="1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J512" i="6" s="1"/>
  <c r="F512" i="6"/>
  <c r="Q511" i="6"/>
  <c r="K511" i="6"/>
  <c r="I511" i="6"/>
  <c r="H511" i="6"/>
  <c r="F511" i="6"/>
  <c r="Q510" i="6"/>
  <c r="K510" i="6"/>
  <c r="I510" i="6"/>
  <c r="H510" i="6"/>
  <c r="J510" i="6" s="1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J572" i="5" s="1"/>
  <c r="F572" i="5"/>
  <c r="Q571" i="5"/>
  <c r="K571" i="5"/>
  <c r="I571" i="5"/>
  <c r="H571" i="5"/>
  <c r="J571" i="5" s="1"/>
  <c r="F571" i="5"/>
  <c r="Q570" i="5"/>
  <c r="K570" i="5"/>
  <c r="I570" i="5"/>
  <c r="H570" i="5"/>
  <c r="J570" i="5" s="1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J553" i="5" s="1"/>
  <c r="F553" i="5"/>
  <c r="Q552" i="5"/>
  <c r="K552" i="5"/>
  <c r="I552" i="5"/>
  <c r="H552" i="5"/>
  <c r="J552" i="5" s="1"/>
  <c r="F552" i="5"/>
  <c r="Q551" i="5"/>
  <c r="K551" i="5"/>
  <c r="I551" i="5"/>
  <c r="H551" i="5"/>
  <c r="J551" i="5" s="1"/>
  <c r="F551" i="5"/>
  <c r="Q550" i="5"/>
  <c r="K550" i="5"/>
  <c r="I550" i="5"/>
  <c r="H550" i="5"/>
  <c r="J550" i="5" s="1"/>
  <c r="F550" i="5"/>
  <c r="Q549" i="5"/>
  <c r="K549" i="5"/>
  <c r="I549" i="5"/>
  <c r="H549" i="5"/>
  <c r="J549" i="5" s="1"/>
  <c r="F549" i="5"/>
  <c r="Q548" i="5"/>
  <c r="K548" i="5"/>
  <c r="I548" i="5"/>
  <c r="H548" i="5"/>
  <c r="J548" i="5" s="1"/>
  <c r="F548" i="5"/>
  <c r="Q547" i="5"/>
  <c r="K547" i="5"/>
  <c r="I547" i="5"/>
  <c r="H547" i="5"/>
  <c r="J547" i="5" s="1"/>
  <c r="F547" i="5"/>
  <c r="Q546" i="5"/>
  <c r="K546" i="5"/>
  <c r="I546" i="5"/>
  <c r="H546" i="5"/>
  <c r="J546" i="5" s="1"/>
  <c r="F546" i="5"/>
  <c r="Q545" i="5"/>
  <c r="K545" i="5"/>
  <c r="I545" i="5"/>
  <c r="H545" i="5"/>
  <c r="J545" i="5" s="1"/>
  <c r="F545" i="5"/>
  <c r="Q544" i="5"/>
  <c r="K544" i="5"/>
  <c r="I544" i="5"/>
  <c r="H544" i="5"/>
  <c r="J544" i="5" s="1"/>
  <c r="F544" i="5"/>
  <c r="Q543" i="5"/>
  <c r="K543" i="5"/>
  <c r="I543" i="5"/>
  <c r="H543" i="5"/>
  <c r="J543" i="5" s="1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J539" i="5" s="1"/>
  <c r="F539" i="5"/>
  <c r="Q538" i="5"/>
  <c r="K538" i="5"/>
  <c r="I538" i="5"/>
  <c r="H538" i="5"/>
  <c r="J538" i="5" s="1"/>
  <c r="F538" i="5"/>
  <c r="Q537" i="5"/>
  <c r="K537" i="5"/>
  <c r="I537" i="5"/>
  <c r="H537" i="5"/>
  <c r="J537" i="5" s="1"/>
  <c r="F537" i="5"/>
  <c r="Q536" i="5"/>
  <c r="K536" i="5"/>
  <c r="I536" i="5"/>
  <c r="H536" i="5"/>
  <c r="J536" i="5" s="1"/>
  <c r="F536" i="5"/>
  <c r="Q535" i="5"/>
  <c r="K535" i="5"/>
  <c r="I535" i="5"/>
  <c r="H535" i="5"/>
  <c r="J535" i="5" s="1"/>
  <c r="F535" i="5"/>
  <c r="Q534" i="5"/>
  <c r="K534" i="5"/>
  <c r="I534" i="5"/>
  <c r="H534" i="5"/>
  <c r="J534" i="5" s="1"/>
  <c r="F534" i="5"/>
  <c r="Q533" i="5"/>
  <c r="K533" i="5"/>
  <c r="I533" i="5"/>
  <c r="H533" i="5"/>
  <c r="J533" i="5" s="1"/>
  <c r="F533" i="5"/>
  <c r="Q532" i="5"/>
  <c r="K532" i="5"/>
  <c r="I532" i="5"/>
  <c r="H532" i="5"/>
  <c r="J532" i="5" s="1"/>
  <c r="F532" i="5"/>
  <c r="Q531" i="5"/>
  <c r="K531" i="5"/>
  <c r="I531" i="5"/>
  <c r="H531" i="5"/>
  <c r="J531" i="5" s="1"/>
  <c r="F531" i="5"/>
  <c r="Q530" i="5"/>
  <c r="K530" i="5"/>
  <c r="I530" i="5"/>
  <c r="H530" i="5"/>
  <c r="J530" i="5" s="1"/>
  <c r="F530" i="5"/>
  <c r="Q529" i="5"/>
  <c r="K529" i="5"/>
  <c r="I529" i="5"/>
  <c r="H529" i="5"/>
  <c r="J529" i="5" s="1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J526" i="5" s="1"/>
  <c r="F526" i="5"/>
  <c r="Q525" i="5"/>
  <c r="K525" i="5"/>
  <c r="I525" i="5"/>
  <c r="H525" i="5"/>
  <c r="J525" i="5" s="1"/>
  <c r="F525" i="5"/>
  <c r="Q524" i="5"/>
  <c r="K524" i="5"/>
  <c r="I524" i="5"/>
  <c r="H524" i="5"/>
  <c r="J524" i="5" s="1"/>
  <c r="F524" i="5"/>
  <c r="Q523" i="5"/>
  <c r="K523" i="5"/>
  <c r="I523" i="5"/>
  <c r="H523" i="5"/>
  <c r="J523" i="5" s="1"/>
  <c r="F523" i="5"/>
  <c r="Q522" i="5"/>
  <c r="K522" i="5"/>
  <c r="I522" i="5"/>
  <c r="H522" i="5"/>
  <c r="J522" i="5" s="1"/>
  <c r="F522" i="5"/>
  <c r="Q521" i="5"/>
  <c r="K521" i="5"/>
  <c r="I521" i="5"/>
  <c r="H521" i="5"/>
  <c r="J521" i="5" s="1"/>
  <c r="F521" i="5"/>
  <c r="Q520" i="5"/>
  <c r="K520" i="5"/>
  <c r="I520" i="5"/>
  <c r="H520" i="5"/>
  <c r="J520" i="5" s="1"/>
  <c r="F520" i="5"/>
  <c r="Q519" i="5"/>
  <c r="K519" i="5"/>
  <c r="I519" i="5"/>
  <c r="H519" i="5"/>
  <c r="J519" i="5" s="1"/>
  <c r="F519" i="5"/>
  <c r="Q518" i="5"/>
  <c r="K518" i="5"/>
  <c r="I518" i="5"/>
  <c r="H518" i="5"/>
  <c r="J518" i="5" s="1"/>
  <c r="F518" i="5"/>
  <c r="Q517" i="5"/>
  <c r="K517" i="5"/>
  <c r="I517" i="5"/>
  <c r="H517" i="5"/>
  <c r="J517" i="5" s="1"/>
  <c r="F517" i="5"/>
  <c r="Q516" i="5"/>
  <c r="K516" i="5"/>
  <c r="I516" i="5"/>
  <c r="H516" i="5"/>
  <c r="J516" i="5" s="1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27" i="5"/>
  <c r="K541" i="5" s="1"/>
  <c r="I515" i="5"/>
  <c r="H515" i="5"/>
  <c r="F515" i="5"/>
  <c r="S514" i="5"/>
  <c r="G513" i="5"/>
  <c r="Q512" i="5"/>
  <c r="K512" i="5"/>
  <c r="I512" i="5"/>
  <c r="H512" i="5"/>
  <c r="J512" i="5" s="1"/>
  <c r="F512" i="5"/>
  <c r="Q511" i="5"/>
  <c r="K511" i="5"/>
  <c r="I511" i="5"/>
  <c r="H511" i="5"/>
  <c r="F511" i="5"/>
  <c r="Q510" i="5"/>
  <c r="K510" i="5"/>
  <c r="I510" i="5"/>
  <c r="H510" i="5"/>
  <c r="J510" i="5" s="1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J577" i="4" s="1"/>
  <c r="F577" i="4"/>
  <c r="Q576" i="4"/>
  <c r="K576" i="4"/>
  <c r="I576" i="4"/>
  <c r="H576" i="4"/>
  <c r="J576" i="4" s="1"/>
  <c r="F576" i="4"/>
  <c r="Q575" i="4"/>
  <c r="K575" i="4"/>
  <c r="I575" i="4"/>
  <c r="H575" i="4"/>
  <c r="J575" i="4" s="1"/>
  <c r="F575" i="4"/>
  <c r="Q574" i="4"/>
  <c r="K574" i="4"/>
  <c r="I574" i="4"/>
  <c r="H574" i="4"/>
  <c r="J574" i="4" s="1"/>
  <c r="F574" i="4"/>
  <c r="Q573" i="4"/>
  <c r="K573" i="4"/>
  <c r="I573" i="4"/>
  <c r="H573" i="4"/>
  <c r="J573" i="4" s="1"/>
  <c r="F573" i="4"/>
  <c r="Q572" i="4"/>
  <c r="K572" i="4"/>
  <c r="I572" i="4"/>
  <c r="H572" i="4"/>
  <c r="J572" i="4" s="1"/>
  <c r="F572" i="4"/>
  <c r="Q571" i="4"/>
  <c r="K571" i="4"/>
  <c r="I571" i="4"/>
  <c r="H571" i="4"/>
  <c r="J571" i="4" s="1"/>
  <c r="F571" i="4"/>
  <c r="Q570" i="4"/>
  <c r="K570" i="4"/>
  <c r="I570" i="4"/>
  <c r="H570" i="4"/>
  <c r="J570" i="4" s="1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J560" i="4" s="1"/>
  <c r="F560" i="4"/>
  <c r="Q559" i="4"/>
  <c r="K559" i="4"/>
  <c r="I559" i="4"/>
  <c r="H559" i="4"/>
  <c r="J559" i="4" s="1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J553" i="4" s="1"/>
  <c r="F553" i="4"/>
  <c r="Q552" i="4"/>
  <c r="K552" i="4"/>
  <c r="I552" i="4"/>
  <c r="H552" i="4"/>
  <c r="J552" i="4" s="1"/>
  <c r="F552" i="4"/>
  <c r="Q551" i="4"/>
  <c r="K551" i="4"/>
  <c r="I551" i="4"/>
  <c r="H551" i="4"/>
  <c r="J551" i="4" s="1"/>
  <c r="F551" i="4"/>
  <c r="Q550" i="4"/>
  <c r="K550" i="4"/>
  <c r="I550" i="4"/>
  <c r="H550" i="4"/>
  <c r="J550" i="4" s="1"/>
  <c r="F550" i="4"/>
  <c r="Q549" i="4"/>
  <c r="K549" i="4"/>
  <c r="I549" i="4"/>
  <c r="H549" i="4"/>
  <c r="J549" i="4" s="1"/>
  <c r="F549" i="4"/>
  <c r="Q548" i="4"/>
  <c r="K548" i="4"/>
  <c r="I548" i="4"/>
  <c r="H548" i="4"/>
  <c r="J548" i="4" s="1"/>
  <c r="F548" i="4"/>
  <c r="Q547" i="4"/>
  <c r="K547" i="4"/>
  <c r="I547" i="4"/>
  <c r="H547" i="4"/>
  <c r="J547" i="4" s="1"/>
  <c r="F547" i="4"/>
  <c r="Q546" i="4"/>
  <c r="K546" i="4"/>
  <c r="I546" i="4"/>
  <c r="H546" i="4"/>
  <c r="J546" i="4" s="1"/>
  <c r="F546" i="4"/>
  <c r="Q545" i="4"/>
  <c r="K545" i="4"/>
  <c r="I545" i="4"/>
  <c r="H545" i="4"/>
  <c r="J545" i="4" s="1"/>
  <c r="F545" i="4"/>
  <c r="Q544" i="4"/>
  <c r="K544" i="4"/>
  <c r="I544" i="4"/>
  <c r="H544" i="4"/>
  <c r="J544" i="4" s="1"/>
  <c r="F544" i="4"/>
  <c r="Q543" i="4"/>
  <c r="K543" i="4"/>
  <c r="I543" i="4"/>
  <c r="H543" i="4"/>
  <c r="J543" i="4" s="1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J539" i="4" s="1"/>
  <c r="F539" i="4"/>
  <c r="Q538" i="4"/>
  <c r="K538" i="4"/>
  <c r="I538" i="4"/>
  <c r="H538" i="4"/>
  <c r="J538" i="4" s="1"/>
  <c r="F538" i="4"/>
  <c r="Q537" i="4"/>
  <c r="K537" i="4"/>
  <c r="I537" i="4"/>
  <c r="H537" i="4"/>
  <c r="J537" i="4" s="1"/>
  <c r="F537" i="4"/>
  <c r="Q536" i="4"/>
  <c r="K536" i="4"/>
  <c r="I536" i="4"/>
  <c r="H536" i="4"/>
  <c r="J536" i="4" s="1"/>
  <c r="F536" i="4"/>
  <c r="Q535" i="4"/>
  <c r="K535" i="4"/>
  <c r="I535" i="4"/>
  <c r="H535" i="4"/>
  <c r="J535" i="4" s="1"/>
  <c r="F535" i="4"/>
  <c r="Q534" i="4"/>
  <c r="K534" i="4"/>
  <c r="I534" i="4"/>
  <c r="H534" i="4"/>
  <c r="J534" i="4" s="1"/>
  <c r="F534" i="4"/>
  <c r="Q533" i="4"/>
  <c r="K533" i="4"/>
  <c r="I533" i="4"/>
  <c r="H533" i="4"/>
  <c r="J533" i="4" s="1"/>
  <c r="F533" i="4"/>
  <c r="Q532" i="4"/>
  <c r="K532" i="4"/>
  <c r="I532" i="4"/>
  <c r="H532" i="4"/>
  <c r="J532" i="4" s="1"/>
  <c r="F532" i="4"/>
  <c r="Q531" i="4"/>
  <c r="K531" i="4"/>
  <c r="I531" i="4"/>
  <c r="H531" i="4"/>
  <c r="J531" i="4" s="1"/>
  <c r="F531" i="4"/>
  <c r="Q530" i="4"/>
  <c r="K530" i="4"/>
  <c r="I530" i="4"/>
  <c r="H530" i="4"/>
  <c r="J530" i="4" s="1"/>
  <c r="F530" i="4"/>
  <c r="Q529" i="4"/>
  <c r="K529" i="4"/>
  <c r="I529" i="4"/>
  <c r="H529" i="4"/>
  <c r="J529" i="4" s="1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J526" i="4" s="1"/>
  <c r="F526" i="4"/>
  <c r="Q525" i="4"/>
  <c r="K525" i="4"/>
  <c r="I525" i="4"/>
  <c r="H525" i="4"/>
  <c r="J525" i="4" s="1"/>
  <c r="F525" i="4"/>
  <c r="Q524" i="4"/>
  <c r="K524" i="4"/>
  <c r="I524" i="4"/>
  <c r="H524" i="4"/>
  <c r="J524" i="4" s="1"/>
  <c r="F524" i="4"/>
  <c r="Q523" i="4"/>
  <c r="K523" i="4"/>
  <c r="I523" i="4"/>
  <c r="H523" i="4"/>
  <c r="J523" i="4" s="1"/>
  <c r="F523" i="4"/>
  <c r="Q522" i="4"/>
  <c r="K522" i="4"/>
  <c r="I522" i="4"/>
  <c r="H522" i="4"/>
  <c r="J522" i="4" s="1"/>
  <c r="F522" i="4"/>
  <c r="Q521" i="4"/>
  <c r="K521" i="4"/>
  <c r="I521" i="4"/>
  <c r="H521" i="4"/>
  <c r="J521" i="4" s="1"/>
  <c r="F521" i="4"/>
  <c r="Q520" i="4"/>
  <c r="K520" i="4"/>
  <c r="I520" i="4"/>
  <c r="H520" i="4"/>
  <c r="J520" i="4" s="1"/>
  <c r="F520" i="4"/>
  <c r="Q519" i="4"/>
  <c r="K519" i="4"/>
  <c r="I519" i="4"/>
  <c r="H519" i="4"/>
  <c r="J519" i="4" s="1"/>
  <c r="F519" i="4"/>
  <c r="Q518" i="4"/>
  <c r="K518" i="4"/>
  <c r="I518" i="4"/>
  <c r="H518" i="4"/>
  <c r="J518" i="4" s="1"/>
  <c r="F518" i="4"/>
  <c r="Q517" i="4"/>
  <c r="K517" i="4"/>
  <c r="I517" i="4"/>
  <c r="H517" i="4"/>
  <c r="J517" i="4" s="1"/>
  <c r="F517" i="4"/>
  <c r="Q516" i="4"/>
  <c r="K516" i="4"/>
  <c r="I516" i="4"/>
  <c r="H516" i="4"/>
  <c r="J516" i="4" s="1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J512" i="4" s="1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07" i="5" l="1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<sst xmlns="http://schemas.openxmlformats.org/spreadsheetml/2006/main" count="8941" uniqueCount="401">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</sst>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7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22" sqref="G22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58" t="s">
        <v>0</v>
      </c>
      <c r="B1" s="158"/>
      <c r="C1" s="158"/>
      <c r="D1" s="158"/>
      <c r="E1" s="158"/>
      <c r="F1" s="158"/>
      <c r="G1" s="158"/>
      <c r="H1" s="158"/>
      <c r="I1" s="158"/>
      <c r="J1" s="158"/>
      <c r="K1" s="158"/>
      <c r="L1" s="158"/>
    </row>
    <row r="2" spans="1:12" ht="30" customHeight="1">
      <c r="A2" s="159"/>
      <c r="B2" s="159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/>
      <c r="J22" s="22">
        <f t="shared" si="1"/>
        <v>0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1573200</v>
      </c>
      <c r="D23" s="26">
        <f>IFERROR('Linha 1'!S541,"")</f>
        <v>742390</v>
      </c>
      <c r="E23" s="26">
        <f>IFERROR('Linha 2'!S541,"")</f>
        <v>393130</v>
      </c>
      <c r="F23" s="26">
        <f>IFERROR('Linha 3'!S541,"")</f>
        <v>963090</v>
      </c>
      <c r="G23" s="27">
        <f t="shared" si="0"/>
        <v>2098610</v>
      </c>
      <c r="H23" s="21">
        <f>IFERROR('Linha 1'!T541+'Linha 2'!T541+'Linha 3'!T541,0)</f>
        <v>440.70809999999994</v>
      </c>
      <c r="I23" s="21"/>
      <c r="J23" s="22">
        <f t="shared" si="1"/>
        <v>0</v>
      </c>
      <c r="K23" s="22"/>
      <c r="L23" s="28">
        <f>IFERROR(INDEX('Britador Móvel'!$F:$F,3*A23+1),"")</f>
        <v>602.1</v>
      </c>
    </row>
    <row r="24" spans="1:12" ht="15.75" customHeight="1">
      <c r="A24" s="17">
        <v>21</v>
      </c>
      <c r="B24" s="18">
        <v>46255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21"/>
      <c r="J24" s="22" t="str">
        <f t="shared" si="1"/>
        <v>-</v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46256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21"/>
      <c r="J25" s="22" t="str">
        <f t="shared" si="1"/>
        <v>-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60" t="s">
        <v>16</v>
      </c>
      <c r="B35" s="160"/>
      <c r="C35" s="30">
        <f t="shared" ref="C35:I35" si="2">IFERROR(SUM(C4:C34),"")</f>
        <v>73402810</v>
      </c>
      <c r="D35" s="30">
        <f t="shared" si="2"/>
        <v>24042920</v>
      </c>
      <c r="E35" s="30">
        <f t="shared" si="2"/>
        <v>12661190</v>
      </c>
      <c r="F35" s="30">
        <f t="shared" si="2"/>
        <v>30670500</v>
      </c>
      <c r="G35" s="30">
        <f t="shared" si="2"/>
        <v>67374610</v>
      </c>
      <c r="H35" s="31">
        <f t="shared" si="2"/>
        <v>5927.6988825806802</v>
      </c>
      <c r="I35" s="31">
        <f t="shared" si="2"/>
        <v>4625.8500000000004</v>
      </c>
      <c r="J35" s="32">
        <f>IFERROR(AVERAGE(J4:J34),"-")</f>
        <v>0.6505059202064023</v>
      </c>
      <c r="K35" s="33">
        <f>SUM(K4:K34)</f>
        <v>450.78</v>
      </c>
      <c r="L35" s="34">
        <f>IFERROR(SUM(L4:L34),"")</f>
        <v>5113.8</v>
      </c>
    </row>
    <row r="36" spans="1:12" ht="15" customHeight="1">
      <c r="J36" s="35"/>
    </row>
  </sheetData>
  <sheetProtection algorithmName="SHA-512" hashValue="ZeVoZLf9YdLQcstwgkTpX5yADz3h0Bi1ngDuyojdxRbcVd4D/8BfTElgCktZSksQtaPxefT7ooYA6VgD+mXEMw==" saltValue="BdJaSeB6NfmNK2PVwR0sv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9" zoomScale="85" zoomScaleNormal="85" workbookViewId="0">
      <selection activeCell="P46" sqref="P46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1" t="s">
        <v>17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  <c r="L1" s="161"/>
      <c r="M1" s="162"/>
      <c r="N1" s="163" t="s">
        <v>18</v>
      </c>
      <c r="O1" s="163"/>
      <c r="P1" s="163"/>
      <c r="Q1" s="163"/>
      <c r="R1" s="163"/>
    </row>
    <row r="2" spans="1:18" ht="4.5" customHeight="1">
      <c r="M2" s="162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2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2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2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2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2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2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2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2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2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2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2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2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2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2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2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2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2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2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2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62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62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62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62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62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62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62"/>
      <c r="N28" s="37"/>
      <c r="O28" s="37"/>
      <c r="P28" s="37" t="s">
        <v>144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62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62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62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62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62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62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62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62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62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62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62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62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62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62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62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62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62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62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62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62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62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2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62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62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62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62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62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62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62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62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62"/>
      <c r="N59" s="40"/>
      <c r="O59" s="40"/>
      <c r="P59" s="40" t="s">
        <v>222</v>
      </c>
      <c r="Q59" s="40"/>
      <c r="R59" s="40"/>
    </row>
    <row r="60" spans="1:18" ht="15" customHeight="1">
      <c r="M60" s="162"/>
      <c r="N60" s="37"/>
      <c r="O60" s="37"/>
      <c r="P60" s="53" t="s">
        <v>114</v>
      </c>
      <c r="Q60" s="37"/>
      <c r="R60" s="37"/>
    </row>
    <row r="61" spans="1:18" ht="15" customHeight="1">
      <c r="M61" s="162"/>
      <c r="N61" s="40"/>
      <c r="O61" s="40"/>
      <c r="P61" s="40" t="s">
        <v>223</v>
      </c>
      <c r="Q61" s="40"/>
      <c r="R61" s="40"/>
    </row>
    <row r="62" spans="1:18" ht="15" customHeight="1">
      <c r="M62" s="162"/>
      <c r="N62" s="37"/>
      <c r="O62" s="37"/>
      <c r="P62" s="37" t="s">
        <v>224</v>
      </c>
      <c r="Q62" s="37"/>
      <c r="R62" s="37"/>
    </row>
    <row r="63" spans="1:18" ht="15" customHeight="1">
      <c r="M63" s="162"/>
      <c r="N63" s="40"/>
      <c r="O63" s="40"/>
      <c r="P63" s="40" t="s">
        <v>225</v>
      </c>
      <c r="Q63" s="40"/>
      <c r="R63" s="40"/>
    </row>
    <row r="64" spans="1:18" ht="15" customHeight="1">
      <c r="M64" s="162"/>
      <c r="N64" s="37"/>
      <c r="O64" s="37"/>
      <c r="P64" s="37" t="s">
        <v>226</v>
      </c>
      <c r="Q64" s="37"/>
      <c r="R64" s="37"/>
    </row>
    <row r="65" spans="13:18" ht="15" customHeight="1">
      <c r="M65" s="162"/>
      <c r="N65" s="40"/>
      <c r="O65" s="40"/>
      <c r="P65" s="40" t="s">
        <v>227</v>
      </c>
      <c r="Q65" s="40"/>
      <c r="R65" s="40"/>
    </row>
    <row r="66" spans="13:18" ht="15" customHeight="1">
      <c r="M66" s="162"/>
      <c r="N66" s="37"/>
      <c r="O66" s="37"/>
      <c r="P66" s="37" t="s">
        <v>228</v>
      </c>
      <c r="Q66" s="37"/>
      <c r="R66" s="37"/>
    </row>
    <row r="67" spans="13:18" ht="15" customHeight="1">
      <c r="M67" s="162"/>
      <c r="N67" s="40"/>
      <c r="O67" s="40"/>
      <c r="P67" s="40" t="s">
        <v>229</v>
      </c>
      <c r="Q67" s="40"/>
      <c r="R67" s="40"/>
    </row>
    <row r="68" spans="13:18" ht="15" customHeight="1">
      <c r="M68" s="162"/>
      <c r="N68" s="37"/>
      <c r="O68" s="37"/>
      <c r="P68" s="37" t="s">
        <v>230</v>
      </c>
      <c r="Q68" s="37"/>
      <c r="R68" s="37"/>
    </row>
    <row r="69" spans="13:18" ht="15" customHeight="1">
      <c r="M69" s="162"/>
      <c r="N69" s="40"/>
      <c r="O69" s="40"/>
      <c r="P69" s="40" t="s">
        <v>231</v>
      </c>
      <c r="Q69" s="40"/>
      <c r="R69" s="40"/>
    </row>
    <row r="70" spans="13:18" ht="15" customHeight="1">
      <c r="M70" s="162"/>
      <c r="N70" s="37"/>
      <c r="O70" s="37"/>
      <c r="P70" s="37" t="s">
        <v>232</v>
      </c>
      <c r="Q70" s="37"/>
      <c r="R70" s="37"/>
    </row>
    <row r="71" spans="13:18" ht="15" customHeight="1">
      <c r="M71" s="162"/>
      <c r="N71" s="40"/>
      <c r="O71" s="40"/>
      <c r="P71" s="40" t="s">
        <v>233</v>
      </c>
      <c r="Q71" s="40"/>
      <c r="R71" s="40"/>
    </row>
    <row r="72" spans="13:18" ht="15" customHeight="1">
      <c r="M72" s="162"/>
      <c r="N72" s="37"/>
      <c r="O72" s="37"/>
      <c r="P72" s="37" t="s">
        <v>234</v>
      </c>
      <c r="Q72" s="37"/>
      <c r="R72" s="37"/>
    </row>
    <row r="73" spans="13:18" ht="15" customHeight="1">
      <c r="M73" s="162"/>
      <c r="N73" s="40"/>
      <c r="O73" s="40"/>
      <c r="P73" s="40" t="s">
        <v>235</v>
      </c>
      <c r="Q73" s="40"/>
      <c r="R73" s="40"/>
    </row>
    <row r="74" spans="13:18" ht="15" customHeight="1">
      <c r="M74" s="162"/>
      <c r="N74" s="37"/>
      <c r="O74" s="37"/>
      <c r="P74" s="37" t="s">
        <v>236</v>
      </c>
      <c r="Q74" s="37"/>
      <c r="R74" s="37"/>
    </row>
    <row r="75" spans="13:18" ht="15" customHeight="1">
      <c r="M75" s="162"/>
      <c r="N75" s="40"/>
      <c r="O75" s="40"/>
      <c r="P75" s="40" t="s">
        <v>237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238</v>
      </c>
      <c r="C1" s="138" t="s">
        <v>239</v>
      </c>
      <c r="D1" s="138" t="s">
        <v>19</v>
      </c>
      <c r="E1" s="138" t="s">
        <v>240</v>
      </c>
      <c r="F1" s="138" t="s">
        <v>241</v>
      </c>
      <c r="G1" s="138" t="s">
        <v>242</v>
      </c>
      <c r="H1" s="138" t="s">
        <v>243</v>
      </c>
      <c r="I1" s="138" t="s">
        <v>244</v>
      </c>
      <c r="J1" s="138" t="s">
        <v>245</v>
      </c>
      <c r="K1" s="138" t="s">
        <v>246</v>
      </c>
    </row>
    <row r="2" spans="1:11" ht="15.75" customHeight="1">
      <c r="A2" s="139">
        <v>46235</v>
      </c>
      <c r="B2" s="140" t="s">
        <v>247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248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4" t="s">
        <v>249</v>
      </c>
      <c r="B4" s="164"/>
      <c r="C4" s="164"/>
      <c r="D4" s="164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247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248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4" t="s">
        <v>249</v>
      </c>
      <c r="B7" s="164"/>
      <c r="C7" s="164"/>
      <c r="D7" s="164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247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248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4" t="s">
        <v>249</v>
      </c>
      <c r="B10" s="164"/>
      <c r="C10" s="164"/>
      <c r="D10" s="164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247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248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4" t="s">
        <v>249</v>
      </c>
      <c r="B13" s="164"/>
      <c r="C13" s="164"/>
      <c r="D13" s="164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247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248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4" t="s">
        <v>249</v>
      </c>
      <c r="B16" s="164"/>
      <c r="C16" s="164"/>
      <c r="D16" s="164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247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248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4" t="s">
        <v>249</v>
      </c>
      <c r="B19" s="164"/>
      <c r="C19" s="164"/>
      <c r="D19" s="164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247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248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4" t="s">
        <v>249</v>
      </c>
      <c r="B22" s="164"/>
      <c r="C22" s="164"/>
      <c r="D22" s="164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247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248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4" t="s">
        <v>249</v>
      </c>
      <c r="B25" s="164"/>
      <c r="C25" s="164"/>
      <c r="D25" s="164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247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248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4" t="s">
        <v>249</v>
      </c>
      <c r="B28" s="164"/>
      <c r="C28" s="164"/>
      <c r="D28" s="164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247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248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4" t="s">
        <v>249</v>
      </c>
      <c r="B31" s="164"/>
      <c r="C31" s="164"/>
      <c r="D31" s="164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247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248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4" t="s">
        <v>249</v>
      </c>
      <c r="B34" s="164"/>
      <c r="C34" s="164"/>
      <c r="D34" s="164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247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248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4" t="s">
        <v>249</v>
      </c>
      <c r="B37" s="164"/>
      <c r="C37" s="164"/>
      <c r="D37" s="164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247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248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4" t="s">
        <v>249</v>
      </c>
      <c r="B40" s="164"/>
      <c r="C40" s="164"/>
      <c r="D40" s="164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247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248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4" t="s">
        <v>249</v>
      </c>
      <c r="B43" s="164"/>
      <c r="C43" s="164"/>
      <c r="D43" s="164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247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248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4" t="s">
        <v>249</v>
      </c>
      <c r="B46" s="164"/>
      <c r="C46" s="164"/>
      <c r="D46" s="164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247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248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4" t="s">
        <v>249</v>
      </c>
      <c r="B49" s="164"/>
      <c r="C49" s="164"/>
      <c r="D49" s="164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247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248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4" t="s">
        <v>249</v>
      </c>
      <c r="B52" s="164"/>
      <c r="C52" s="164"/>
      <c r="D52" s="164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247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248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4" t="s">
        <v>249</v>
      </c>
      <c r="B55" s="164"/>
      <c r="C55" s="164"/>
      <c r="D55" s="164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247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248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4" t="s">
        <v>249</v>
      </c>
      <c r="B58" s="164"/>
      <c r="C58" s="164"/>
      <c r="D58" s="164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247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/>
      <c r="H59" s="140"/>
      <c r="I59" s="143" t="str">
        <f>IFERROR(IF(G59="","",F59/G59),"")</f>
        <v/>
      </c>
      <c r="J59" s="140"/>
      <c r="K59" s="140"/>
    </row>
    <row r="60" spans="1:11" ht="15.75" customHeight="1">
      <c r="A60" s="144">
        <v>46254</v>
      </c>
      <c r="B60" s="145" t="s">
        <v>248</v>
      </c>
      <c r="C60" s="146">
        <v>0.29166666666666702</v>
      </c>
      <c r="D60" s="145"/>
      <c r="E60" s="145"/>
      <c r="F60" s="147" t="str">
        <f>IF(E60="","",E60*1.5*1.8)</f>
        <v/>
      </c>
      <c r="G60" s="145"/>
      <c r="H60" s="145"/>
      <c r="I60" s="148" t="str">
        <f>IFERROR(IF(G60="","",F60/G60),"")</f>
        <v/>
      </c>
      <c r="J60" s="145"/>
      <c r="K60" s="145"/>
    </row>
    <row r="61" spans="1:11" ht="18" customHeight="1">
      <c r="A61" s="164" t="s">
        <v>249</v>
      </c>
      <c r="B61" s="164"/>
      <c r="C61" s="164"/>
      <c r="D61" s="164"/>
      <c r="E61" s="149">
        <f>SUM(E59:E60)</f>
        <v>223</v>
      </c>
      <c r="F61" s="150">
        <f>IFERROR(SUM(F59:F60),"")</f>
        <v>602.1</v>
      </c>
      <c r="G61" s="150">
        <f>SUM(G59:G60)</f>
        <v>0</v>
      </c>
      <c r="H61" s="150">
        <f>SUM(H59:H60)</f>
        <v>0</v>
      </c>
      <c r="I61" s="151" t="str">
        <f>IFERROR(IF(G61=0,"",F61/G61),"")</f>
        <v/>
      </c>
      <c r="J61" s="152"/>
      <c r="K61" s="152"/>
    </row>
    <row r="62" spans="1:11" ht="15.75" customHeight="1">
      <c r="A62" s="139">
        <v>46255</v>
      </c>
      <c r="B62" s="140" t="s">
        <v>247</v>
      </c>
      <c r="C62" s="141">
        <v>0.79166666666666696</v>
      </c>
      <c r="D62" s="140"/>
      <c r="E62" s="140"/>
      <c r="F62" s="142" t="str">
        <f>IF(E62="","",E62*1.5*1.8)</f>
        <v/>
      </c>
      <c r="G62" s="140"/>
      <c r="H62" s="140"/>
      <c r="I62" s="143" t="str">
        <f>IFERROR(IF(G62="","",F62/G62),"")</f>
        <v/>
      </c>
      <c r="J62" s="140"/>
      <c r="K62" s="140"/>
    </row>
    <row r="63" spans="1:11" ht="15.75" customHeight="1">
      <c r="A63" s="144">
        <v>46255</v>
      </c>
      <c r="B63" s="145" t="s">
        <v>248</v>
      </c>
      <c r="C63" s="146">
        <v>0.29166666666666702</v>
      </c>
      <c r="D63" s="145"/>
      <c r="E63" s="145"/>
      <c r="F63" s="147" t="str">
        <f>IF(E63="","",E63*1.5*1.8)</f>
        <v/>
      </c>
      <c r="G63" s="145"/>
      <c r="H63" s="145"/>
      <c r="I63" s="148" t="str">
        <f>IFERROR(IF(G63="","",F63/G63),"")</f>
        <v/>
      </c>
      <c r="J63" s="145"/>
      <c r="K63" s="145"/>
    </row>
    <row r="64" spans="1:11" ht="18" customHeight="1">
      <c r="A64" s="164" t="s">
        <v>249</v>
      </c>
      <c r="B64" s="164"/>
      <c r="C64" s="164"/>
      <c r="D64" s="164"/>
      <c r="E64" s="149">
        <f>SUM(E62:E63)</f>
        <v>0</v>
      </c>
      <c r="F64" s="150">
        <f>IFERROR(SUM(F62:F63),"")</f>
        <v>0</v>
      </c>
      <c r="G64" s="150">
        <f>SUM(G62:G63)</f>
        <v>0</v>
      </c>
      <c r="H64" s="150">
        <f>SUM(H62:H63)</f>
        <v>0</v>
      </c>
      <c r="I64" s="151" t="str">
        <f>IFERROR(IF(G64=0,"",F64/G64),"")</f>
        <v/>
      </c>
      <c r="J64" s="152"/>
      <c r="K64" s="152"/>
    </row>
    <row r="65" spans="1:11" ht="15.75" customHeight="1">
      <c r="A65" s="139">
        <v>46256</v>
      </c>
      <c r="B65" s="140" t="s">
        <v>247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248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4" t="s">
        <v>249</v>
      </c>
      <c r="B67" s="164"/>
      <c r="C67" s="164"/>
      <c r="D67" s="164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247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248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4" t="s">
        <v>249</v>
      </c>
      <c r="B70" s="164"/>
      <c r="C70" s="164"/>
      <c r="D70" s="164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247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248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4" t="s">
        <v>249</v>
      </c>
      <c r="B73" s="164"/>
      <c r="C73" s="164"/>
      <c r="D73" s="164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247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248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4" t="s">
        <v>249</v>
      </c>
      <c r="B76" s="164"/>
      <c r="C76" s="164"/>
      <c r="D76" s="164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247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248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4" t="s">
        <v>249</v>
      </c>
      <c r="B79" s="164"/>
      <c r="C79" s="164"/>
      <c r="D79" s="164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247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248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4" t="s">
        <v>249</v>
      </c>
      <c r="B82" s="164"/>
      <c r="C82" s="164"/>
      <c r="D82" s="164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247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248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4" t="s">
        <v>249</v>
      </c>
      <c r="B85" s="164"/>
      <c r="C85" s="164"/>
      <c r="D85" s="164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247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248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4" t="s">
        <v>249</v>
      </c>
      <c r="B88" s="164"/>
      <c r="C88" s="164"/>
      <c r="D88" s="164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247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248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4" t="s">
        <v>249</v>
      </c>
      <c r="B91" s="164"/>
      <c r="C91" s="164"/>
      <c r="D91" s="164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247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248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4" t="s">
        <v>249</v>
      </c>
      <c r="B94" s="164"/>
      <c r="C94" s="164"/>
      <c r="D94" s="164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519" activePane="bottomLeft" state="frozen"/>
      <selection pane="bottomLeft" activeCell="D529" sqref="D529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57" t="s">
        <v>252</v>
      </c>
      <c r="G1" s="57" t="s">
        <v>253</v>
      </c>
      <c r="H1" s="57" t="s">
        <v>23</v>
      </c>
      <c r="I1" s="57" t="s">
        <v>24</v>
      </c>
      <c r="J1" s="57" t="s">
        <v>254</v>
      </c>
      <c r="K1" s="57" t="s">
        <v>255</v>
      </c>
      <c r="L1" s="57" t="s">
        <v>256</v>
      </c>
      <c r="M1" s="58" t="s">
        <v>257</v>
      </c>
      <c r="N1" s="57" t="s">
        <v>246</v>
      </c>
      <c r="O1" s="57" t="s">
        <v>258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259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259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259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259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259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259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259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259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259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259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259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259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5" t="s">
        <v>260</v>
      </c>
      <c r="B14" s="165"/>
      <c r="C14" s="165"/>
      <c r="D14" s="165"/>
      <c r="E14" s="165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261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259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259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259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262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259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259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259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259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259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259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259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259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259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5" t="s">
        <v>263</v>
      </c>
      <c r="B27" s="165"/>
      <c r="C27" s="165"/>
      <c r="D27" s="165"/>
      <c r="E27" s="165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261</v>
      </c>
      <c r="O27" s="74">
        <v>997910</v>
      </c>
    </row>
    <row r="28" spans="1:15" ht="18" customHeight="1">
      <c r="A28" s="166" t="s">
        <v>249</v>
      </c>
      <c r="B28" s="166"/>
      <c r="C28" s="166"/>
      <c r="D28" s="166"/>
      <c r="E28" s="166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264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259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259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265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259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262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259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259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259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259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259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259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259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259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259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5" t="s">
        <v>260</v>
      </c>
      <c r="B41" s="165"/>
      <c r="C41" s="165"/>
      <c r="D41" s="165"/>
      <c r="E41" s="165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261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259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266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259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259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259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259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259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259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259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259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259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259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5" t="s">
        <v>263</v>
      </c>
      <c r="B54" s="165"/>
      <c r="C54" s="165"/>
      <c r="D54" s="165"/>
      <c r="E54" s="165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261</v>
      </c>
      <c r="O54" s="74">
        <v>981310</v>
      </c>
    </row>
    <row r="55" spans="1:15" ht="18" customHeight="1">
      <c r="A55" s="166" t="s">
        <v>249</v>
      </c>
      <c r="B55" s="166"/>
      <c r="C55" s="166"/>
      <c r="D55" s="166"/>
      <c r="E55" s="166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264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259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259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259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259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259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259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259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259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259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259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259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259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5" t="s">
        <v>260</v>
      </c>
      <c r="B68" s="165"/>
      <c r="C68" s="165"/>
      <c r="D68" s="165"/>
      <c r="E68" s="165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261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259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259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267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259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259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259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259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259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259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259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259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259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259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5" t="s">
        <v>263</v>
      </c>
      <c r="B81" s="165"/>
      <c r="C81" s="165"/>
      <c r="D81" s="165"/>
      <c r="E81" s="165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261</v>
      </c>
      <c r="O81" s="74">
        <v>1547910</v>
      </c>
    </row>
    <row r="82" spans="1:15" ht="18" customHeight="1">
      <c r="A82" s="166" t="s">
        <v>249</v>
      </c>
      <c r="B82" s="166"/>
      <c r="C82" s="166"/>
      <c r="D82" s="166"/>
      <c r="E82" s="166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264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259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259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259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268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259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259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259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259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259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259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259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259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259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5" t="s">
        <v>260</v>
      </c>
      <c r="B95" s="165"/>
      <c r="C95" s="165"/>
      <c r="D95" s="165"/>
      <c r="E95" s="165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261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259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259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259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259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259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259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269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259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259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259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259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259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259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5" t="s">
        <v>263</v>
      </c>
      <c r="B108" s="165"/>
      <c r="C108" s="165"/>
      <c r="D108" s="165"/>
      <c r="E108" s="165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261</v>
      </c>
      <c r="O108" s="74">
        <v>3156240</v>
      </c>
    </row>
    <row r="109" spans="1:15" ht="18" customHeight="1">
      <c r="A109" s="166" t="s">
        <v>249</v>
      </c>
      <c r="B109" s="166"/>
      <c r="C109" s="166"/>
      <c r="D109" s="166"/>
      <c r="E109" s="166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264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259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259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259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259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259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259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259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259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259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259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259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259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5" t="s">
        <v>260</v>
      </c>
      <c r="B122" s="165"/>
      <c r="C122" s="165"/>
      <c r="D122" s="165"/>
      <c r="E122" s="165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261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259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259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259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259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259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259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259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259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259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259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259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259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5" t="s">
        <v>263</v>
      </c>
      <c r="B135" s="165"/>
      <c r="C135" s="165"/>
      <c r="D135" s="165"/>
      <c r="E135" s="165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261</v>
      </c>
      <c r="O135" s="74">
        <v>2875180</v>
      </c>
    </row>
    <row r="136" spans="1:15" ht="18" customHeight="1">
      <c r="A136" s="166" t="s">
        <v>249</v>
      </c>
      <c r="B136" s="166"/>
      <c r="C136" s="166"/>
      <c r="D136" s="166"/>
      <c r="E136" s="166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264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259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270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259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259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259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259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259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259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259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259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259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259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259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5" t="s">
        <v>260</v>
      </c>
      <c r="B149" s="165"/>
      <c r="C149" s="165"/>
      <c r="D149" s="165"/>
      <c r="E149" s="165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261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259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259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271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259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259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259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259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259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259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259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259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259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259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5" t="s">
        <v>263</v>
      </c>
      <c r="B162" s="165"/>
      <c r="C162" s="165"/>
      <c r="D162" s="165"/>
      <c r="E162" s="165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261</v>
      </c>
      <c r="O162" s="79">
        <v>842000</v>
      </c>
    </row>
    <row r="163" spans="1:15" ht="18" customHeight="1">
      <c r="A163" s="166" t="s">
        <v>249</v>
      </c>
      <c r="B163" s="166"/>
      <c r="C163" s="166"/>
      <c r="D163" s="166"/>
      <c r="E163" s="166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264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259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236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272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259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259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259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259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259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259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259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259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259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259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259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5" t="s">
        <v>260</v>
      </c>
      <c r="B176" s="165"/>
      <c r="C176" s="165"/>
      <c r="D176" s="165"/>
      <c r="E176" s="165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261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259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273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259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259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259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259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259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259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259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274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259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259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259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5" t="s">
        <v>263</v>
      </c>
      <c r="B189" s="165"/>
      <c r="C189" s="165"/>
      <c r="D189" s="165"/>
      <c r="E189" s="165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261</v>
      </c>
      <c r="O189" s="74">
        <v>1901630</v>
      </c>
    </row>
    <row r="190" spans="1:15" ht="18" customHeight="1">
      <c r="A190" s="166" t="s">
        <v>249</v>
      </c>
      <c r="B190" s="166"/>
      <c r="C190" s="166"/>
      <c r="D190" s="166"/>
      <c r="E190" s="166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264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259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259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259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275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259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259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259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259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259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259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259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259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259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5" t="s">
        <v>260</v>
      </c>
      <c r="B203" s="165"/>
      <c r="C203" s="165"/>
      <c r="D203" s="165"/>
      <c r="E203" s="165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261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259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259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259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259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259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259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259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259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259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259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259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259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5" t="s">
        <v>263</v>
      </c>
      <c r="B216" s="165"/>
      <c r="C216" s="165"/>
      <c r="D216" s="165"/>
      <c r="E216" s="165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261</v>
      </c>
      <c r="O216" s="74">
        <v>1852295</v>
      </c>
    </row>
    <row r="217" spans="1:15" ht="18" customHeight="1">
      <c r="A217" s="166" t="s">
        <v>249</v>
      </c>
      <c r="B217" s="166"/>
      <c r="C217" s="166"/>
      <c r="D217" s="166"/>
      <c r="E217" s="166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264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259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259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259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276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259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259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259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259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259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259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259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259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259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5" t="s">
        <v>260</v>
      </c>
      <c r="B230" s="165"/>
      <c r="C230" s="165"/>
      <c r="D230" s="165"/>
      <c r="E230" s="165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261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259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259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259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277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277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277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277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277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277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277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277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277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5" t="s">
        <v>263</v>
      </c>
      <c r="B243" s="165"/>
      <c r="C243" s="165"/>
      <c r="D243" s="165"/>
      <c r="E243" s="165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261</v>
      </c>
      <c r="O243" s="74">
        <v>991010</v>
      </c>
    </row>
    <row r="244" spans="1:15" ht="18" customHeight="1">
      <c r="A244" s="166" t="s">
        <v>249</v>
      </c>
      <c r="B244" s="166"/>
      <c r="C244" s="166"/>
      <c r="D244" s="166"/>
      <c r="E244" s="166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264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259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259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259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259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259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278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259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259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259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259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259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259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259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5" t="s">
        <v>260</v>
      </c>
      <c r="B257" s="165"/>
      <c r="C257" s="165"/>
      <c r="D257" s="165"/>
      <c r="E257" s="165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261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279</v>
      </c>
      <c r="E258" s="75" t="s">
        <v>259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279</v>
      </c>
      <c r="E259" s="75" t="s">
        <v>259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279</v>
      </c>
      <c r="E260" s="75" t="s">
        <v>259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279</v>
      </c>
      <c r="E261" s="75" t="s">
        <v>259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279</v>
      </c>
      <c r="E262" s="75" t="s">
        <v>259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279</v>
      </c>
      <c r="E263" s="75" t="s">
        <v>259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279</v>
      </c>
      <c r="E264" s="75" t="s">
        <v>259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279</v>
      </c>
      <c r="E265" s="75" t="s">
        <v>259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279</v>
      </c>
      <c r="E266" s="75" t="s">
        <v>259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279</v>
      </c>
      <c r="E267" s="75" t="s">
        <v>259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279</v>
      </c>
      <c r="E268" s="75" t="s">
        <v>259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279</v>
      </c>
      <c r="E269" s="75" t="s">
        <v>259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5" t="s">
        <v>263</v>
      </c>
      <c r="B270" s="165"/>
      <c r="C270" s="165"/>
      <c r="D270" s="165"/>
      <c r="E270" s="165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261</v>
      </c>
      <c r="O270" s="74">
        <v>1544700</v>
      </c>
    </row>
    <row r="271" spans="1:15" ht="18" customHeight="1">
      <c r="A271" s="166" t="s">
        <v>249</v>
      </c>
      <c r="B271" s="166"/>
      <c r="C271" s="166"/>
      <c r="D271" s="166"/>
      <c r="E271" s="166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264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279</v>
      </c>
      <c r="E272" s="62" t="s">
        <v>259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279</v>
      </c>
      <c r="E273" s="62" t="s">
        <v>259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279</v>
      </c>
      <c r="E274" s="62" t="s">
        <v>259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279</v>
      </c>
      <c r="E275" s="62" t="s">
        <v>259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279</v>
      </c>
      <c r="E276" s="62" t="s">
        <v>259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279</v>
      </c>
      <c r="E277" s="62" t="s">
        <v>259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280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279</v>
      </c>
      <c r="E278" s="62" t="s">
        <v>259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279</v>
      </c>
      <c r="E279" s="62" t="s">
        <v>259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279</v>
      </c>
      <c r="E280" s="62" t="s">
        <v>259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279</v>
      </c>
      <c r="E281" s="62" t="s">
        <v>259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279</v>
      </c>
      <c r="E282" s="62" t="s">
        <v>259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279</v>
      </c>
      <c r="E283" s="62" t="s">
        <v>259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5" t="s">
        <v>260</v>
      </c>
      <c r="B284" s="165"/>
      <c r="C284" s="165"/>
      <c r="D284" s="165"/>
      <c r="E284" s="165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261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279</v>
      </c>
      <c r="E285" s="75" t="s">
        <v>274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279</v>
      </c>
      <c r="E286" s="75" t="s">
        <v>274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279</v>
      </c>
      <c r="E287" s="75" t="s">
        <v>274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279</v>
      </c>
      <c r="E288" s="75" t="s">
        <v>274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279</v>
      </c>
      <c r="E289" s="75" t="s">
        <v>274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279</v>
      </c>
      <c r="E290" s="75" t="s">
        <v>274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279</v>
      </c>
      <c r="E291" s="75" t="s">
        <v>274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279</v>
      </c>
      <c r="E292" s="75" t="s">
        <v>274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279</v>
      </c>
      <c r="E293" s="75" t="s">
        <v>274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279</v>
      </c>
      <c r="E294" s="75" t="s">
        <v>274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279</v>
      </c>
      <c r="E295" s="75" t="s">
        <v>274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279</v>
      </c>
      <c r="E296" s="75" t="s">
        <v>274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5" t="s">
        <v>263</v>
      </c>
      <c r="B297" s="165"/>
      <c r="C297" s="165"/>
      <c r="D297" s="165"/>
      <c r="E297" s="165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261</v>
      </c>
      <c r="O297" s="74">
        <v>1715230</v>
      </c>
    </row>
    <row r="298" spans="1:15" ht="18" customHeight="1">
      <c r="A298" s="166" t="s">
        <v>249</v>
      </c>
      <c r="B298" s="166"/>
      <c r="C298" s="166"/>
      <c r="D298" s="166"/>
      <c r="E298" s="166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264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259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236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259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259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259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281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259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259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259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259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259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259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259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259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5" t="s">
        <v>260</v>
      </c>
      <c r="B311" s="165"/>
      <c r="C311" s="165"/>
      <c r="D311" s="165"/>
      <c r="E311" s="165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261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259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259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259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259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259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259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259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259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259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259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259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259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5" t="s">
        <v>263</v>
      </c>
      <c r="B324" s="165"/>
      <c r="C324" s="165"/>
      <c r="D324" s="165"/>
      <c r="E324" s="165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261</v>
      </c>
      <c r="O324" s="74">
        <v>2216340</v>
      </c>
    </row>
    <row r="325" spans="1:15" ht="18" customHeight="1">
      <c r="A325" s="166" t="s">
        <v>249</v>
      </c>
      <c r="B325" s="166"/>
      <c r="C325" s="166"/>
      <c r="D325" s="166"/>
      <c r="E325" s="166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264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282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259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259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259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283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259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259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259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259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5" t="s">
        <v>260</v>
      </c>
      <c r="B338" s="165"/>
      <c r="C338" s="165"/>
      <c r="D338" s="165"/>
      <c r="E338" s="165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261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259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259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259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259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259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259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259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259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259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259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259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259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5" t="s">
        <v>263</v>
      </c>
      <c r="B351" s="165"/>
      <c r="C351" s="165"/>
      <c r="D351" s="165"/>
      <c r="E351" s="165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261</v>
      </c>
      <c r="O351" s="74">
        <v>2154990</v>
      </c>
    </row>
    <row r="352" spans="1:15" ht="18" customHeight="1">
      <c r="A352" s="166" t="s">
        <v>249</v>
      </c>
      <c r="B352" s="166"/>
      <c r="C352" s="166"/>
      <c r="D352" s="166"/>
      <c r="E352" s="166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264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259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259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259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259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259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259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274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259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259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259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259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259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5" t="s">
        <v>260</v>
      </c>
      <c r="B365" s="165"/>
      <c r="C365" s="165"/>
      <c r="D365" s="165"/>
      <c r="E365" s="165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261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259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259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259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259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259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259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259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259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259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259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259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259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5" t="s">
        <v>263</v>
      </c>
      <c r="B378" s="165"/>
      <c r="C378" s="165"/>
      <c r="D378" s="165"/>
      <c r="E378" s="165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261</v>
      </c>
      <c r="O378" s="74">
        <v>2614830</v>
      </c>
    </row>
    <row r="379" spans="1:15" ht="18" customHeight="1">
      <c r="A379" s="166" t="s">
        <v>249</v>
      </c>
      <c r="B379" s="166"/>
      <c r="C379" s="166"/>
      <c r="D379" s="166"/>
      <c r="E379" s="166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264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259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259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259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259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259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259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259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259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259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259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259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259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5" t="s">
        <v>260</v>
      </c>
      <c r="B392" s="165"/>
      <c r="C392" s="165"/>
      <c r="D392" s="165"/>
      <c r="E392" s="165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261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259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284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259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259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259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259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259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259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259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259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259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259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259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5" t="s">
        <v>263</v>
      </c>
      <c r="B405" s="165"/>
      <c r="C405" s="165"/>
      <c r="D405" s="165"/>
      <c r="E405" s="165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261</v>
      </c>
      <c r="O405" s="74">
        <v>2612000</v>
      </c>
    </row>
    <row r="406" spans="1:15" ht="18" customHeight="1">
      <c r="A406" s="166" t="s">
        <v>249</v>
      </c>
      <c r="B406" s="166"/>
      <c r="C406" s="166"/>
      <c r="D406" s="166"/>
      <c r="E406" s="166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264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259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259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259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259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259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259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259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259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259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259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259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259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5" t="s">
        <v>260</v>
      </c>
      <c r="B419" s="165"/>
      <c r="C419" s="165"/>
      <c r="D419" s="165"/>
      <c r="E419" s="165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261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259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230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259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285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259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285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259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259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259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259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259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259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259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259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259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5" t="s">
        <v>263</v>
      </c>
      <c r="B432" s="165"/>
      <c r="C432" s="165"/>
      <c r="D432" s="165"/>
      <c r="E432" s="165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261</v>
      </c>
      <c r="O432" s="74">
        <v>2266710</v>
      </c>
    </row>
    <row r="433" spans="1:15" ht="18" customHeight="1">
      <c r="A433" s="166" t="s">
        <v>249</v>
      </c>
      <c r="B433" s="166"/>
      <c r="C433" s="166"/>
      <c r="D433" s="166"/>
      <c r="E433" s="166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264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259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259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259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259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259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259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259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259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259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259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259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259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5" t="s">
        <v>260</v>
      </c>
      <c r="B446" s="165"/>
      <c r="C446" s="165"/>
      <c r="D446" s="165"/>
      <c r="E446" s="165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261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259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286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259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287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259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259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259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259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288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259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289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259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290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259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259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259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259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5" t="s">
        <v>263</v>
      </c>
      <c r="B459" s="165"/>
      <c r="C459" s="165"/>
      <c r="D459" s="165"/>
      <c r="E459" s="165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261</v>
      </c>
      <c r="O459" s="74">
        <v>2361680</v>
      </c>
    </row>
    <row r="460" spans="1:15" ht="18" customHeight="1">
      <c r="A460" s="166" t="s">
        <v>249</v>
      </c>
      <c r="B460" s="166"/>
      <c r="C460" s="166"/>
      <c r="D460" s="166"/>
      <c r="E460" s="166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264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259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291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259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259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259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259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259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259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259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259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259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259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259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5" t="s">
        <v>260</v>
      </c>
      <c r="B473" s="165"/>
      <c r="C473" s="165"/>
      <c r="D473" s="165"/>
      <c r="E473" s="165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261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259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259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259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292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259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259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259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259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259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259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259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259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259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5" t="s">
        <v>263</v>
      </c>
      <c r="B486" s="165"/>
      <c r="C486" s="165"/>
      <c r="D486" s="165"/>
      <c r="E486" s="165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261</v>
      </c>
      <c r="O486" s="74">
        <v>1798670</v>
      </c>
    </row>
    <row r="487" spans="1:15" ht="18" customHeight="1">
      <c r="A487" s="166" t="s">
        <v>249</v>
      </c>
      <c r="B487" s="166"/>
      <c r="C487" s="166"/>
      <c r="D487" s="166"/>
      <c r="E487" s="166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264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259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259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293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259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259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259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259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259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259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259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259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259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259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5" t="s">
        <v>260</v>
      </c>
      <c r="B500" s="165"/>
      <c r="C500" s="165"/>
      <c r="D500" s="165"/>
      <c r="E500" s="165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261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259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259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167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294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259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259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259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259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259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259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259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259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259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274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5" t="s">
        <v>263</v>
      </c>
      <c r="B513" s="165"/>
      <c r="C513" s="165"/>
      <c r="D513" s="165"/>
      <c r="E513" s="165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261</v>
      </c>
      <c r="O513" s="74">
        <v>2435830</v>
      </c>
    </row>
    <row r="514" spans="1:15" ht="18" customHeight="1">
      <c r="A514" s="166" t="s">
        <v>249</v>
      </c>
      <c r="B514" s="166"/>
      <c r="C514" s="166"/>
      <c r="D514" s="166"/>
      <c r="E514" s="166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264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259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>
        <v>0.73750000000000004</v>
      </c>
      <c r="M515" s="71">
        <f t="shared" ref="M515:M526" ca="1" si="111">IFERROR(IF(K515="","",IF(L515="",MOD(NOW()-K515,1),IF(L515&gt;=K515,L515-K515,L515+1-K515))),"")</f>
        <v>4.5138888888888951E-2</v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259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259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259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259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274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274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274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274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274</v>
      </c>
      <c r="F524" s="63">
        <v>0</v>
      </c>
      <c r="G524" s="64">
        <f t="shared" si="110"/>
        <v>0</v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274</v>
      </c>
      <c r="F525" s="63">
        <v>26</v>
      </c>
      <c r="G525" s="69">
        <f t="shared" si="110"/>
        <v>109.2</v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274</v>
      </c>
      <c r="F526" s="63">
        <v>15</v>
      </c>
      <c r="G526" s="64">
        <f t="shared" si="110"/>
        <v>63</v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5" t="s">
        <v>260</v>
      </c>
      <c r="B527" s="165"/>
      <c r="C527" s="165"/>
      <c r="D527" s="165"/>
      <c r="E527" s="165"/>
      <c r="F527" s="2">
        <f>SUM(F515:F526)</f>
        <v>188</v>
      </c>
      <c r="G527" s="2">
        <f>SUM(G515:G526)</f>
        <v>881.6</v>
      </c>
      <c r="H527" s="72"/>
      <c r="I527" s="72"/>
      <c r="J527" s="72"/>
      <c r="K527" s="72"/>
      <c r="L527" s="72"/>
      <c r="M527" s="73">
        <f ca="1">IFERROR(SUM(M515:M526),"")</f>
        <v>4.5138888888888951E-2</v>
      </c>
      <c r="N527" s="2" t="s">
        <v>261</v>
      </c>
      <c r="O527" s="74">
        <v>1573200</v>
      </c>
    </row>
    <row r="528" spans="1:15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62" t="s">
        <v>259</v>
      </c>
      <c r="F528" s="63">
        <v>17</v>
      </c>
      <c r="G528" s="64">
        <f t="shared" ref="G528:G539" si="113">IF(F528="","",IF(E528="PC 17",F528*4.2,IF(E528="PC 19",F528*5,IF(E528="CB",F528*35,""))))</f>
        <v>85</v>
      </c>
      <c r="H528" s="61" t="s">
        <v>29</v>
      </c>
      <c r="I528" s="61" t="s">
        <v>32</v>
      </c>
      <c r="J528" s="61" t="s">
        <v>53</v>
      </c>
      <c r="K528" s="65">
        <v>0.80833333333333335</v>
      </c>
      <c r="L528" s="65"/>
      <c r="M528" s="66"/>
      <c r="N528" s="80" t="s">
        <v>295</v>
      </c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 t="s">
        <v>38</v>
      </c>
      <c r="D529" s="62" t="s">
        <v>39</v>
      </c>
      <c r="E529" s="62"/>
      <c r="F529" s="63"/>
      <c r="G529" s="69" t="str">
        <f t="shared" si="113"/>
        <v/>
      </c>
      <c r="H529" s="70"/>
      <c r="I529" s="70"/>
      <c r="J529" s="70"/>
      <c r="K529" s="65"/>
      <c r="L529" s="65"/>
      <c r="M529" s="71" t="str">
        <f t="shared" ref="M529:M539" ca="1" si="115">IFERROR(IF(K529="","",IF(L529="",MOD(NOW()-K529,1),IF(L529&gt;=K529,L529-K529,L529+1-K529))),"")</f>
        <v/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 t="s">
        <v>38</v>
      </c>
      <c r="D530" s="62"/>
      <c r="E530" s="62"/>
      <c r="F530" s="63"/>
      <c r="G530" s="64" t="str">
        <f t="shared" si="113"/>
        <v/>
      </c>
      <c r="H530" s="61"/>
      <c r="I530" s="61"/>
      <c r="J530" s="61"/>
      <c r="K530" s="65"/>
      <c r="L530" s="65"/>
      <c r="M530" s="66" t="str">
        <f t="shared" ca="1" si="115"/>
        <v/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 t="s">
        <v>38</v>
      </c>
      <c r="D531" s="62"/>
      <c r="E531" s="62"/>
      <c r="F531" s="63"/>
      <c r="G531" s="69" t="str">
        <f t="shared" si="113"/>
        <v/>
      </c>
      <c r="H531" s="70"/>
      <c r="I531" s="70"/>
      <c r="J531" s="70"/>
      <c r="K531" s="65"/>
      <c r="L531" s="65"/>
      <c r="M531" s="71" t="str">
        <f t="shared" ca="1" si="115"/>
        <v/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 t="s">
        <v>38</v>
      </c>
      <c r="D532" s="62"/>
      <c r="E532" s="62"/>
      <c r="F532" s="63"/>
      <c r="G532" s="64" t="str">
        <f t="shared" si="113"/>
        <v/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 t="s">
        <v>38</v>
      </c>
      <c r="D533" s="62"/>
      <c r="E533" s="62"/>
      <c r="F533" s="63"/>
      <c r="G533" s="69" t="str">
        <f t="shared" si="113"/>
        <v/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 t="s">
        <v>38</v>
      </c>
      <c r="D534" s="62"/>
      <c r="E534" s="62"/>
      <c r="F534" s="63"/>
      <c r="G534" s="64" t="str">
        <f t="shared" si="113"/>
        <v/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 t="s">
        <v>38</v>
      </c>
      <c r="D535" s="62"/>
      <c r="E535" s="62"/>
      <c r="F535" s="63"/>
      <c r="G535" s="69" t="str">
        <f t="shared" si="113"/>
        <v/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 t="s">
        <v>38</v>
      </c>
      <c r="D536" s="62"/>
      <c r="E536" s="62"/>
      <c r="F536" s="63"/>
      <c r="G536" s="64" t="str">
        <f t="shared" si="113"/>
        <v/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 t="s">
        <v>38</v>
      </c>
      <c r="D537" s="62"/>
      <c r="E537" s="62"/>
      <c r="F537" s="63"/>
      <c r="G537" s="69" t="str">
        <f t="shared" si="113"/>
        <v/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 t="s">
        <v>38</v>
      </c>
      <c r="D538" s="62"/>
      <c r="E538" s="62"/>
      <c r="F538" s="63"/>
      <c r="G538" s="64" t="str">
        <f t="shared" si="113"/>
        <v/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 t="s">
        <v>38</v>
      </c>
      <c r="D539" s="62"/>
      <c r="E539" s="62"/>
      <c r="F539" s="63"/>
      <c r="G539" s="69" t="str">
        <f t="shared" si="113"/>
        <v/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5" t="s">
        <v>263</v>
      </c>
      <c r="B540" s="165"/>
      <c r="C540" s="165"/>
      <c r="D540" s="165"/>
      <c r="E540" s="165"/>
      <c r="F540" s="2">
        <f>SUM(F528:F539)</f>
        <v>17</v>
      </c>
      <c r="G540" s="2">
        <f>SUM(G528:G539)</f>
        <v>85</v>
      </c>
      <c r="H540" s="72"/>
      <c r="I540" s="72"/>
      <c r="J540" s="72"/>
      <c r="K540" s="72"/>
      <c r="L540" s="72"/>
      <c r="M540" s="73">
        <f ca="1">IFERROR(SUM(M528:M539),"")</f>
        <v>0</v>
      </c>
      <c r="N540" s="2" t="s">
        <v>261</v>
      </c>
      <c r="O540" s="74"/>
    </row>
    <row r="541" spans="1:15" ht="18" customHeight="1">
      <c r="A541" s="166" t="s">
        <v>249</v>
      </c>
      <c r="B541" s="166"/>
      <c r="C541" s="166"/>
      <c r="D541" s="166"/>
      <c r="E541" s="166"/>
      <c r="F541" s="1">
        <f>F527+F540</f>
        <v>205</v>
      </c>
      <c r="G541" s="1">
        <f>G527+G540</f>
        <v>966.6</v>
      </c>
      <c r="H541" s="76"/>
      <c r="I541" s="76"/>
      <c r="J541" s="76"/>
      <c r="K541" s="76"/>
      <c r="L541" s="76"/>
      <c r="M541" s="77">
        <f ca="1">IFERROR(M527+M540,"")</f>
        <v>4.5138888888888951E-2</v>
      </c>
      <c r="N541" s="1" t="s">
        <v>264</v>
      </c>
      <c r="O541" s="82">
        <f>IFERROR(O527+O540,"")</f>
        <v>1573200</v>
      </c>
    </row>
    <row r="542" spans="1:15" ht="15" customHeight="1">
      <c r="A542" s="59">
        <v>46255</v>
      </c>
      <c r="B542" s="60">
        <v>0.33333333333333298</v>
      </c>
      <c r="C542" s="61"/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/>
      <c r="I542" s="61"/>
      <c r="J542" s="61"/>
      <c r="K542" s="65"/>
      <c r="L542" s="65"/>
      <c r="M542" s="66" t="str">
        <f t="shared" ref="M542:M553" ca="1" si="117">IFERROR(IF(K542="","",IF(L542="",MOD(NOW()-K542,1),IF(L542&gt;=K542,L542-K542,L542+1-K542))),"")</f>
        <v/>
      </c>
      <c r="N542" s="80"/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/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/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/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/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/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/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/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/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/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/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/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5" t="s">
        <v>260</v>
      </c>
      <c r="B554" s="165"/>
      <c r="C554" s="165"/>
      <c r="D554" s="165"/>
      <c r="E554" s="165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</v>
      </c>
      <c r="N554" s="2" t="s">
        <v>261</v>
      </c>
      <c r="O554" s="74"/>
    </row>
    <row r="555" spans="1:15" ht="15" customHeight="1">
      <c r="A555" s="18">
        <v>46255</v>
      </c>
      <c r="B555" s="68">
        <v>0.83333333333333304</v>
      </c>
      <c r="C555" s="70"/>
      <c r="D555" s="75"/>
      <c r="E555" s="75"/>
      <c r="F555" s="63"/>
      <c r="G555" s="69" t="str">
        <f t="shared" ref="G555:G566" si="119">IF(F555="","",IF(E555="PC 17",F555*4.2,IF(E555="PC 19",F555*5,IF(E555="CB",F555*35,""))))</f>
        <v/>
      </c>
      <c r="H555" s="70"/>
      <c r="I555" s="70"/>
      <c r="J555" s="70"/>
      <c r="K555" s="65"/>
      <c r="L555" s="65"/>
      <c r="M555" s="71" t="str">
        <f t="shared" ref="M555:M566" ca="1" si="120">IFERROR(IF(K555="","",IF(L555="",MOD(NOW()-K555,1),IF(L555&gt;=K555,L555-K555,L555+1-K555))),"")</f>
        <v/>
      </c>
      <c r="N555" s="80"/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/>
      <c r="D556" s="75"/>
      <c r="E556" s="75"/>
      <c r="F556" s="63"/>
      <c r="G556" s="64" t="str">
        <f t="shared" si="119"/>
        <v/>
      </c>
      <c r="H556" s="61"/>
      <c r="I556" s="61"/>
      <c r="J556" s="61"/>
      <c r="K556" s="65"/>
      <c r="L556" s="65"/>
      <c r="M556" s="66" t="str">
        <f t="shared" ca="1" si="120"/>
        <v/>
      </c>
      <c r="N556" s="80"/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/>
      <c r="D557" s="75"/>
      <c r="E557" s="75"/>
      <c r="F557" s="63"/>
      <c r="G557" s="69" t="str">
        <f t="shared" si="119"/>
        <v/>
      </c>
      <c r="H557" s="70"/>
      <c r="I557" s="70"/>
      <c r="J557" s="70"/>
      <c r="K557" s="65"/>
      <c r="L557" s="65"/>
      <c r="M557" s="71" t="str">
        <f t="shared" ca="1" si="120"/>
        <v/>
      </c>
      <c r="N557" s="80"/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/>
      <c r="D558" s="75"/>
      <c r="E558" s="75"/>
      <c r="F558" s="63"/>
      <c r="G558" s="64" t="str">
        <f t="shared" si="119"/>
        <v/>
      </c>
      <c r="H558" s="61"/>
      <c r="I558" s="61"/>
      <c r="J558" s="61"/>
      <c r="K558" s="65"/>
      <c r="L558" s="65"/>
      <c r="M558" s="66" t="str">
        <f t="shared" ca="1" si="120"/>
        <v/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/>
      <c r="D559" s="75"/>
      <c r="E559" s="75"/>
      <c r="F559" s="63"/>
      <c r="G559" s="69" t="str">
        <f t="shared" si="119"/>
        <v/>
      </c>
      <c r="H559" s="70"/>
      <c r="I559" s="70"/>
      <c r="J559" s="70"/>
      <c r="K559" s="65"/>
      <c r="L559" s="65"/>
      <c r="M559" s="71" t="str">
        <f t="shared" ca="1" si="120"/>
        <v/>
      </c>
      <c r="N559" s="80"/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/>
      <c r="D560" s="75"/>
      <c r="E560" s="75"/>
      <c r="F560" s="63"/>
      <c r="G560" s="64" t="str">
        <f t="shared" si="119"/>
        <v/>
      </c>
      <c r="H560" s="61"/>
      <c r="I560" s="61"/>
      <c r="J560" s="61"/>
      <c r="K560" s="65"/>
      <c r="L560" s="65"/>
      <c r="M560" s="66" t="str">
        <f t="shared" ca="1" si="120"/>
        <v/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/>
      <c r="D561" s="75"/>
      <c r="E561" s="75"/>
      <c r="F561" s="63"/>
      <c r="G561" s="69" t="str">
        <f t="shared" si="119"/>
        <v/>
      </c>
      <c r="H561" s="70"/>
      <c r="I561" s="70"/>
      <c r="J561" s="70"/>
      <c r="K561" s="65"/>
      <c r="L561" s="65"/>
      <c r="M561" s="71" t="str">
        <f t="shared" ca="1" si="120"/>
        <v/>
      </c>
      <c r="N561" s="80"/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/>
      <c r="D562" s="75"/>
      <c r="E562" s="75"/>
      <c r="F562" s="63"/>
      <c r="G562" s="64" t="str">
        <f t="shared" si="119"/>
        <v/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/>
      <c r="D563" s="75"/>
      <c r="E563" s="75"/>
      <c r="F563" s="63"/>
      <c r="G563" s="69" t="str">
        <f t="shared" si="119"/>
        <v/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/>
      <c r="D564" s="75"/>
      <c r="E564" s="75"/>
      <c r="F564" s="63"/>
      <c r="G564" s="64" t="str">
        <f t="shared" si="119"/>
        <v/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/>
      <c r="D565" s="75"/>
      <c r="E565" s="75"/>
      <c r="F565" s="63"/>
      <c r="G565" s="69" t="str">
        <f t="shared" si="119"/>
        <v/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/>
      <c r="D566" s="75"/>
      <c r="E566" s="75"/>
      <c r="F566" s="63"/>
      <c r="G566" s="64" t="str">
        <f t="shared" si="119"/>
        <v/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5" t="s">
        <v>263</v>
      </c>
      <c r="B567" s="165"/>
      <c r="C567" s="165"/>
      <c r="D567" s="165"/>
      <c r="E567" s="165"/>
      <c r="F567" s="2">
        <f>SUM(F555:F566)</f>
        <v>0</v>
      </c>
      <c r="G567" s="2">
        <f>SUM(G555:G566)</f>
        <v>0</v>
      </c>
      <c r="H567" s="72"/>
      <c r="I567" s="72"/>
      <c r="J567" s="72"/>
      <c r="K567" s="72"/>
      <c r="L567" s="72"/>
      <c r="M567" s="73">
        <f ca="1">IFERROR(SUM(M555:M566),"")</f>
        <v>0</v>
      </c>
      <c r="N567" s="2" t="s">
        <v>261</v>
      </c>
      <c r="O567" s="74"/>
    </row>
    <row r="568" spans="1:15" ht="18" customHeight="1">
      <c r="A568" s="166" t="s">
        <v>249</v>
      </c>
      <c r="B568" s="166"/>
      <c r="C568" s="166"/>
      <c r="D568" s="166"/>
      <c r="E568" s="166"/>
      <c r="F568" s="1">
        <f>F554+F567</f>
        <v>0</v>
      </c>
      <c r="G568" s="1">
        <f>G554+G567</f>
        <v>0</v>
      </c>
      <c r="H568" s="76"/>
      <c r="I568" s="76"/>
      <c r="J568" s="76"/>
      <c r="K568" s="76"/>
      <c r="L568" s="76"/>
      <c r="M568" s="77">
        <f ca="1">IFERROR(M554+M567,"")</f>
        <v>0</v>
      </c>
      <c r="N568" s="1" t="s">
        <v>264</v>
      </c>
      <c r="O568" s="82">
        <f>IFERROR(O554+O567,"")</f>
        <v>0</v>
      </c>
    </row>
    <row r="569" spans="1:15" ht="15" customHeight="1">
      <c r="A569" s="18">
        <v>46256</v>
      </c>
      <c r="B569" s="68">
        <v>0.33333333333333298</v>
      </c>
      <c r="C569" s="70"/>
      <c r="D569" s="75"/>
      <c r="E569" s="75"/>
      <c r="F569" s="63"/>
      <c r="G569" s="69" t="str">
        <f t="shared" ref="G569:G580" si="122">IF(F569="","",IF(E569="PC 17",F569*4.2,IF(E569="PC 19",F569*5,IF(E569="CB",F569*35,""))))</f>
        <v/>
      </c>
      <c r="H569" s="70"/>
      <c r="I569" s="70"/>
      <c r="J569" s="70"/>
      <c r="K569" s="65"/>
      <c r="L569" s="65"/>
      <c r="M569" s="71" t="str">
        <f t="shared" ref="M569:M580" ca="1" si="123">IFERROR(IF(K569="","",IF(L569="",MOD(NOW()-K569,1),IF(L569&gt;=K569,L569-K569,L569+1-K569))),"")</f>
        <v/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/>
      <c r="D570" s="75"/>
      <c r="E570" s="75"/>
      <c r="F570" s="63"/>
      <c r="G570" s="69" t="str">
        <f t="shared" si="122"/>
        <v/>
      </c>
      <c r="H570" s="61"/>
      <c r="I570" s="61"/>
      <c r="J570" s="61"/>
      <c r="K570" s="65"/>
      <c r="L570" s="65"/>
      <c r="M570" s="66" t="str">
        <f t="shared" ca="1" si="123"/>
        <v/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/>
      <c r="D571" s="75"/>
      <c r="E571" s="75"/>
      <c r="F571" s="63"/>
      <c r="G571" s="69" t="str">
        <f t="shared" si="122"/>
        <v/>
      </c>
      <c r="H571" s="70"/>
      <c r="I571" s="70"/>
      <c r="J571" s="70"/>
      <c r="K571" s="65"/>
      <c r="L571" s="65"/>
      <c r="M571" s="71" t="str">
        <f t="shared" ca="1" si="123"/>
        <v/>
      </c>
      <c r="N571" s="80"/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/>
      <c r="D572" s="75"/>
      <c r="E572" s="75"/>
      <c r="F572" s="63"/>
      <c r="G572" s="69" t="str">
        <f t="shared" si="122"/>
        <v/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/>
      <c r="D573" s="75"/>
      <c r="E573" s="75"/>
      <c r="F573" s="63"/>
      <c r="G573" s="69" t="str">
        <f t="shared" si="122"/>
        <v/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/>
      <c r="D574" s="75"/>
      <c r="E574" s="75"/>
      <c r="F574" s="63"/>
      <c r="G574" s="69" t="str">
        <f t="shared" si="122"/>
        <v/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/>
      <c r="D575" s="75"/>
      <c r="E575" s="75"/>
      <c r="F575" s="63"/>
      <c r="G575" s="69" t="str">
        <f t="shared" si="122"/>
        <v/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/>
      <c r="D576" s="75"/>
      <c r="E576" s="75"/>
      <c r="F576" s="63"/>
      <c r="G576" s="69" t="str">
        <f t="shared" si="122"/>
        <v/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/>
      <c r="D577" s="75"/>
      <c r="E577" s="75"/>
      <c r="F577" s="63"/>
      <c r="G577" s="69" t="str">
        <f t="shared" si="122"/>
        <v/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/>
      <c r="D578" s="75"/>
      <c r="E578" s="75"/>
      <c r="F578" s="63"/>
      <c r="G578" s="69" t="str">
        <f t="shared" si="122"/>
        <v/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/>
      <c r="D579" s="75"/>
      <c r="E579" s="75"/>
      <c r="F579" s="63"/>
      <c r="G579" s="69" t="str">
        <f t="shared" si="122"/>
        <v/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/>
      <c r="D580" s="75"/>
      <c r="E580" s="75"/>
      <c r="F580" s="63"/>
      <c r="G580" s="69" t="str">
        <f t="shared" si="122"/>
        <v/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5" t="s">
        <v>260</v>
      </c>
      <c r="B581" s="165"/>
      <c r="C581" s="165"/>
      <c r="D581" s="165"/>
      <c r="E581" s="165"/>
      <c r="F581" s="2">
        <f>SUM(F569:F580)</f>
        <v>0</v>
      </c>
      <c r="G581" s="2">
        <f>SUM(G569:G580)</f>
        <v>0</v>
      </c>
      <c r="H581" s="72"/>
      <c r="I581" s="72"/>
      <c r="J581" s="72"/>
      <c r="K581" s="72"/>
      <c r="L581" s="72"/>
      <c r="M581" s="73">
        <f ca="1">IFERROR(SUM(M569:M580),"")</f>
        <v>0</v>
      </c>
      <c r="N581" s="2" t="s">
        <v>261</v>
      </c>
      <c r="O581" s="74"/>
    </row>
    <row r="582" spans="1:15" ht="15" customHeight="1">
      <c r="A582" s="59">
        <v>46256</v>
      </c>
      <c r="B582" s="60">
        <v>0.83333333333333304</v>
      </c>
      <c r="C582" s="61"/>
      <c r="D582" s="62"/>
      <c r="E582" s="62"/>
      <c r="F582" s="63"/>
      <c r="G582" s="64" t="str">
        <f t="shared" ref="G582:G593" si="125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/>
      <c r="D583" s="62"/>
      <c r="E583" s="62"/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/>
      <c r="D584" s="62"/>
      <c r="E584" s="62"/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/>
      <c r="D585" s="62"/>
      <c r="E585" s="62"/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/>
      <c r="D586" s="62"/>
      <c r="E586" s="62"/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/>
      <c r="D587" s="62"/>
      <c r="E587" s="62"/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/>
      <c r="D588" s="62"/>
      <c r="E588" s="62"/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/>
      <c r="D589" s="62"/>
      <c r="E589" s="62"/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/>
      <c r="D590" s="62"/>
      <c r="E590" s="62"/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/>
      <c r="D591" s="62"/>
      <c r="E591" s="62"/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/>
      <c r="D592" s="62"/>
      <c r="E592" s="62"/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/>
      <c r="D593" s="62"/>
      <c r="E593" s="62"/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5" t="s">
        <v>263</v>
      </c>
      <c r="B594" s="165"/>
      <c r="C594" s="165"/>
      <c r="D594" s="165"/>
      <c r="E594" s="165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261</v>
      </c>
      <c r="O594" s="74"/>
    </row>
    <row r="595" spans="1:15" ht="18" customHeight="1">
      <c r="A595" s="166" t="s">
        <v>249</v>
      </c>
      <c r="B595" s="166"/>
      <c r="C595" s="166"/>
      <c r="D595" s="166"/>
      <c r="E595" s="166"/>
      <c r="F595" s="1">
        <f>F581+F594</f>
        <v>0</v>
      </c>
      <c r="G595" s="1">
        <f>G581+G594</f>
        <v>0</v>
      </c>
      <c r="H595" s="76"/>
      <c r="I595" s="76"/>
      <c r="J595" s="76"/>
      <c r="K595" s="76"/>
      <c r="L595" s="76"/>
      <c r="M595" s="77">
        <f ca="1">IFERROR(M581+M594,"")</f>
        <v>0</v>
      </c>
      <c r="N595" s="1" t="s">
        <v>264</v>
      </c>
      <c r="O595" s="82">
        <f>IFERROR(O581+O594,"")</f>
        <v>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5" t="s">
        <v>260</v>
      </c>
      <c r="B608" s="165"/>
      <c r="C608" s="165"/>
      <c r="D608" s="165"/>
      <c r="E608" s="165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261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5" t="s">
        <v>263</v>
      </c>
      <c r="B621" s="165"/>
      <c r="C621" s="165"/>
      <c r="D621" s="165"/>
      <c r="E621" s="165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261</v>
      </c>
      <c r="O621" s="74"/>
    </row>
    <row r="622" spans="1:15" ht="18" customHeight="1">
      <c r="A622" s="166" t="s">
        <v>249</v>
      </c>
      <c r="B622" s="166"/>
      <c r="C622" s="166"/>
      <c r="D622" s="166"/>
      <c r="E622" s="166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264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5" t="s">
        <v>260</v>
      </c>
      <c r="B635" s="165"/>
      <c r="C635" s="165"/>
      <c r="D635" s="165"/>
      <c r="E635" s="165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261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5" t="s">
        <v>263</v>
      </c>
      <c r="B648" s="165"/>
      <c r="C648" s="165"/>
      <c r="D648" s="165"/>
      <c r="E648" s="165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261</v>
      </c>
      <c r="O648" s="74"/>
    </row>
    <row r="649" spans="1:15" ht="18" customHeight="1">
      <c r="A649" s="166" t="s">
        <v>249</v>
      </c>
      <c r="B649" s="166"/>
      <c r="C649" s="166"/>
      <c r="D649" s="166"/>
      <c r="E649" s="166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264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5" t="s">
        <v>260</v>
      </c>
      <c r="B662" s="165"/>
      <c r="C662" s="165"/>
      <c r="D662" s="165"/>
      <c r="E662" s="165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261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5" t="s">
        <v>263</v>
      </c>
      <c r="B675" s="165"/>
      <c r="C675" s="165"/>
      <c r="D675" s="165"/>
      <c r="E675" s="165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261</v>
      </c>
      <c r="O675" s="74"/>
    </row>
    <row r="676" spans="1:15" ht="18" customHeight="1">
      <c r="A676" s="166" t="s">
        <v>249</v>
      </c>
      <c r="B676" s="166"/>
      <c r="C676" s="166"/>
      <c r="D676" s="166"/>
      <c r="E676" s="166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264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5" t="s">
        <v>260</v>
      </c>
      <c r="B689" s="165"/>
      <c r="C689" s="165"/>
      <c r="D689" s="165"/>
      <c r="E689" s="165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261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5" t="s">
        <v>263</v>
      </c>
      <c r="B702" s="165"/>
      <c r="C702" s="165"/>
      <c r="D702" s="165"/>
      <c r="E702" s="165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261</v>
      </c>
      <c r="O702" s="74"/>
    </row>
    <row r="703" spans="1:15" ht="18" customHeight="1">
      <c r="A703" s="166" t="s">
        <v>249</v>
      </c>
      <c r="B703" s="166"/>
      <c r="C703" s="166"/>
      <c r="D703" s="166"/>
      <c r="E703" s="166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264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5" t="s">
        <v>260</v>
      </c>
      <c r="B716" s="165"/>
      <c r="C716" s="165"/>
      <c r="D716" s="165"/>
      <c r="E716" s="165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261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5" t="s">
        <v>263</v>
      </c>
      <c r="B729" s="165"/>
      <c r="C729" s="165"/>
      <c r="D729" s="165"/>
      <c r="E729" s="165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261</v>
      </c>
      <c r="O729" s="74"/>
    </row>
    <row r="730" spans="1:15" ht="18" customHeight="1">
      <c r="A730" s="166" t="s">
        <v>249</v>
      </c>
      <c r="B730" s="166"/>
      <c r="C730" s="166"/>
      <c r="D730" s="166"/>
      <c r="E730" s="166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264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5" t="s">
        <v>260</v>
      </c>
      <c r="B743" s="165"/>
      <c r="C743" s="165"/>
      <c r="D743" s="165"/>
      <c r="E743" s="165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261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5" t="s">
        <v>263</v>
      </c>
      <c r="B756" s="165"/>
      <c r="C756" s="165"/>
      <c r="D756" s="165"/>
      <c r="E756" s="165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261</v>
      </c>
      <c r="O756" s="74"/>
    </row>
    <row r="757" spans="1:15" ht="18" customHeight="1">
      <c r="A757" s="166" t="s">
        <v>249</v>
      </c>
      <c r="B757" s="166"/>
      <c r="C757" s="166"/>
      <c r="D757" s="166"/>
      <c r="E757" s="166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264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5" t="s">
        <v>260</v>
      </c>
      <c r="B770" s="165"/>
      <c r="C770" s="165"/>
      <c r="D770" s="165"/>
      <c r="E770" s="165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261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5" t="s">
        <v>263</v>
      </c>
      <c r="B783" s="165"/>
      <c r="C783" s="165"/>
      <c r="D783" s="165"/>
      <c r="E783" s="165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261</v>
      </c>
      <c r="O783" s="74"/>
    </row>
    <row r="784" spans="1:15" ht="18" customHeight="1">
      <c r="A784" s="166" t="s">
        <v>249</v>
      </c>
      <c r="B784" s="166"/>
      <c r="C784" s="166"/>
      <c r="D784" s="166"/>
      <c r="E784" s="166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264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5" t="s">
        <v>260</v>
      </c>
      <c r="B797" s="165"/>
      <c r="C797" s="165"/>
      <c r="D797" s="165"/>
      <c r="E797" s="165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261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5" t="s">
        <v>263</v>
      </c>
      <c r="B810" s="165"/>
      <c r="C810" s="165"/>
      <c r="D810" s="165"/>
      <c r="E810" s="165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261</v>
      </c>
      <c r="O810" s="74"/>
    </row>
    <row r="811" spans="1:15" ht="18" customHeight="1">
      <c r="A811" s="166" t="s">
        <v>249</v>
      </c>
      <c r="B811" s="166"/>
      <c r="C811" s="166"/>
      <c r="D811" s="166"/>
      <c r="E811" s="166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264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5" t="s">
        <v>260</v>
      </c>
      <c r="B824" s="165"/>
      <c r="C824" s="165"/>
      <c r="D824" s="165"/>
      <c r="E824" s="165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261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5" t="s">
        <v>263</v>
      </c>
      <c r="B837" s="165"/>
      <c r="C837" s="165"/>
      <c r="D837" s="165"/>
      <c r="E837" s="165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261</v>
      </c>
      <c r="O837" s="74"/>
    </row>
    <row r="838" spans="1:15" ht="18" customHeight="1">
      <c r="A838" s="166" t="s">
        <v>249</v>
      </c>
      <c r="B838" s="166"/>
      <c r="C838" s="166"/>
      <c r="D838" s="166"/>
      <c r="E838" s="166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264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520" activePane="bottomLeft" state="frozen"/>
      <selection pane="bottomLeft" activeCell="P529" sqref="P529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296</v>
      </c>
      <c r="I1" s="86" t="s">
        <v>22</v>
      </c>
      <c r="J1" s="86" t="s">
        <v>297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297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298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299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300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6" t="s">
        <v>260</v>
      </c>
      <c r="B14" s="156"/>
      <c r="C14" s="156"/>
      <c r="D14" s="156"/>
      <c r="E14" s="156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261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274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274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274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274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301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274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302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274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274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274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274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274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274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6" t="s">
        <v>263</v>
      </c>
      <c r="B27" s="156"/>
      <c r="C27" s="156"/>
      <c r="D27" s="156"/>
      <c r="E27" s="156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261</v>
      </c>
      <c r="S27" s="74">
        <v>549860</v>
      </c>
      <c r="T27" s="99"/>
    </row>
    <row r="28" spans="1:20" ht="18" customHeight="1">
      <c r="A28" s="157" t="s">
        <v>249</v>
      </c>
      <c r="B28" s="157"/>
      <c r="C28" s="157"/>
      <c r="D28" s="157"/>
      <c r="E28" s="157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264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6" t="s">
        <v>260</v>
      </c>
      <c r="B41" s="156"/>
      <c r="C41" s="156"/>
      <c r="D41" s="156"/>
      <c r="E41" s="156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261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303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304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305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0.74493310185062001</v>
      </c>
      <c r="R53" s="80" t="s">
        <v>306</v>
      </c>
      <c r="S53" s="67"/>
    </row>
    <row r="54" spans="1:20" ht="15.75" customHeight="1">
      <c r="A54" s="156" t="s">
        <v>263</v>
      </c>
      <c r="B54" s="156"/>
      <c r="C54" s="156"/>
      <c r="D54" s="156"/>
      <c r="E54" s="156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0.88382199073950773</v>
      </c>
      <c r="R54" s="2" t="s">
        <v>261</v>
      </c>
      <c r="S54" s="113">
        <v>352430</v>
      </c>
      <c r="T54" s="114"/>
    </row>
    <row r="55" spans="1:20" ht="18" customHeight="1">
      <c r="A55" s="157" t="s">
        <v>249</v>
      </c>
      <c r="B55" s="157"/>
      <c r="C55" s="157"/>
      <c r="D55" s="157"/>
      <c r="E55" s="157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0.96854421296173054</v>
      </c>
      <c r="R55" s="1" t="s">
        <v>264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298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6" t="s">
        <v>260</v>
      </c>
      <c r="B68" s="156"/>
      <c r="C68" s="156"/>
      <c r="D68" s="156"/>
      <c r="E68" s="156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261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307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274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6" t="s">
        <v>263</v>
      </c>
      <c r="B81" s="156"/>
      <c r="C81" s="156"/>
      <c r="D81" s="156"/>
      <c r="E81" s="156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261</v>
      </c>
      <c r="S81" s="115">
        <v>634210</v>
      </c>
      <c r="T81" s="116"/>
    </row>
    <row r="82" spans="1:20" ht="18" customHeight="1">
      <c r="A82" s="157" t="s">
        <v>249</v>
      </c>
      <c r="B82" s="157"/>
      <c r="C82" s="157"/>
      <c r="D82" s="157"/>
      <c r="E82" s="157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264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274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223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6" t="s">
        <v>260</v>
      </c>
      <c r="B95" s="156"/>
      <c r="C95" s="156"/>
      <c r="D95" s="156"/>
      <c r="E95" s="156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261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308</v>
      </c>
      <c r="Q96" s="66" t="str">
        <f t="shared" ref="Q96:Q107" ca="1" si="22">IFERROR(IF(O96="","",IF(P96="",MOD(NOW()-O96,1),IF(P96&gt;=O96,P96-O96,P96+1-O96))),"")</f>
        <v/>
      </c>
      <c r="R96" s="80" t="s">
        <v>309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262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310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311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262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6" t="s">
        <v>263</v>
      </c>
      <c r="B108" s="156"/>
      <c r="C108" s="156"/>
      <c r="D108" s="156"/>
      <c r="E108" s="156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261</v>
      </c>
      <c r="S108" s="115">
        <v>456830</v>
      </c>
      <c r="T108" s="116"/>
    </row>
    <row r="109" spans="1:20" ht="18" customHeight="1">
      <c r="A109" s="157" t="s">
        <v>249</v>
      </c>
      <c r="B109" s="157"/>
      <c r="C109" s="157"/>
      <c r="D109" s="157"/>
      <c r="E109" s="157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264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312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6" t="s">
        <v>260</v>
      </c>
      <c r="B122" s="156"/>
      <c r="C122" s="156"/>
      <c r="D122" s="156"/>
      <c r="E122" s="156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261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6" t="s">
        <v>263</v>
      </c>
      <c r="B135" s="156"/>
      <c r="C135" s="156"/>
      <c r="D135" s="156"/>
      <c r="E135" s="156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261</v>
      </c>
      <c r="S135" s="115">
        <v>756720</v>
      </c>
      <c r="T135" s="116"/>
    </row>
    <row r="136" spans="1:20" ht="18" customHeight="1">
      <c r="A136" s="157" t="s">
        <v>249</v>
      </c>
      <c r="B136" s="157"/>
      <c r="C136" s="157"/>
      <c r="D136" s="157"/>
      <c r="E136" s="157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264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313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314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315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6" t="s">
        <v>260</v>
      </c>
      <c r="B149" s="156"/>
      <c r="C149" s="156"/>
      <c r="D149" s="156"/>
      <c r="E149" s="156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261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316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6" t="s">
        <v>263</v>
      </c>
      <c r="B162" s="156"/>
      <c r="C162" s="156"/>
      <c r="D162" s="156"/>
      <c r="E162" s="156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261</v>
      </c>
      <c r="S162" s="115">
        <v>501750</v>
      </c>
      <c r="T162" s="116"/>
    </row>
    <row r="163" spans="1:20" ht="18" customHeight="1">
      <c r="A163" s="157" t="s">
        <v>249</v>
      </c>
      <c r="B163" s="157"/>
      <c r="C163" s="157"/>
      <c r="D163" s="157"/>
      <c r="E163" s="157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264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274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274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274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274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274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274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274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274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274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274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6" t="s">
        <v>260</v>
      </c>
      <c r="B176" s="156"/>
      <c r="C176" s="156"/>
      <c r="D176" s="156"/>
      <c r="E176" s="156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261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274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274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317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274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314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318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274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6" t="s">
        <v>263</v>
      </c>
      <c r="B189" s="156"/>
      <c r="C189" s="156"/>
      <c r="D189" s="156"/>
      <c r="E189" s="156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261</v>
      </c>
      <c r="S189" s="74">
        <v>362530</v>
      </c>
      <c r="T189" s="99"/>
    </row>
    <row r="190" spans="1:20" ht="18" customHeight="1">
      <c r="A190" s="157" t="s">
        <v>249</v>
      </c>
      <c r="B190" s="157"/>
      <c r="C190" s="157"/>
      <c r="D190" s="157"/>
      <c r="E190" s="157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264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319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312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6" t="s">
        <v>260</v>
      </c>
      <c r="B203" s="156"/>
      <c r="C203" s="156"/>
      <c r="D203" s="156"/>
      <c r="E203" s="156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261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6" t="s">
        <v>263</v>
      </c>
      <c r="B216" s="156"/>
      <c r="C216" s="156"/>
      <c r="D216" s="156"/>
      <c r="E216" s="156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261</v>
      </c>
      <c r="S216" s="74">
        <v>609740</v>
      </c>
      <c r="T216" s="99"/>
    </row>
    <row r="217" spans="1:20" ht="18" customHeight="1">
      <c r="A217" s="157" t="s">
        <v>249</v>
      </c>
      <c r="B217" s="157"/>
      <c r="C217" s="157"/>
      <c r="D217" s="157"/>
      <c r="E217" s="157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264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307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262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320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321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322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6" t="s">
        <v>260</v>
      </c>
      <c r="B230" s="156"/>
      <c r="C230" s="156"/>
      <c r="D230" s="156"/>
      <c r="E230" s="156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261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262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6" t="s">
        <v>263</v>
      </c>
      <c r="B243" s="156"/>
      <c r="C243" s="156"/>
      <c r="D243" s="156"/>
      <c r="E243" s="156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261</v>
      </c>
      <c r="S243" s="74">
        <v>825930</v>
      </c>
      <c r="T243" s="99"/>
    </row>
    <row r="244" spans="1:20" ht="18" customHeight="1">
      <c r="A244" s="157" t="s">
        <v>249</v>
      </c>
      <c r="B244" s="157"/>
      <c r="C244" s="157"/>
      <c r="D244" s="157"/>
      <c r="E244" s="157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264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6" t="s">
        <v>260</v>
      </c>
      <c r="B257" s="156"/>
      <c r="C257" s="156"/>
      <c r="D257" s="156"/>
      <c r="E257" s="156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261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274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274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274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274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274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274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274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274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274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274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274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274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6" t="s">
        <v>263</v>
      </c>
      <c r="B270" s="156"/>
      <c r="C270" s="156"/>
      <c r="D270" s="156"/>
      <c r="E270" s="156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732130</v>
      </c>
      <c r="T270" s="99"/>
    </row>
    <row r="271" spans="1:20" ht="18" customHeight="1">
      <c r="A271" s="157" t="s">
        <v>249</v>
      </c>
      <c r="B271" s="157"/>
      <c r="C271" s="157"/>
      <c r="D271" s="157"/>
      <c r="E271" s="157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264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274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274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274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274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259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274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6" t="s">
        <v>260</v>
      </c>
      <c r="B284" s="156"/>
      <c r="C284" s="156"/>
      <c r="D284" s="156"/>
      <c r="E284" s="156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259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259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274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274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259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259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259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259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259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6" t="s">
        <v>263</v>
      </c>
      <c r="B297" s="156"/>
      <c r="C297" s="156"/>
      <c r="D297" s="156"/>
      <c r="E297" s="156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990260</v>
      </c>
      <c r="T297" s="99"/>
    </row>
    <row r="298" spans="1:20" ht="18" customHeight="1">
      <c r="A298" s="157" t="s">
        <v>249</v>
      </c>
      <c r="B298" s="157"/>
      <c r="C298" s="157"/>
      <c r="D298" s="157"/>
      <c r="E298" s="157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274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274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274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274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274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274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274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274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274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274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274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274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6" t="s">
        <v>260</v>
      </c>
      <c r="B311" s="156"/>
      <c r="C311" s="156"/>
      <c r="D311" s="156"/>
      <c r="E311" s="156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261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274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274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274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274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274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274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274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274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274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274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6" t="s">
        <v>263</v>
      </c>
      <c r="B324" s="156"/>
      <c r="C324" s="156"/>
      <c r="D324" s="156"/>
      <c r="E324" s="156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261</v>
      </c>
      <c r="S324" s="74">
        <v>725030</v>
      </c>
      <c r="T324" s="99">
        <f>IFERROR(J324,"")</f>
        <v>104.40432</v>
      </c>
    </row>
    <row r="325" spans="1:20" ht="18" customHeight="1">
      <c r="A325" s="157" t="s">
        <v>249</v>
      </c>
      <c r="B325" s="157"/>
      <c r="C325" s="157"/>
      <c r="D325" s="157"/>
      <c r="E325" s="157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264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323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324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325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326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327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6" t="s">
        <v>260</v>
      </c>
      <c r="B338" s="156"/>
      <c r="C338" s="156"/>
      <c r="D338" s="156"/>
      <c r="E338" s="156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261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319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314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6" t="s">
        <v>263</v>
      </c>
      <c r="B351" s="156"/>
      <c r="C351" s="156"/>
      <c r="D351" s="156"/>
      <c r="E351" s="156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261</v>
      </c>
      <c r="S351" s="74">
        <v>712170</v>
      </c>
      <c r="T351" s="99">
        <f>IFERROR(J351,"")</f>
        <v>149.5557</v>
      </c>
    </row>
    <row r="352" spans="1:20" ht="18" customHeight="1">
      <c r="A352" s="157" t="s">
        <v>249</v>
      </c>
      <c r="B352" s="157"/>
      <c r="C352" s="157"/>
      <c r="D352" s="157"/>
      <c r="E352" s="157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264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307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6" t="s">
        <v>260</v>
      </c>
      <c r="B365" s="156"/>
      <c r="C365" s="156"/>
      <c r="D365" s="156"/>
      <c r="E365" s="156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261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328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6" t="s">
        <v>263</v>
      </c>
      <c r="B378" s="156"/>
      <c r="C378" s="156"/>
      <c r="D378" s="156"/>
      <c r="E378" s="156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261</v>
      </c>
      <c r="S378" s="74">
        <v>806300</v>
      </c>
      <c r="T378" s="99">
        <f>IFERROR(J378,"")</f>
        <v>169.32299999999998</v>
      </c>
    </row>
    <row r="379" spans="1:20" ht="18" customHeight="1">
      <c r="A379" s="157" t="s">
        <v>249</v>
      </c>
      <c r="B379" s="157"/>
      <c r="C379" s="157"/>
      <c r="D379" s="157"/>
      <c r="E379" s="157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264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274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274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329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6" t="s">
        <v>260</v>
      </c>
      <c r="B392" s="156"/>
      <c r="C392" s="156"/>
      <c r="D392" s="156"/>
      <c r="E392" s="156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261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330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6" t="s">
        <v>263</v>
      </c>
      <c r="B405" s="156"/>
      <c r="C405" s="156"/>
      <c r="D405" s="156"/>
      <c r="E405" s="156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261</v>
      </c>
      <c r="S405" s="74">
        <v>774540</v>
      </c>
      <c r="T405" s="99">
        <f>IFERROR(J405,"")</f>
        <v>156.22852721311477</v>
      </c>
    </row>
    <row r="406" spans="1:20" ht="18" customHeight="1">
      <c r="A406" s="157" t="s">
        <v>249</v>
      </c>
      <c r="B406" s="157"/>
      <c r="C406" s="157"/>
      <c r="D406" s="157"/>
      <c r="E406" s="157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264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6" t="s">
        <v>260</v>
      </c>
      <c r="B419" s="156"/>
      <c r="C419" s="156"/>
      <c r="D419" s="156"/>
      <c r="E419" s="156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261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331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263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261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249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264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332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333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6" t="s">
        <v>260</v>
      </c>
      <c r="B446" s="156"/>
      <c r="C446" s="156"/>
      <c r="D446" s="156"/>
      <c r="E446" s="156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261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259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334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335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6" t="s">
        <v>263</v>
      </c>
      <c r="B459" s="156"/>
      <c r="C459" s="156"/>
      <c r="D459" s="156"/>
      <c r="E459" s="156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261</v>
      </c>
      <c r="S459" s="74">
        <v>738730</v>
      </c>
      <c r="T459" s="99">
        <f>IFERROR(J459,"")</f>
        <v>144.10511642857142</v>
      </c>
    </row>
    <row r="460" spans="1:20" ht="18" customHeight="1">
      <c r="A460" s="157" t="s">
        <v>249</v>
      </c>
      <c r="B460" s="157"/>
      <c r="C460" s="157"/>
      <c r="D460" s="157"/>
      <c r="E460" s="157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264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336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6" t="s">
        <v>260</v>
      </c>
      <c r="B473" s="156"/>
      <c r="C473" s="156"/>
      <c r="D473" s="156"/>
      <c r="E473" s="156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261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337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338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6" t="s">
        <v>263</v>
      </c>
      <c r="B486" s="156"/>
      <c r="C486" s="156"/>
      <c r="D486" s="156"/>
      <c r="E486" s="156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261</v>
      </c>
      <c r="S486" s="74">
        <v>617620</v>
      </c>
      <c r="T486" s="99">
        <f>IFERROR(J486,"")</f>
        <v>88.937280000000001</v>
      </c>
    </row>
    <row r="487" spans="1:20" ht="18" customHeight="1">
      <c r="A487" s="157" t="s">
        <v>249</v>
      </c>
      <c r="B487" s="157"/>
      <c r="C487" s="157"/>
      <c r="D487" s="157"/>
      <c r="E487" s="157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264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314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291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6" t="s">
        <v>260</v>
      </c>
      <c r="B500" s="156"/>
      <c r="C500" s="156"/>
      <c r="D500" s="156"/>
      <c r="E500" s="156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261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170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136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218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274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263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261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249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264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49.769162011173179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10.451524022346366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58.064022346368716</v>
      </c>
      <c r="I516" s="90">
        <f>IFERROR(IF($D516="","",VLOOKUP($D516,Cadastro!$C$4:$G$7,5,FALSE())),"")</f>
        <v>0.6</v>
      </c>
      <c r="J516" s="91">
        <f t="shared" si="130"/>
        <v>12.19344469273743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70.506312849162015</v>
      </c>
      <c r="I517" s="90">
        <f>IFERROR(IF($D517="","",VLOOKUP($D517,Cadastro!$C$4:$G$7,5,FALSE())),"")</f>
        <v>0.6</v>
      </c>
      <c r="J517" s="91">
        <f t="shared" si="130"/>
        <v>14.806325698324022</v>
      </c>
      <c r="K517" s="69">
        <f t="shared" si="131"/>
        <v>71.400000000000006</v>
      </c>
      <c r="L517" s="70" t="s">
        <v>28</v>
      </c>
      <c r="M517" s="70" t="s">
        <v>170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66.358882681564239</v>
      </c>
      <c r="I518" s="90">
        <f>IFERROR(IF($D518="","",VLOOKUP($D518,Cadastro!$C$4:$G$7,5,FALSE())),"")</f>
        <v>0.6</v>
      </c>
      <c r="J518" s="91">
        <f t="shared" si="130"/>
        <v>13.935365363128488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53.916592178770955</v>
      </c>
      <c r="I519" s="90">
        <f>IFERROR(IF($D519="","",VLOOKUP($D519,Cadastro!$C$4:$G$7,5,FALSE())),"")</f>
        <v>0.6</v>
      </c>
      <c r="J519" s="91">
        <f t="shared" si="130"/>
        <v>11.322484357541899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62.211452513966485</v>
      </c>
      <c r="I520" s="90">
        <f>IFERROR(IF($D520="","",VLOOKUP($D520,Cadastro!$C$4:$G$7,5,FALSE())),"")</f>
        <v>0.6</v>
      </c>
      <c r="J520" s="91">
        <f t="shared" si="130"/>
        <v>13.064405027932962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259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87.096033519553075</v>
      </c>
      <c r="I521" s="90">
        <f>IFERROR(IF($D521="","",VLOOKUP($D521,Cadastro!$C$4:$G$7,5,FALSE())),"")</f>
        <v>0.6</v>
      </c>
      <c r="J521" s="91">
        <f t="shared" si="130"/>
        <v>18.290167039106144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259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70.506312849162015</v>
      </c>
      <c r="I522" s="90">
        <f>IFERROR(IF($D522="","",VLOOKUP($D522,Cadastro!$C$4:$G$7,5,FALSE())),"")</f>
        <v>0.6</v>
      </c>
      <c r="J522" s="91">
        <f t="shared" si="130"/>
        <v>14.806325698324022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259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33.17944134078212</v>
      </c>
      <c r="I523" s="90">
        <f>IFERROR(IF($D523="","",VLOOKUP($D523,Cadastro!$C$4:$G$7,5,FALSE())),"")</f>
        <v>0.6</v>
      </c>
      <c r="J523" s="91">
        <f t="shared" si="130"/>
        <v>6.9676826815642441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259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82.948603351955299</v>
      </c>
      <c r="I524" s="90">
        <f>IFERROR(IF($D524="","",VLOOKUP($D524,Cadastro!$C$4:$G$7,5,FALSE())),"")</f>
        <v>0.6</v>
      </c>
      <c r="J524" s="91">
        <f t="shared" si="130"/>
        <v>17.419206703910611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259</v>
      </c>
      <c r="F525" s="88">
        <f>IFERROR(IF($D525="","",VLOOKUP($D525,Cadastro!$C$4:$E$7,3,FALSE())),"")</f>
        <v>0.35</v>
      </c>
      <c r="G525" s="89">
        <v>13</v>
      </c>
      <c r="H525" s="88">
        <f>IFERROR(IF($G525="","",$G525*$S$527/$G$527/Cadastro!$E$33),"")</f>
        <v>53.916592178770955</v>
      </c>
      <c r="I525" s="90">
        <f>IFERROR(IF($D525="","",VLOOKUP($D525,Cadastro!$C$4:$G$7,5,FALSE())),"")</f>
        <v>0.6</v>
      </c>
      <c r="J525" s="91">
        <f t="shared" si="130"/>
        <v>11.322484357541899</v>
      </c>
      <c r="K525" s="69">
        <f t="shared" si="131"/>
        <v>65</v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259</v>
      </c>
      <c r="F526" s="92">
        <f>IFERROR(IF($D526="","",VLOOKUP($D526,Cadastro!$C$4:$E$7,3,FALSE())),"")</f>
        <v>0.35</v>
      </c>
      <c r="G526" s="89">
        <v>13</v>
      </c>
      <c r="H526" s="92">
        <f>IFERROR(IF($G526="","",$G526*$S$527/$G$527/Cadastro!$E$33),"")</f>
        <v>53.916592178770955</v>
      </c>
      <c r="I526" s="93">
        <f>IFERROR(IF($D526="","",VLOOKUP($D526,Cadastro!$C$4:$G$7,5,FALSE())),"")</f>
        <v>0.6</v>
      </c>
      <c r="J526" s="94">
        <f t="shared" si="130"/>
        <v>11.322484357541899</v>
      </c>
      <c r="K526" s="64">
        <f t="shared" si="131"/>
        <v>65</v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6" t="s">
        <v>260</v>
      </c>
      <c r="B527" s="156"/>
      <c r="C527" s="156"/>
      <c r="D527" s="156"/>
      <c r="E527" s="156"/>
      <c r="F527" s="95"/>
      <c r="G527" s="96">
        <f>SUM(G515:G526)</f>
        <v>179</v>
      </c>
      <c r="H527" s="95">
        <f>IFERROR(SUM(H515:H526),"")</f>
        <v>742.3900000000001</v>
      </c>
      <c r="I527" s="97"/>
      <c r="J527" s="98">
        <f>IFERROR(SUM(J515:J526),"")</f>
        <v>155.90189999999996</v>
      </c>
      <c r="K527" s="83">
        <f>SUM(K515:K526)</f>
        <v>825.40000000000009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261</v>
      </c>
      <c r="S527" s="74">
        <v>742390</v>
      </c>
      <c r="T527" s="99">
        <f>IFERROR(J527,"")</f>
        <v>155.90189999999996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274</v>
      </c>
      <c r="F528" s="101">
        <f>IFERROR(IF($D528="","",VLOOKUP($D528,Cadastro!$C$4:$E$7,3,FALSE())),"")</f>
        <v>0.35</v>
      </c>
      <c r="G528" s="89">
        <v>7</v>
      </c>
      <c r="H528" s="101">
        <f>IFERROR(IF($G528="","",$G528*$S$540/$G$540/Cadastro!$E$33),"")</f>
        <v>0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0</v>
      </c>
      <c r="K528" s="64">
        <f t="shared" ref="K528:K539" si="135">IF(G528="","",IF(E528="PC 17",G528*4.2,IF(E528="PC 19",G528*5,IF(E528="CB",G528*24,""))))</f>
        <v>29.400000000000002</v>
      </c>
      <c r="L528" s="61" t="s">
        <v>28</v>
      </c>
      <c r="M528" s="61" t="s">
        <v>170</v>
      </c>
      <c r="N528" s="61" t="s">
        <v>36</v>
      </c>
      <c r="O528" s="65">
        <v>0.79166666666666663</v>
      </c>
      <c r="P528" s="65">
        <v>0.80347222222222225</v>
      </c>
      <c r="Q528" s="66">
        <f t="shared" ref="Q528:Q539" ca="1" si="136">IFERROR(IF(O528="","",IF(P528="",MOD(NOW()-O528,1),IF(P528&gt;=O528,P528-O528,P528+1-O528))),"")</f>
        <v>1.1805555555555625E-2</v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274</v>
      </c>
      <c r="F529" s="88">
        <f>IFERROR(IF($D529="","",VLOOKUP($D529,Cadastro!$C$4:$E$7,3,FALSE())),"")</f>
        <v>0.24</v>
      </c>
      <c r="G529" s="89"/>
      <c r="H529" s="88" t="str">
        <f>IFERROR(IF($G529="","",$G529*$S$540/$G$540/Cadastro!$E$33),"")</f>
        <v/>
      </c>
      <c r="I529" s="90">
        <f>IFERROR(IF($D529="","",VLOOKUP($D529,Cadastro!$C$4:$G$7,5,FALSE())),"")</f>
        <v>0.6</v>
      </c>
      <c r="J529" s="91" t="str">
        <f t="shared" si="134"/>
        <v/>
      </c>
      <c r="K529" s="69" t="str">
        <f t="shared" si="135"/>
        <v/>
      </c>
      <c r="L529" s="70"/>
      <c r="M529" s="70"/>
      <c r="N529" s="70" t="s">
        <v>71</v>
      </c>
      <c r="O529" s="65"/>
      <c r="P529" s="65"/>
      <c r="Q529" s="71" t="str">
        <f t="shared" ca="1" si="136"/>
        <v/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274</v>
      </c>
      <c r="F530" s="88">
        <f>IFERROR(IF($D530="","",VLOOKUP($D530,Cadastro!$C$4:$E$7,3,FALSE())),"")</f>
        <v>0.24</v>
      </c>
      <c r="G530" s="89"/>
      <c r="H530" s="88" t="str">
        <f>IFERROR(IF($G530="","",$G530*$S$540/$G$540/Cadastro!$E$33),"")</f>
        <v/>
      </c>
      <c r="I530" s="90">
        <f>IFERROR(IF($D530="","",VLOOKUP($D530,Cadastro!$C$4:$G$7,5,FALSE())),"")</f>
        <v>0.6</v>
      </c>
      <c r="J530" s="91" t="str">
        <f t="shared" si="134"/>
        <v/>
      </c>
      <c r="K530" s="64" t="str">
        <f t="shared" si="135"/>
        <v/>
      </c>
      <c r="L530" s="61"/>
      <c r="M530" s="61"/>
      <c r="N530" s="61"/>
      <c r="O530" s="65"/>
      <c r="P530" s="65"/>
      <c r="Q530" s="66" t="str">
        <f t="shared" ca="1" si="136"/>
        <v/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274</v>
      </c>
      <c r="F531" s="88">
        <f>IFERROR(IF($D531="","",VLOOKUP($D531,Cadastro!$C$4:$E$7,3,FALSE())),"")</f>
        <v>0.24</v>
      </c>
      <c r="G531" s="89"/>
      <c r="H531" s="88" t="str">
        <f>IFERROR(IF($G531="","",$G531*$S$540/$G$540/Cadastro!$E$33),"")</f>
        <v/>
      </c>
      <c r="I531" s="90">
        <f>IFERROR(IF($D531="","",VLOOKUP($D531,Cadastro!$C$4:$G$7,5,FALSE())),"")</f>
        <v>0.6</v>
      </c>
      <c r="J531" s="91" t="str">
        <f t="shared" si="134"/>
        <v/>
      </c>
      <c r="K531" s="69" t="str">
        <f t="shared" si="135"/>
        <v/>
      </c>
      <c r="L531" s="70"/>
      <c r="M531" s="70"/>
      <c r="N531" s="70"/>
      <c r="O531" s="65"/>
      <c r="P531" s="65"/>
      <c r="Q531" s="71" t="str">
        <f t="shared" ca="1" si="136"/>
        <v/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4"/>
        <v/>
      </c>
      <c r="K532" s="64" t="str">
        <f t="shared" si="135"/>
        <v/>
      </c>
      <c r="L532" s="61"/>
      <c r="M532" s="61"/>
      <c r="N532" s="61"/>
      <c r="O532" s="65"/>
      <c r="P532" s="65"/>
      <c r="Q532" s="66" t="str">
        <f t="shared" ca="1" si="136"/>
        <v/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4"/>
        <v/>
      </c>
      <c r="K533" s="69" t="str">
        <f t="shared" si="135"/>
        <v/>
      </c>
      <c r="L533" s="70"/>
      <c r="M533" s="70"/>
      <c r="N533" s="70"/>
      <c r="O533" s="65"/>
      <c r="P533" s="65"/>
      <c r="Q533" s="71" t="str">
        <f t="shared" ca="1" si="136"/>
        <v/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4"/>
        <v/>
      </c>
      <c r="K534" s="64" t="str">
        <f t="shared" si="135"/>
        <v/>
      </c>
      <c r="L534" s="61"/>
      <c r="M534" s="61"/>
      <c r="N534" s="61"/>
      <c r="O534" s="65"/>
      <c r="P534" s="65"/>
      <c r="Q534" s="66" t="str">
        <f t="shared" ca="1" si="136"/>
        <v/>
      </c>
      <c r="R534" s="80"/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4"/>
        <v/>
      </c>
      <c r="K535" s="69" t="str">
        <f t="shared" si="135"/>
        <v/>
      </c>
      <c r="L535" s="70"/>
      <c r="M535" s="70"/>
      <c r="N535" s="70"/>
      <c r="O535" s="65"/>
      <c r="P535" s="65"/>
      <c r="Q535" s="71" t="str">
        <f t="shared" ca="1" si="136"/>
        <v/>
      </c>
      <c r="R535" s="80"/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4"/>
        <v/>
      </c>
      <c r="K536" s="64" t="str">
        <f t="shared" si="135"/>
        <v/>
      </c>
      <c r="L536" s="61"/>
      <c r="M536" s="61"/>
      <c r="N536" s="61"/>
      <c r="O536" s="65"/>
      <c r="P536" s="65"/>
      <c r="Q536" s="66" t="str">
        <f t="shared" ca="1" si="136"/>
        <v/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6" t="s">
        <v>263</v>
      </c>
      <c r="B540" s="156"/>
      <c r="C540" s="156"/>
      <c r="D540" s="156"/>
      <c r="E540" s="156"/>
      <c r="F540" s="105"/>
      <c r="G540" s="96">
        <f>SUM(G528:G539)</f>
        <v>7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29.400000000000002</v>
      </c>
      <c r="L540" s="72"/>
      <c r="M540" s="72"/>
      <c r="N540" s="72"/>
      <c r="O540" s="72"/>
      <c r="P540" s="72"/>
      <c r="Q540" s="73">
        <f ca="1">IFERROR(SUM(Q528:Q539),"")</f>
        <v>1.1805555555555625E-2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7" t="s">
        <v>249</v>
      </c>
      <c r="B541" s="157"/>
      <c r="C541" s="157"/>
      <c r="D541" s="157"/>
      <c r="E541" s="157"/>
      <c r="F541" s="108"/>
      <c r="G541" s="109">
        <f>G527+G540</f>
        <v>186</v>
      </c>
      <c r="H541" s="108">
        <f>IFERROR(H527+H540,"")</f>
        <v>742.3900000000001</v>
      </c>
      <c r="I541" s="110"/>
      <c r="J541" s="111">
        <f>IFERROR(J527+J540,"")</f>
        <v>155.90189999999996</v>
      </c>
      <c r="K541" s="1">
        <f>K527+K540</f>
        <v>854.80000000000007</v>
      </c>
      <c r="L541" s="76"/>
      <c r="M541" s="76"/>
      <c r="N541" s="76"/>
      <c r="O541" s="76"/>
      <c r="P541" s="76"/>
      <c r="Q541" s="77">
        <f ca="1">IFERROR(Q527+Q540,"")</f>
        <v>7.6388888888888895E-2</v>
      </c>
      <c r="R541" s="1" t="s">
        <v>264</v>
      </c>
      <c r="S541" s="82">
        <f>IFERROR(S527+S540,"")</f>
        <v>742390</v>
      </c>
      <c r="T541" s="118">
        <f>IFERROR(J541,"")</f>
        <v>155.90189999999996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6" t="s">
        <v>260</v>
      </c>
      <c r="B554" s="156"/>
      <c r="C554" s="156"/>
      <c r="D554" s="156"/>
      <c r="E554" s="156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4">IFERROR(IF(O555="","",IF(P555="",MOD(NOW()-O555,1),IF(P555&gt;=O555,P555-O555,P555+1-O555))),"")</f>
        <v/>
      </c>
      <c r="R555" s="80"/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6" t="s">
        <v>263</v>
      </c>
      <c r="B567" s="156"/>
      <c r="C567" s="156"/>
      <c r="D567" s="156"/>
      <c r="E567" s="156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7" t="s">
        <v>249</v>
      </c>
      <c r="B568" s="157"/>
      <c r="C568" s="157"/>
      <c r="D568" s="157"/>
      <c r="E568" s="157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8">IFERROR(IF(O569="","",IF(P569="",MOD(NOW()-O569,1),IF(P569&gt;=O569,P569-O569,P569+1-O569))),"")</f>
        <v/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6" t="s">
        <v>260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6" t="s">
        <v>263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7" t="s">
        <v>249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6" t="s">
        <v>260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6" t="s">
        <v>263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7" t="s">
        <v>249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6" t="s">
        <v>260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6" t="s">
        <v>263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7" t="s">
        <v>249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6" t="s">
        <v>260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6" t="s">
        <v>263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7" t="s">
        <v>249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6" t="s">
        <v>260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6" t="s">
        <v>263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7" t="s">
        <v>249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6" t="s">
        <v>260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6" t="s">
        <v>263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7" t="s">
        <v>249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6" t="s">
        <v>260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6" t="s">
        <v>263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7" t="s">
        <v>249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6" t="s">
        <v>260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6" t="s">
        <v>263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7" t="s">
        <v>249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6" t="s">
        <v>260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6" t="s">
        <v>263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7" t="s">
        <v>249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6" t="s">
        <v>260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6" t="s">
        <v>263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113"/>
      <c r="T837" s="114">
        <f>IFERROR(J837,"")</f>
        <v>0</v>
      </c>
    </row>
    <row r="838" spans="1:20" ht="18" customHeight="1">
      <c r="A838" s="157" t="s">
        <v>249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515" activePane="bottomLeft" state="frozen"/>
      <selection pane="bottomLeft" activeCell="N528" sqref="N528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296</v>
      </c>
      <c r="I1" s="86" t="s">
        <v>22</v>
      </c>
      <c r="J1" s="86" t="s">
        <v>297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297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6" t="s">
        <v>260</v>
      </c>
      <c r="B14" s="156"/>
      <c r="C14" s="156"/>
      <c r="D14" s="156"/>
      <c r="E14" s="156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261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339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301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340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274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274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6" t="s">
        <v>263</v>
      </c>
      <c r="B27" s="156"/>
      <c r="C27" s="156"/>
      <c r="D27" s="156"/>
      <c r="E27" s="156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261</v>
      </c>
      <c r="S27" s="74">
        <v>358000</v>
      </c>
      <c r="T27" s="99">
        <f>IFERROR(J27,"")</f>
        <v>0</v>
      </c>
    </row>
    <row r="28" spans="1:20" ht="18" customHeight="1">
      <c r="A28" s="157" t="s">
        <v>249</v>
      </c>
      <c r="B28" s="157"/>
      <c r="C28" s="157"/>
      <c r="D28" s="157"/>
      <c r="E28" s="157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264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6" t="s">
        <v>260</v>
      </c>
      <c r="B41" s="156"/>
      <c r="C41" s="156"/>
      <c r="D41" s="156"/>
      <c r="E41" s="156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261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307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339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339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6" t="s">
        <v>263</v>
      </c>
      <c r="B54" s="156"/>
      <c r="C54" s="156"/>
      <c r="D54" s="156"/>
      <c r="E54" s="156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261</v>
      </c>
      <c r="S54" s="74">
        <v>279980</v>
      </c>
      <c r="T54" s="99">
        <f>IFERROR(J54,"")</f>
        <v>0</v>
      </c>
    </row>
    <row r="55" spans="1:20" ht="18" customHeight="1">
      <c r="A55" s="157" t="s">
        <v>249</v>
      </c>
      <c r="B55" s="157"/>
      <c r="C55" s="157"/>
      <c r="D55" s="157"/>
      <c r="E55" s="157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264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274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274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274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274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274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341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274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274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274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274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6" t="s">
        <v>260</v>
      </c>
      <c r="B68" s="156"/>
      <c r="C68" s="156"/>
      <c r="D68" s="156"/>
      <c r="E68" s="156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261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342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6" t="s">
        <v>263</v>
      </c>
      <c r="B81" s="156"/>
      <c r="C81" s="156"/>
      <c r="D81" s="156"/>
      <c r="E81" s="156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261</v>
      </c>
      <c r="S81" s="74">
        <v>185920</v>
      </c>
      <c r="T81" s="99">
        <f>IFERROR(J81,"")</f>
        <v>0</v>
      </c>
    </row>
    <row r="82" spans="1:20" ht="18" customHeight="1">
      <c r="A82" s="157" t="s">
        <v>249</v>
      </c>
      <c r="B82" s="157"/>
      <c r="C82" s="157"/>
      <c r="D82" s="157"/>
      <c r="E82" s="157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264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343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344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6" t="s">
        <v>260</v>
      </c>
      <c r="B95" s="156"/>
      <c r="C95" s="156"/>
      <c r="D95" s="156"/>
      <c r="E95" s="156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261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345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6" t="s">
        <v>263</v>
      </c>
      <c r="B108" s="156"/>
      <c r="C108" s="156"/>
      <c r="D108" s="156"/>
      <c r="E108" s="156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261</v>
      </c>
      <c r="S108" s="74">
        <v>434370</v>
      </c>
      <c r="T108" s="99">
        <f>IFERROR(J108,"")</f>
        <v>0</v>
      </c>
    </row>
    <row r="109" spans="1:20" ht="18" customHeight="1">
      <c r="A109" s="157" t="s">
        <v>249</v>
      </c>
      <c r="B109" s="157"/>
      <c r="C109" s="157"/>
      <c r="D109" s="157"/>
      <c r="E109" s="157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264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6" t="s">
        <v>260</v>
      </c>
      <c r="B122" s="156"/>
      <c r="C122" s="156"/>
      <c r="D122" s="156"/>
      <c r="E122" s="156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261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346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6" t="s">
        <v>263</v>
      </c>
      <c r="B135" s="156"/>
      <c r="C135" s="156"/>
      <c r="D135" s="156"/>
      <c r="E135" s="156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261</v>
      </c>
      <c r="S135" s="74">
        <v>416350</v>
      </c>
      <c r="T135" s="99">
        <f>IFERROR(J135,"")</f>
        <v>0</v>
      </c>
    </row>
    <row r="136" spans="1:20" ht="18" customHeight="1">
      <c r="A136" s="157" t="s">
        <v>249</v>
      </c>
      <c r="B136" s="157"/>
      <c r="C136" s="157"/>
      <c r="D136" s="157"/>
      <c r="E136" s="157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264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347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315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6" t="s">
        <v>260</v>
      </c>
      <c r="B149" s="156"/>
      <c r="C149" s="156"/>
      <c r="D149" s="156"/>
      <c r="E149" s="156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261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307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6" t="s">
        <v>263</v>
      </c>
      <c r="B162" s="156"/>
      <c r="C162" s="156"/>
      <c r="D162" s="156"/>
      <c r="E162" s="156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261</v>
      </c>
      <c r="S162" s="74">
        <v>169760</v>
      </c>
      <c r="T162" s="99">
        <f>IFERROR(J162,"")</f>
        <v>0</v>
      </c>
    </row>
    <row r="163" spans="1:20" ht="18" customHeight="1">
      <c r="A163" s="157" t="s">
        <v>249</v>
      </c>
      <c r="B163" s="157"/>
      <c r="C163" s="157"/>
      <c r="D163" s="157"/>
      <c r="E163" s="157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264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348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6" t="s">
        <v>260</v>
      </c>
      <c r="B176" s="156"/>
      <c r="C176" s="156"/>
      <c r="D176" s="156"/>
      <c r="E176" s="156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261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349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318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318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6" t="s">
        <v>263</v>
      </c>
      <c r="B189" s="156"/>
      <c r="C189" s="156"/>
      <c r="D189" s="156"/>
      <c r="E189" s="156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261</v>
      </c>
      <c r="S189" s="74">
        <v>72220</v>
      </c>
      <c r="T189" s="99">
        <f>IFERROR(J189,"")</f>
        <v>0</v>
      </c>
    </row>
    <row r="190" spans="1:20" ht="18" customHeight="1">
      <c r="A190" s="157" t="s">
        <v>249</v>
      </c>
      <c r="B190" s="157"/>
      <c r="C190" s="157"/>
      <c r="D190" s="157"/>
      <c r="E190" s="157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264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6" t="s">
        <v>260</v>
      </c>
      <c r="B203" s="156"/>
      <c r="C203" s="156"/>
      <c r="D203" s="156"/>
      <c r="E203" s="156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261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350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6" t="s">
        <v>263</v>
      </c>
      <c r="B216" s="156"/>
      <c r="C216" s="156"/>
      <c r="D216" s="156"/>
      <c r="E216" s="156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261</v>
      </c>
      <c r="S216" s="74">
        <v>148720</v>
      </c>
      <c r="T216" s="99">
        <f>IFERROR(J216,"")</f>
        <v>0</v>
      </c>
    </row>
    <row r="217" spans="1:20" ht="18" customHeight="1">
      <c r="A217" s="157" t="s">
        <v>249</v>
      </c>
      <c r="B217" s="157"/>
      <c r="C217" s="157"/>
      <c r="D217" s="157"/>
      <c r="E217" s="157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264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351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352</v>
      </c>
      <c r="Q222" s="66" t="str">
        <f t="shared" ca="1" si="49"/>
        <v/>
      </c>
      <c r="R222" s="63" t="s">
        <v>353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6" t="s">
        <v>260</v>
      </c>
      <c r="B230" s="156"/>
      <c r="C230" s="156"/>
      <c r="D230" s="156"/>
      <c r="E230" s="156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261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6" t="s">
        <v>263</v>
      </c>
      <c r="B243" s="156"/>
      <c r="C243" s="156"/>
      <c r="D243" s="156"/>
      <c r="E243" s="156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261</v>
      </c>
      <c r="S243" s="74">
        <v>352720</v>
      </c>
      <c r="T243" s="99">
        <f>IFERROR(J243,"")</f>
        <v>0</v>
      </c>
    </row>
    <row r="244" spans="1:20" ht="18" customHeight="1">
      <c r="A244" s="157" t="s">
        <v>249</v>
      </c>
      <c r="B244" s="157"/>
      <c r="C244" s="157"/>
      <c r="D244" s="157"/>
      <c r="E244" s="157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264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354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259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259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6" t="s">
        <v>260</v>
      </c>
      <c r="B257" s="156"/>
      <c r="C257" s="156"/>
      <c r="D257" s="156"/>
      <c r="E257" s="156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261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274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274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274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274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274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274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274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274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274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274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274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274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6" t="s">
        <v>263</v>
      </c>
      <c r="B270" s="156"/>
      <c r="C270" s="156"/>
      <c r="D270" s="156"/>
      <c r="E270" s="156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327900</v>
      </c>
      <c r="T270" s="99">
        <f>IFERROR(J270,"")</f>
        <v>0</v>
      </c>
    </row>
    <row r="271" spans="1:20" ht="18" customHeight="1">
      <c r="A271" s="157" t="s">
        <v>249</v>
      </c>
      <c r="B271" s="157"/>
      <c r="C271" s="157"/>
      <c r="D271" s="157"/>
      <c r="E271" s="157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264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259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6" t="s">
        <v>260</v>
      </c>
      <c r="B284" s="156"/>
      <c r="C284" s="156"/>
      <c r="D284" s="156"/>
      <c r="E284" s="156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6" t="s">
        <v>263</v>
      </c>
      <c r="B297" s="156"/>
      <c r="C297" s="156"/>
      <c r="D297" s="156"/>
      <c r="E297" s="156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462190</v>
      </c>
      <c r="T297" s="99">
        <f>IFERROR(J297,"")</f>
        <v>0</v>
      </c>
    </row>
    <row r="298" spans="1:20" ht="18" customHeight="1">
      <c r="A298" s="157" t="s">
        <v>249</v>
      </c>
      <c r="B298" s="157"/>
      <c r="C298" s="157"/>
      <c r="D298" s="157"/>
      <c r="E298" s="157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6" t="s">
        <v>260</v>
      </c>
      <c r="B311" s="156"/>
      <c r="C311" s="156"/>
      <c r="D311" s="156"/>
      <c r="E311" s="156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261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6" t="s">
        <v>263</v>
      </c>
      <c r="B324" s="156"/>
      <c r="C324" s="156"/>
      <c r="D324" s="156"/>
      <c r="E324" s="156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261</v>
      </c>
      <c r="S324" s="74">
        <v>289490</v>
      </c>
      <c r="T324" s="99">
        <f>IFERROR(J324,"")</f>
        <v>41.68656</v>
      </c>
    </row>
    <row r="325" spans="1:20" ht="18" customHeight="1">
      <c r="A325" s="157" t="s">
        <v>249</v>
      </c>
      <c r="B325" s="157"/>
      <c r="C325" s="157"/>
      <c r="D325" s="157"/>
      <c r="E325" s="157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264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325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355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326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274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6" t="s">
        <v>260</v>
      </c>
      <c r="B338" s="156"/>
      <c r="C338" s="156"/>
      <c r="D338" s="156"/>
      <c r="E338" s="156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261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6" t="s">
        <v>263</v>
      </c>
      <c r="B351" s="156"/>
      <c r="C351" s="156"/>
      <c r="D351" s="156"/>
      <c r="E351" s="156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261</v>
      </c>
      <c r="S351" s="74">
        <v>256170</v>
      </c>
      <c r="T351" s="99">
        <f>IFERROR(J351,"")</f>
        <v>53.795699999999997</v>
      </c>
    </row>
    <row r="352" spans="1:20" ht="18" customHeight="1">
      <c r="A352" s="157" t="s">
        <v>249</v>
      </c>
      <c r="B352" s="157"/>
      <c r="C352" s="157"/>
      <c r="D352" s="157"/>
      <c r="E352" s="157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264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307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6" t="s">
        <v>260</v>
      </c>
      <c r="B365" s="156"/>
      <c r="C365" s="156"/>
      <c r="D365" s="156"/>
      <c r="E365" s="156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261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6" t="s">
        <v>263</v>
      </c>
      <c r="B378" s="156"/>
      <c r="C378" s="156"/>
      <c r="D378" s="156"/>
      <c r="E378" s="156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261</v>
      </c>
      <c r="S378" s="74">
        <v>360560</v>
      </c>
      <c r="T378" s="99">
        <f>IFERROR(J378,"")</f>
        <v>75.71759999999999</v>
      </c>
    </row>
    <row r="379" spans="1:20" ht="18" customHeight="1">
      <c r="A379" s="157" t="s">
        <v>249</v>
      </c>
      <c r="B379" s="157"/>
      <c r="C379" s="157"/>
      <c r="D379" s="157"/>
      <c r="E379" s="157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264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356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329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6" t="s">
        <v>260</v>
      </c>
      <c r="B392" s="156"/>
      <c r="C392" s="156"/>
      <c r="D392" s="156"/>
      <c r="E392" s="156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261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6" t="s">
        <v>263</v>
      </c>
      <c r="B405" s="156"/>
      <c r="C405" s="156"/>
      <c r="D405" s="156"/>
      <c r="E405" s="156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261</v>
      </c>
      <c r="S405" s="74">
        <v>489360</v>
      </c>
      <c r="T405" s="99">
        <f>IFERROR(J405,"")</f>
        <v>99.305125714285708</v>
      </c>
    </row>
    <row r="406" spans="1:20" ht="18" customHeight="1">
      <c r="A406" s="157" t="s">
        <v>249</v>
      </c>
      <c r="B406" s="157"/>
      <c r="C406" s="157"/>
      <c r="D406" s="157"/>
      <c r="E406" s="157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264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357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6" t="s">
        <v>260</v>
      </c>
      <c r="B419" s="156"/>
      <c r="C419" s="156"/>
      <c r="D419" s="156"/>
      <c r="E419" s="156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261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358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6" t="s">
        <v>263</v>
      </c>
      <c r="B432" s="156"/>
      <c r="C432" s="156"/>
      <c r="D432" s="156"/>
      <c r="E432" s="156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261</v>
      </c>
      <c r="S432" s="74">
        <v>180150</v>
      </c>
      <c r="T432" s="99">
        <f>IFERROR(J432,"")</f>
        <v>25.941599999999998</v>
      </c>
    </row>
    <row r="433" spans="1:20" ht="18" customHeight="1">
      <c r="A433" s="157" t="s">
        <v>249</v>
      </c>
      <c r="B433" s="157"/>
      <c r="C433" s="157"/>
      <c r="D433" s="157"/>
      <c r="E433" s="157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264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359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359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6" t="s">
        <v>260</v>
      </c>
      <c r="B446" s="156"/>
      <c r="C446" s="156"/>
      <c r="D446" s="156"/>
      <c r="E446" s="156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261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360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6" t="s">
        <v>263</v>
      </c>
      <c r="B459" s="156"/>
      <c r="C459" s="156"/>
      <c r="D459" s="156"/>
      <c r="E459" s="156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261</v>
      </c>
      <c r="S459" s="74">
        <v>471910</v>
      </c>
      <c r="T459" s="99">
        <f>IFERROR(J459,"")</f>
        <v>92.928007027027007</v>
      </c>
    </row>
    <row r="460" spans="1:20" ht="18" customHeight="1">
      <c r="A460" s="157" t="s">
        <v>249</v>
      </c>
      <c r="B460" s="157"/>
      <c r="C460" s="157"/>
      <c r="D460" s="157"/>
      <c r="E460" s="157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264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6" t="s">
        <v>260</v>
      </c>
      <c r="B473" s="156"/>
      <c r="C473" s="156"/>
      <c r="D473" s="156"/>
      <c r="E473" s="156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261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307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361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6" t="s">
        <v>263</v>
      </c>
      <c r="B486" s="156"/>
      <c r="C486" s="156"/>
      <c r="D486" s="156"/>
      <c r="E486" s="156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261</v>
      </c>
      <c r="S486" s="74">
        <v>261400</v>
      </c>
      <c r="T486" s="99">
        <f>IFERROR(J486,"")</f>
        <v>37.641599999999997</v>
      </c>
    </row>
    <row r="487" spans="1:20" ht="18" customHeight="1">
      <c r="A487" s="157" t="s">
        <v>249</v>
      </c>
      <c r="B487" s="157"/>
      <c r="C487" s="157"/>
      <c r="D487" s="157"/>
      <c r="E487" s="157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264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274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346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6" t="s">
        <v>260</v>
      </c>
      <c r="B500" s="156"/>
      <c r="C500" s="156"/>
      <c r="D500" s="156"/>
      <c r="E500" s="156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261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362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210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167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363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274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6" t="s">
        <v>263</v>
      </c>
      <c r="B513" s="156"/>
      <c r="C513" s="156"/>
      <c r="D513" s="156"/>
      <c r="E513" s="156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261</v>
      </c>
      <c r="S513" s="74">
        <v>357140</v>
      </c>
      <c r="T513" s="99">
        <f>IFERROR(J513,"")</f>
        <v>61.810729999999992</v>
      </c>
    </row>
    <row r="514" spans="1:20" ht="18" customHeight="1">
      <c r="A514" s="157" t="s">
        <v>249</v>
      </c>
      <c r="B514" s="157"/>
      <c r="C514" s="157"/>
      <c r="D514" s="157"/>
      <c r="E514" s="157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264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30.633506493506495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6.4330363636363641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35.739090909090912</v>
      </c>
      <c r="I516" s="90">
        <f>IFERROR(IF($D516="","",VLOOKUP($D516,Cadastro!$C$4:$G$7,5,FALSE())),"")</f>
        <v>0.6</v>
      </c>
      <c r="J516" s="91">
        <f t="shared" si="127"/>
        <v>7.5052090909090907</v>
      </c>
      <c r="K516" s="64">
        <f t="shared" ref="K515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56.161428571428573</v>
      </c>
      <c r="I517" s="90">
        <f>IFERROR(IF($D517="","",VLOOKUP($D517,Cadastro!$C$4:$G$7,5,FALSE())),"")</f>
        <v>0.6</v>
      </c>
      <c r="J517" s="91">
        <f t="shared" si="127"/>
        <v>11.793899999999999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364</v>
      </c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20.422337662337661</v>
      </c>
      <c r="I518" s="90">
        <f>IFERROR(IF($D518="","",VLOOKUP($D518,Cadastro!$C$4:$G$7,5,FALSE())),"")</f>
        <v>0.6</v>
      </c>
      <c r="J518" s="91">
        <f t="shared" si="127"/>
        <v>4.2886909090909082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35.739090909090912</v>
      </c>
      <c r="I519" s="90">
        <f>IFERROR(IF($D519="","",VLOOKUP($D519,Cadastro!$C$4:$G$7,5,FALSE())),"")</f>
        <v>0.6</v>
      </c>
      <c r="J519" s="91">
        <f t="shared" si="127"/>
        <v>7.5052090909090907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51.055844155844156</v>
      </c>
      <c r="I520" s="90">
        <f>IFERROR(IF($D520="","",VLOOKUP($D520,Cadastro!$C$4:$G$7,5,FALSE())),"")</f>
        <v>0.6</v>
      </c>
      <c r="J520" s="91">
        <f t="shared" si="127"/>
        <v>10.721727272727271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259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35.739090909090912</v>
      </c>
      <c r="I521" s="90">
        <f>IFERROR(IF($D521="","",VLOOKUP($D521,Cadastro!$C$4:$G$7,5,FALSE())),"")</f>
        <v>0.6</v>
      </c>
      <c r="J521" s="91">
        <f t="shared" si="127"/>
        <v>7.5052090909090907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259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10.21116883116883</v>
      </c>
      <c r="I522" s="90">
        <f>IFERROR(IF($D522="","",VLOOKUP($D522,Cadastro!$C$4:$G$7,5,FALSE())),"")</f>
        <v>0.6</v>
      </c>
      <c r="J522" s="91">
        <f t="shared" si="127"/>
        <v>2.1443454545454541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259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30.633506493506495</v>
      </c>
      <c r="I523" s="90">
        <f>IFERROR(IF($D523="","",VLOOKUP($D523,Cadastro!$C$4:$G$7,5,FALSE())),"")</f>
        <v>0.6</v>
      </c>
      <c r="J523" s="91">
        <f t="shared" si="127"/>
        <v>6.4330363636363641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259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25.527922077922078</v>
      </c>
      <c r="I524" s="90">
        <f>IFERROR(IF($D524="","",VLOOKUP($D524,Cadastro!$C$4:$G$7,5,FALSE())),"")</f>
        <v>0.6</v>
      </c>
      <c r="J524" s="91">
        <f t="shared" si="127"/>
        <v>5.3608636363636357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259</v>
      </c>
      <c r="F525" s="88">
        <f>IFERROR(IF($D525="","",VLOOKUP($D525,Cadastro!$C$4:$E$7,3,FALSE())),"")</f>
        <v>0.35</v>
      </c>
      <c r="G525" s="89">
        <v>10</v>
      </c>
      <c r="H525" s="88">
        <f>IFERROR(IF($G525="","",$G525*$S$527/$G$527/Cadastro!$E$33),"")</f>
        <v>51.055844155844156</v>
      </c>
      <c r="I525" s="90">
        <f>IFERROR(IF($D525="","",VLOOKUP($D525,Cadastro!$C$4:$G$7,5,FALSE())),"")</f>
        <v>0.6</v>
      </c>
      <c r="J525" s="91">
        <f t="shared" si="127"/>
        <v>10.721727272727271</v>
      </c>
      <c r="K525" s="69">
        <f t="shared" si="130"/>
        <v>50</v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259</v>
      </c>
      <c r="F526" s="92">
        <f>IFERROR(IF($D526="","",VLOOKUP($D526,Cadastro!$C$4:$E$7,3,FALSE())),"")</f>
        <v>0.35</v>
      </c>
      <c r="G526" s="89">
        <v>2</v>
      </c>
      <c r="H526" s="92">
        <f>IFERROR(IF($G526="","",$G526*$S$527/$G$527/Cadastro!$E$33),"")</f>
        <v>10.21116883116883</v>
      </c>
      <c r="I526" s="93">
        <f>IFERROR(IF($D526="","",VLOOKUP($D526,Cadastro!$C$4:$G$7,5,FALSE())),"")</f>
        <v>0.6</v>
      </c>
      <c r="J526" s="94">
        <f t="shared" si="127"/>
        <v>2.1443454545454541</v>
      </c>
      <c r="K526" s="64">
        <f t="shared" si="130"/>
        <v>10</v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56" t="s">
        <v>260</v>
      </c>
      <c r="B527" s="156"/>
      <c r="C527" s="156"/>
      <c r="D527" s="156"/>
      <c r="E527" s="156"/>
      <c r="F527" s="95"/>
      <c r="G527" s="96">
        <f>SUM(G515:G526)</f>
        <v>77</v>
      </c>
      <c r="H527" s="95">
        <f>IFERROR(SUM(H515:H526),"")</f>
        <v>393.13000000000005</v>
      </c>
      <c r="I527" s="97"/>
      <c r="J527" s="98">
        <f>IFERROR(SUM(J515:J526),"")</f>
        <v>82.557299999999998</v>
      </c>
      <c r="K527" s="2">
        <f>SUM(K515:K526)</f>
        <v>349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261</v>
      </c>
      <c r="S527" s="74">
        <v>393130</v>
      </c>
      <c r="T527" s="99">
        <f>IFERROR(J527,"")</f>
        <v>82.557299999999998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274</v>
      </c>
      <c r="F528" s="101">
        <f>IFERROR(IF($D528="","",VLOOKUP($D528,Cadastro!$C$4:$E$7,3,FALSE())),"")</f>
        <v>0.35</v>
      </c>
      <c r="G528" s="89">
        <v>19</v>
      </c>
      <c r="H528" s="101">
        <f>IFERROR(IF($G528="","",$G528*$S$540/$G$540/Cadastro!$E$33),"")</f>
        <v>0</v>
      </c>
      <c r="I528" s="102">
        <f>IFERROR(IF($D528="","",VLOOKUP($D528,Cadastro!$C$4:$G$7,5,FALSE())),"")</f>
        <v>0.6</v>
      </c>
      <c r="J528" s="103">
        <f t="shared" ref="J528:J539" si="131">IFERROR(IF($H528="","",$H528*$F528*$I528),"")</f>
        <v>0</v>
      </c>
      <c r="K528" s="64">
        <f t="shared" ref="K528:K539" si="132">IF(G528="","",IF(E528="PC 17",G528*4.2,IF(E528="PC 19",G528*5,IF(E528="CB",G528*24,""))))</f>
        <v>79.8</v>
      </c>
      <c r="L528" s="61" t="s">
        <v>29</v>
      </c>
      <c r="M528" s="61" t="s">
        <v>56</v>
      </c>
      <c r="N528" s="61" t="s">
        <v>71</v>
      </c>
      <c r="O528" s="65">
        <v>0.86111111111111116</v>
      </c>
      <c r="P528" s="65">
        <v>0.86319444444444449</v>
      </c>
      <c r="Q528" s="66">
        <f t="shared" ref="Q528:Q539" ca="1" si="133">IFERROR(IF(O528="","",IF(P528="",MOD(NOW()-O528,1),IF(P528&gt;=O528,P528-O528,P528+1-O528))),"")</f>
        <v>2.0833333333333259E-3</v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 t="s">
        <v>38</v>
      </c>
      <c r="D529" s="62" t="s">
        <v>39</v>
      </c>
      <c r="E529" s="87"/>
      <c r="F529" s="88">
        <f>IFERROR(IF($D529="","",VLOOKUP($D529,Cadastro!$C$4:$E$7,3,FALSE())),"")</f>
        <v>0.24</v>
      </c>
      <c r="G529" s="89"/>
      <c r="H529" s="88" t="str">
        <f>IFERROR(IF($G529="","",$G529*$S$540/$G$540/Cadastro!$E$33),"")</f>
        <v/>
      </c>
      <c r="I529" s="90">
        <f>IFERROR(IF($D529="","",VLOOKUP($D529,Cadastro!$C$4:$G$7,5,FALSE())),"")</f>
        <v>0.6</v>
      </c>
      <c r="J529" s="91" t="str">
        <f t="shared" si="131"/>
        <v/>
      </c>
      <c r="K529" s="69" t="str">
        <f t="shared" si="132"/>
        <v/>
      </c>
      <c r="L529" s="70"/>
      <c r="M529" s="70"/>
      <c r="N529" s="70"/>
      <c r="O529" s="65"/>
      <c r="P529" s="65"/>
      <c r="Q529" s="71" t="str">
        <f t="shared" ca="1" si="133"/>
        <v/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 t="s">
        <v>38</v>
      </c>
      <c r="D530" s="62" t="s">
        <v>31</v>
      </c>
      <c r="E530" s="87"/>
      <c r="F530" s="88">
        <f>IFERROR(IF($D530="","",VLOOKUP($D530,Cadastro!$C$4:$E$7,3,FALSE())),"")</f>
        <v>0.35</v>
      </c>
      <c r="G530" s="89"/>
      <c r="H530" s="88" t="str">
        <f>IFERROR(IF($G530="","",$G530*$S$540/$G$540/Cadastro!$E$33),"")</f>
        <v/>
      </c>
      <c r="I530" s="90">
        <f>IFERROR(IF($D530="","",VLOOKUP($D530,Cadastro!$C$4:$G$7,5,FALSE())),"")</f>
        <v>0.6</v>
      </c>
      <c r="J530" s="91" t="str">
        <f t="shared" si="131"/>
        <v/>
      </c>
      <c r="K530" s="64" t="str">
        <f t="shared" si="132"/>
        <v/>
      </c>
      <c r="L530" s="61"/>
      <c r="M530" s="61"/>
      <c r="N530" s="61"/>
      <c r="O530" s="65"/>
      <c r="P530" s="65"/>
      <c r="Q530" s="66" t="str">
        <f t="shared" ca="1" si="133"/>
        <v/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 t="s">
        <v>38</v>
      </c>
      <c r="D531" s="62" t="s">
        <v>31</v>
      </c>
      <c r="E531" s="87"/>
      <c r="F531" s="88">
        <f>IFERROR(IF($D531="","",VLOOKUP($D531,Cadastro!$C$4:$E$7,3,FALSE())),"")</f>
        <v>0.35</v>
      </c>
      <c r="G531" s="89"/>
      <c r="H531" s="88" t="str">
        <f>IFERROR(IF($G531="","",$G531*$S$540/$G$540/Cadastro!$E$33),"")</f>
        <v/>
      </c>
      <c r="I531" s="90">
        <f>IFERROR(IF($D531="","",VLOOKUP($D531,Cadastro!$C$4:$G$7,5,FALSE())),"")</f>
        <v>0.6</v>
      </c>
      <c r="J531" s="91" t="str">
        <f t="shared" si="131"/>
        <v/>
      </c>
      <c r="K531" s="69" t="str">
        <f t="shared" si="132"/>
        <v/>
      </c>
      <c r="L531" s="70"/>
      <c r="M531" s="70"/>
      <c r="N531" s="70"/>
      <c r="O531" s="65"/>
      <c r="P531" s="65"/>
      <c r="Q531" s="71" t="str">
        <f t="shared" ca="1" si="133"/>
        <v/>
      </c>
      <c r="R531" s="63"/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 t="s">
        <v>38</v>
      </c>
      <c r="D532" s="62" t="s">
        <v>31</v>
      </c>
      <c r="E532" s="87"/>
      <c r="F532" s="88">
        <f>IFERROR(IF($D532="","",VLOOKUP($D532,Cadastro!$C$4:$E$7,3,FALSE())),"")</f>
        <v>0.35</v>
      </c>
      <c r="G532" s="89"/>
      <c r="H532" s="88" t="str">
        <f>IFERROR(IF($G532="","",$G532*$S$540/$G$540/Cadastro!$E$33),"")</f>
        <v/>
      </c>
      <c r="I532" s="90">
        <f>IFERROR(IF($D532="","",VLOOKUP($D532,Cadastro!$C$4:$G$7,5,FALSE())),"")</f>
        <v>0.6</v>
      </c>
      <c r="J532" s="91" t="str">
        <f t="shared" si="131"/>
        <v/>
      </c>
      <c r="K532" s="64" t="str">
        <f t="shared" si="132"/>
        <v/>
      </c>
      <c r="L532" s="61"/>
      <c r="M532" s="61"/>
      <c r="N532" s="61"/>
      <c r="O532" s="65"/>
      <c r="P532" s="65"/>
      <c r="Q532" s="66" t="str">
        <f t="shared" ca="1" si="133"/>
        <v/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 t="s">
        <v>38</v>
      </c>
      <c r="D533" s="62" t="s">
        <v>31</v>
      </c>
      <c r="E533" s="87"/>
      <c r="F533" s="88">
        <f>IFERROR(IF($D533="","",VLOOKUP($D533,Cadastro!$C$4:$E$7,3,FALSE())),"")</f>
        <v>0.35</v>
      </c>
      <c r="G533" s="89"/>
      <c r="H533" s="88" t="str">
        <f>IFERROR(IF($G533="","",$G533*$S$540/$G$540/Cadastro!$E$33),"")</f>
        <v/>
      </c>
      <c r="I533" s="90">
        <f>IFERROR(IF($D533="","",VLOOKUP($D533,Cadastro!$C$4:$G$7,5,FALSE())),"")</f>
        <v>0.6</v>
      </c>
      <c r="J533" s="91" t="str">
        <f t="shared" si="131"/>
        <v/>
      </c>
      <c r="K533" s="69" t="str">
        <f t="shared" si="132"/>
        <v/>
      </c>
      <c r="L533" s="70"/>
      <c r="M533" s="70"/>
      <c r="N533" s="70"/>
      <c r="O533" s="65"/>
      <c r="P533" s="65"/>
      <c r="Q533" s="71" t="str">
        <f t="shared" ca="1" si="133"/>
        <v/>
      </c>
      <c r="R533" s="63"/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 t="s">
        <v>38</v>
      </c>
      <c r="D534" s="62" t="s">
        <v>31</v>
      </c>
      <c r="E534" s="87"/>
      <c r="F534" s="88">
        <f>IFERROR(IF($D534="","",VLOOKUP($D534,Cadastro!$C$4:$E$7,3,FALSE())),"")</f>
        <v>0.35</v>
      </c>
      <c r="G534" s="89"/>
      <c r="H534" s="88" t="str">
        <f>IFERROR(IF($G534="","",$G534*$S$540/$G$540/Cadastro!$E$33),"")</f>
        <v/>
      </c>
      <c r="I534" s="90">
        <f>IFERROR(IF($D534="","",VLOOKUP($D534,Cadastro!$C$4:$G$7,5,FALSE())),"")</f>
        <v>0.6</v>
      </c>
      <c r="J534" s="91" t="str">
        <f t="shared" si="131"/>
        <v/>
      </c>
      <c r="K534" s="64" t="str">
        <f t="shared" si="132"/>
        <v/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 t="s">
        <v>38</v>
      </c>
      <c r="D535" s="62" t="s">
        <v>31</v>
      </c>
      <c r="E535" s="87"/>
      <c r="F535" s="88">
        <f>IFERROR(IF($D535="","",VLOOKUP($D535,Cadastro!$C$4:$E$7,3,FALSE())),"")</f>
        <v>0.35</v>
      </c>
      <c r="G535" s="89"/>
      <c r="H535" s="88" t="str">
        <f>IFERROR(IF($G535="","",$G535*$S$540/$G$540/Cadastro!$E$33),"")</f>
        <v/>
      </c>
      <c r="I535" s="90">
        <f>IFERROR(IF($D535="","",VLOOKUP($D535,Cadastro!$C$4:$G$7,5,FALSE())),"")</f>
        <v>0.6</v>
      </c>
      <c r="J535" s="91" t="str">
        <f t="shared" si="131"/>
        <v/>
      </c>
      <c r="K535" s="69" t="str">
        <f t="shared" si="132"/>
        <v/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 t="s">
        <v>38</v>
      </c>
      <c r="D536" s="62" t="s">
        <v>31</v>
      </c>
      <c r="E536" s="87"/>
      <c r="F536" s="88">
        <f>IFERROR(IF($D536="","",VLOOKUP($D536,Cadastro!$C$4:$E$7,3,FALSE())),"")</f>
        <v>0.35</v>
      </c>
      <c r="G536" s="89"/>
      <c r="H536" s="88" t="str">
        <f>IFERROR(IF($G536="","",$G536*$S$540/$G$540/Cadastro!$E$33),"")</f>
        <v/>
      </c>
      <c r="I536" s="90">
        <f>IFERROR(IF($D536="","",VLOOKUP($D536,Cadastro!$C$4:$G$7,5,FALSE())),"")</f>
        <v>0.6</v>
      </c>
      <c r="J536" s="91" t="str">
        <f t="shared" si="131"/>
        <v/>
      </c>
      <c r="K536" s="64" t="str">
        <f t="shared" si="132"/>
        <v/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 t="s">
        <v>38</v>
      </c>
      <c r="D537" s="62" t="s">
        <v>31</v>
      </c>
      <c r="E537" s="87"/>
      <c r="F537" s="88">
        <f>IFERROR(IF($D537="","",VLOOKUP($D537,Cadastro!$C$4:$E$7,3,FALSE())),"")</f>
        <v>0.35</v>
      </c>
      <c r="G537" s="89"/>
      <c r="H537" s="88" t="str">
        <f>IFERROR(IF($G537="","",$G537*$S$540/$G$540/Cadastro!$E$33),"")</f>
        <v/>
      </c>
      <c r="I537" s="90">
        <f>IFERROR(IF($D537="","",VLOOKUP($D537,Cadastro!$C$4:$G$7,5,FALSE())),"")</f>
        <v>0.6</v>
      </c>
      <c r="J537" s="91" t="str">
        <f t="shared" si="131"/>
        <v/>
      </c>
      <c r="K537" s="69" t="str">
        <f t="shared" si="132"/>
        <v/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 t="s">
        <v>38</v>
      </c>
      <c r="D538" s="62" t="s">
        <v>31</v>
      </c>
      <c r="E538" s="87"/>
      <c r="F538" s="88">
        <f>IFERROR(IF($D538="","",VLOOKUP($D538,Cadastro!$C$4:$E$7,3,FALSE())),"")</f>
        <v>0.35</v>
      </c>
      <c r="G538" s="89"/>
      <c r="H538" s="88" t="str">
        <f>IFERROR(IF($G538="","",$G538*$S$540/$G$540/Cadastro!$E$33),"")</f>
        <v/>
      </c>
      <c r="I538" s="90">
        <f>IFERROR(IF($D538="","",VLOOKUP($D538,Cadastro!$C$4:$G$7,5,FALSE())),"")</f>
        <v>0.6</v>
      </c>
      <c r="J538" s="91" t="str">
        <f t="shared" si="131"/>
        <v/>
      </c>
      <c r="K538" s="64" t="str">
        <f t="shared" si="132"/>
        <v/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 t="s">
        <v>38</v>
      </c>
      <c r="D539" s="62" t="s">
        <v>31</v>
      </c>
      <c r="E539" s="87"/>
      <c r="F539" s="92">
        <f>IFERROR(IF($D539="","",VLOOKUP($D539,Cadastro!$C$4:$E$7,3,FALSE())),"")</f>
        <v>0.35</v>
      </c>
      <c r="G539" s="89"/>
      <c r="H539" s="92" t="str">
        <f>IFERROR(IF($G539="","",$G539*$S$540/$G$540/Cadastro!$E$33),"")</f>
        <v/>
      </c>
      <c r="I539" s="93">
        <f>IFERROR(IF($D539="","",VLOOKUP($D539,Cadastro!$C$4:$G$7,5,FALSE())),"")</f>
        <v>0.6</v>
      </c>
      <c r="J539" s="94" t="str">
        <f t="shared" si="131"/>
        <v/>
      </c>
      <c r="K539" s="69" t="str">
        <f t="shared" si="132"/>
        <v/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6" t="s">
        <v>263</v>
      </c>
      <c r="B540" s="156"/>
      <c r="C540" s="156"/>
      <c r="D540" s="156"/>
      <c r="E540" s="156"/>
      <c r="F540" s="105"/>
      <c r="G540" s="96">
        <f>SUM(G528:G539)</f>
        <v>19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79.8</v>
      </c>
      <c r="L540" s="72"/>
      <c r="M540" s="72"/>
      <c r="N540" s="72"/>
      <c r="O540" s="72"/>
      <c r="P540" s="72"/>
      <c r="Q540" s="73">
        <f ca="1">IFERROR(SUM(Q528:Q539),"")</f>
        <v>2.0833333333333259E-3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7" t="s">
        <v>249</v>
      </c>
      <c r="B541" s="157"/>
      <c r="C541" s="157"/>
      <c r="D541" s="157"/>
      <c r="E541" s="157"/>
      <c r="F541" s="108"/>
      <c r="G541" s="109">
        <f>G527+G540</f>
        <v>96</v>
      </c>
      <c r="H541" s="108">
        <f>IFERROR(H527+H540,"")</f>
        <v>393.13000000000005</v>
      </c>
      <c r="I541" s="110"/>
      <c r="J541" s="111">
        <f>IFERROR(J527+J540,"")</f>
        <v>82.557299999999998</v>
      </c>
      <c r="K541" s="1">
        <f>K527+K540</f>
        <v>428.8</v>
      </c>
      <c r="L541" s="76"/>
      <c r="M541" s="76"/>
      <c r="N541" s="76"/>
      <c r="O541" s="76"/>
      <c r="P541" s="76"/>
      <c r="Q541" s="77">
        <f ca="1">IFERROR(Q527+Q540,"")</f>
        <v>7.0833333333333248E-2</v>
      </c>
      <c r="R541" s="1" t="s">
        <v>264</v>
      </c>
      <c r="S541" s="82">
        <f>IFERROR(S527+S540,"")</f>
        <v>393130</v>
      </c>
      <c r="T541" s="118">
        <f>IFERROR(J541,"")</f>
        <v>82.557299999999998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5">IFERROR(IF($H542="","",$H542*$F542*$I542),"")</f>
        <v/>
      </c>
      <c r="K542" s="64" t="str">
        <f t="shared" ref="K542:K553" si="136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37">IFERROR(IF(O542="","",IF(P542="",MOD(NOW()-O542,1),IF(P542&gt;=O542,P542-O542,P542+1-O542))),"")</f>
        <v/>
      </c>
      <c r="R542" s="63"/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5"/>
        <v/>
      </c>
      <c r="K543" s="69" t="str">
        <f t="shared" si="136"/>
        <v/>
      </c>
      <c r="L543" s="70"/>
      <c r="M543" s="70"/>
      <c r="N543" s="70"/>
      <c r="O543" s="65"/>
      <c r="P543" s="65"/>
      <c r="Q543" s="71" t="str">
        <f t="shared" ca="1" si="137"/>
        <v/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5"/>
        <v/>
      </c>
      <c r="K544" s="64" t="str">
        <f t="shared" si="136"/>
        <v/>
      </c>
      <c r="L544" s="61"/>
      <c r="M544" s="61"/>
      <c r="N544" s="61"/>
      <c r="O544" s="65"/>
      <c r="P544" s="65"/>
      <c r="Q544" s="66" t="str">
        <f t="shared" ca="1" si="137"/>
        <v/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5"/>
        <v/>
      </c>
      <c r="K545" s="69" t="str">
        <f t="shared" si="136"/>
        <v/>
      </c>
      <c r="L545" s="70"/>
      <c r="M545" s="70"/>
      <c r="N545" s="70"/>
      <c r="O545" s="65"/>
      <c r="P545" s="65"/>
      <c r="Q545" s="71" t="str">
        <f t="shared" ca="1" si="137"/>
        <v/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5"/>
        <v/>
      </c>
      <c r="K546" s="64" t="str">
        <f t="shared" si="136"/>
        <v/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5"/>
        <v/>
      </c>
      <c r="K547" s="69" t="str">
        <f t="shared" si="136"/>
        <v/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5"/>
        <v/>
      </c>
      <c r="K548" s="64" t="str">
        <f t="shared" si="136"/>
        <v/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5"/>
        <v/>
      </c>
      <c r="K549" s="69" t="str">
        <f t="shared" si="136"/>
        <v/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5"/>
        <v/>
      </c>
      <c r="K550" s="64" t="str">
        <f t="shared" si="136"/>
        <v/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5"/>
        <v/>
      </c>
      <c r="K551" s="69" t="str">
        <f t="shared" si="136"/>
        <v/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5"/>
        <v/>
      </c>
      <c r="K552" s="64" t="str">
        <f t="shared" si="136"/>
        <v/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5"/>
        <v/>
      </c>
      <c r="K553" s="69" t="str">
        <f t="shared" si="136"/>
        <v/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6" t="s">
        <v>260</v>
      </c>
      <c r="B554" s="156"/>
      <c r="C554" s="156"/>
      <c r="D554" s="156"/>
      <c r="E554" s="156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39">IFERROR(IF($H555="","",$H555*$F555*$I555),"")</f>
        <v/>
      </c>
      <c r="K555" s="69" t="str">
        <f t="shared" ref="K555:K566" si="140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1">IFERROR(IF(O555="","",IF(P555="",MOD(NOW()-O555,1),IF(P555&gt;=O555,P555-O555,P555+1-O555))),"")</f>
        <v/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39"/>
        <v/>
      </c>
      <c r="K556" s="64" t="str">
        <f t="shared" si="140"/>
        <v/>
      </c>
      <c r="L556" s="61"/>
      <c r="M556" s="61"/>
      <c r="N556" s="61"/>
      <c r="O556" s="65"/>
      <c r="P556" s="65"/>
      <c r="Q556" s="66" t="str">
        <f t="shared" ca="1" si="141"/>
        <v/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39"/>
        <v/>
      </c>
      <c r="K557" s="69" t="str">
        <f t="shared" si="140"/>
        <v/>
      </c>
      <c r="L557" s="70"/>
      <c r="M557" s="70"/>
      <c r="N557" s="70"/>
      <c r="O557" s="65"/>
      <c r="P557" s="65"/>
      <c r="Q557" s="71" t="str">
        <f t="shared" ca="1" si="141"/>
        <v/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39"/>
        <v/>
      </c>
      <c r="K558" s="64" t="str">
        <f t="shared" si="140"/>
        <v/>
      </c>
      <c r="L558" s="61"/>
      <c r="M558" s="61"/>
      <c r="N558" s="61"/>
      <c r="O558" s="65"/>
      <c r="P558" s="65"/>
      <c r="Q558" s="66" t="str">
        <f t="shared" ca="1" si="141"/>
        <v/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39"/>
        <v/>
      </c>
      <c r="K559" s="69" t="str">
        <f t="shared" si="140"/>
        <v/>
      </c>
      <c r="L559" s="70"/>
      <c r="M559" s="70"/>
      <c r="N559" s="70"/>
      <c r="O559" s="65"/>
      <c r="P559" s="65"/>
      <c r="Q559" s="71" t="str">
        <f t="shared" ca="1" si="141"/>
        <v/>
      </c>
      <c r="R559" s="63"/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39"/>
        <v/>
      </c>
      <c r="K560" s="64" t="str">
        <f t="shared" si="140"/>
        <v/>
      </c>
      <c r="L560" s="61"/>
      <c r="M560" s="61"/>
      <c r="N560" s="61"/>
      <c r="O560" s="65"/>
      <c r="P560" s="65"/>
      <c r="Q560" s="66" t="str">
        <f t="shared" ca="1" si="141"/>
        <v/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39"/>
        <v/>
      </c>
      <c r="K561" s="69" t="str">
        <f t="shared" si="140"/>
        <v/>
      </c>
      <c r="L561" s="70"/>
      <c r="M561" s="70"/>
      <c r="N561" s="70"/>
      <c r="O561" s="65"/>
      <c r="P561" s="65"/>
      <c r="Q561" s="71" t="str">
        <f t="shared" ca="1" si="141"/>
        <v/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39"/>
        <v/>
      </c>
      <c r="K562" s="64" t="str">
        <f t="shared" si="140"/>
        <v/>
      </c>
      <c r="L562" s="61"/>
      <c r="M562" s="61"/>
      <c r="N562" s="61"/>
      <c r="O562" s="65"/>
      <c r="P562" s="65"/>
      <c r="Q562" s="66" t="str">
        <f t="shared" ca="1" si="141"/>
        <v/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39"/>
        <v/>
      </c>
      <c r="K563" s="69" t="str">
        <f t="shared" si="140"/>
        <v/>
      </c>
      <c r="L563" s="70"/>
      <c r="M563" s="70"/>
      <c r="N563" s="70"/>
      <c r="O563" s="65"/>
      <c r="P563" s="65"/>
      <c r="Q563" s="71" t="str">
        <f t="shared" ca="1" si="141"/>
        <v/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39"/>
        <v/>
      </c>
      <c r="K564" s="64" t="str">
        <f t="shared" si="140"/>
        <v/>
      </c>
      <c r="L564" s="61"/>
      <c r="M564" s="61"/>
      <c r="N564" s="61"/>
      <c r="O564" s="65"/>
      <c r="P564" s="65"/>
      <c r="Q564" s="66" t="str">
        <f t="shared" ca="1" si="141"/>
        <v/>
      </c>
      <c r="R564" s="63"/>
      <c r="S564" s="81"/>
    </row>
    <row r="565" spans="1:20" ht="15" customHeight="1">
      <c r="A565" s="18">
        <v>46255</v>
      </c>
      <c r="B565" s="68">
        <f t="shared" si="142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39"/>
        <v/>
      </c>
      <c r="K565" s="69" t="str">
        <f t="shared" si="140"/>
        <v/>
      </c>
      <c r="L565" s="70"/>
      <c r="M565" s="70"/>
      <c r="N565" s="70"/>
      <c r="O565" s="65"/>
      <c r="P565" s="65"/>
      <c r="Q565" s="71" t="str">
        <f t="shared" ca="1" si="141"/>
        <v/>
      </c>
      <c r="R565" s="63"/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39"/>
        <v/>
      </c>
      <c r="K566" s="64" t="str">
        <f t="shared" si="140"/>
        <v/>
      </c>
      <c r="L566" s="61"/>
      <c r="M566" s="61"/>
      <c r="N566" s="61"/>
      <c r="O566" s="65"/>
      <c r="P566" s="65"/>
      <c r="Q566" s="66" t="str">
        <f t="shared" ca="1" si="141"/>
        <v/>
      </c>
      <c r="R566" s="63"/>
      <c r="S566" s="81"/>
    </row>
    <row r="567" spans="1:20" ht="15.75" customHeight="1">
      <c r="A567" s="156" t="s">
        <v>263</v>
      </c>
      <c r="B567" s="156"/>
      <c r="C567" s="156"/>
      <c r="D567" s="156"/>
      <c r="E567" s="156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7" t="s">
        <v>249</v>
      </c>
      <c r="B568" s="157"/>
      <c r="C568" s="157"/>
      <c r="D568" s="157"/>
      <c r="E568" s="157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3">IFERROR(IF($H569="","",$H569*$F569*$I569),"")</f>
        <v/>
      </c>
      <c r="K569" s="69" t="str">
        <f t="shared" ref="K569:K580" si="144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5">IFERROR(IF(O569="","",IF(P569="",MOD(NOW()-O569,1),IF(P569&gt;=O569,P569-O569,P569+1-O569))),"")</f>
        <v/>
      </c>
      <c r="R569" s="63"/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3"/>
        <v/>
      </c>
      <c r="K570" s="69" t="str">
        <f t="shared" si="144"/>
        <v/>
      </c>
      <c r="L570" s="61"/>
      <c r="M570" s="61"/>
      <c r="N570" s="61"/>
      <c r="O570" s="65"/>
      <c r="P570" s="65"/>
      <c r="Q570" s="66" t="str">
        <f t="shared" ca="1" si="145"/>
        <v/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3"/>
        <v/>
      </c>
      <c r="K571" s="69" t="str">
        <f t="shared" si="144"/>
        <v/>
      </c>
      <c r="L571" s="70"/>
      <c r="M571" s="70"/>
      <c r="N571" s="70"/>
      <c r="O571" s="65"/>
      <c r="P571" s="65"/>
      <c r="Q571" s="71" t="str">
        <f t="shared" ca="1" si="145"/>
        <v/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3"/>
        <v/>
      </c>
      <c r="K572" s="69" t="str">
        <f t="shared" si="144"/>
        <v/>
      </c>
      <c r="L572" s="61"/>
      <c r="M572" s="61"/>
      <c r="N572" s="61"/>
      <c r="O572" s="65"/>
      <c r="P572" s="65"/>
      <c r="Q572" s="66" t="str">
        <f t="shared" ca="1" si="145"/>
        <v/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3"/>
        <v/>
      </c>
      <c r="K573" s="69" t="str">
        <f t="shared" si="144"/>
        <v/>
      </c>
      <c r="L573" s="70"/>
      <c r="M573" s="70"/>
      <c r="N573" s="70"/>
      <c r="O573" s="65"/>
      <c r="P573" s="65"/>
      <c r="Q573" s="71" t="str">
        <f t="shared" ca="1" si="145"/>
        <v/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3"/>
        <v/>
      </c>
      <c r="K574" s="69" t="str">
        <f t="shared" si="144"/>
        <v/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3"/>
        <v/>
      </c>
      <c r="K575" s="69" t="str">
        <f t="shared" si="144"/>
        <v/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3"/>
        <v/>
      </c>
      <c r="K576" s="69" t="str">
        <f t="shared" si="144"/>
        <v/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3"/>
        <v/>
      </c>
      <c r="K577" s="69" t="str">
        <f t="shared" si="144"/>
        <v/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3"/>
        <v/>
      </c>
      <c r="K578" s="69" t="str">
        <f t="shared" si="144"/>
        <v/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3"/>
        <v/>
      </c>
      <c r="K579" s="69" t="str">
        <f t="shared" si="144"/>
        <v/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3"/>
        <v/>
      </c>
      <c r="K580" s="69" t="str">
        <f t="shared" si="144"/>
        <v/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6" t="s">
        <v>260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49">IFERROR(IF(O582="","",IF(P582="",MOD(NOW()-O582,1),IF(P582&gt;=O582,P582-O582,P582+1-O582))),"")</f>
        <v/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47"/>
        <v/>
      </c>
      <c r="K583" s="69" t="str">
        <f t="shared" si="148"/>
        <v/>
      </c>
      <c r="L583" s="70"/>
      <c r="M583" s="70"/>
      <c r="N583" s="70"/>
      <c r="O583" s="65"/>
      <c r="P583" s="65"/>
      <c r="Q583" s="71" t="str">
        <f t="shared" ca="1" si="149"/>
        <v/>
      </c>
      <c r="R583" s="63"/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B590" s="60">
        <f t="shared" si="150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6" t="s">
        <v>263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7" t="s">
        <v>249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6" t="s">
        <v>260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56" t="s">
        <v>263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7" t="s">
        <v>249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6" t="s">
        <v>260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6" t="s">
        <v>263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7" t="s">
        <v>249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6" t="s">
        <v>260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6" t="s">
        <v>263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7" t="s">
        <v>249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6" t="s">
        <v>260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6" t="s">
        <v>263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7" t="s">
        <v>249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6" t="s">
        <v>260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6" t="s">
        <v>263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7" t="s">
        <v>249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6" t="s">
        <v>260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6" t="s">
        <v>263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7" t="s">
        <v>249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6" t="s">
        <v>260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6" t="s">
        <v>263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7" t="s">
        <v>249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6" t="s">
        <v>260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6" t="s">
        <v>263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7" t="s">
        <v>249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6" t="s">
        <v>260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6" t="s">
        <v>263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57" t="s">
        <v>249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FE96791D-8E0B-4717-8F3A-3CA723D3D1F1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132884BB-86D0-43BF-A43A-C7EBDE34B9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F515" xr:uid="{99EA4424-6AA2-49BE-95B1-268F815F2337}">
      <formula1>"PC 17;PC 01"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804086D9-42B2-408A-8A0B-7A228A0534D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FD644130-51BE-48B9-AA26-C664E1CD8C7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3A8C8F99-C5D9-4834-BF7C-4E809F73F0C9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EEB499C4-35EC-4F28-9A2F-BC025C6C187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4309890-414F-487D-BE6B-8618CA1CACC6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tabSelected="1" zoomScale="85" zoomScaleNormal="85" workbookViewId="0">
      <pane ySplit="1" topLeftCell="A517" activePane="bottomLeft" state="frozen"/>
      <selection pane="bottomLeft" activeCell="M528" sqref="M528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296</v>
      </c>
      <c r="I1" s="86" t="s">
        <v>22</v>
      </c>
      <c r="J1" s="86" t="s">
        <v>297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297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6" t="s">
        <v>260</v>
      </c>
      <c r="B14" s="156"/>
      <c r="C14" s="156"/>
      <c r="D14" s="156"/>
      <c r="E14" s="156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261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274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365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304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339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366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367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274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274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6" t="s">
        <v>263</v>
      </c>
      <c r="B27" s="156"/>
      <c r="C27" s="156"/>
      <c r="D27" s="156"/>
      <c r="E27" s="156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261</v>
      </c>
      <c r="S27" s="74">
        <v>491520</v>
      </c>
      <c r="T27" s="99">
        <f>IFERROR(J27,"")</f>
        <v>0</v>
      </c>
    </row>
    <row r="28" spans="1:20" ht="18" customHeight="1">
      <c r="A28" s="157" t="s">
        <v>249</v>
      </c>
      <c r="B28" s="157"/>
      <c r="C28" s="157"/>
      <c r="D28" s="157"/>
      <c r="E28" s="157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264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274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274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274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274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274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274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274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274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274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274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274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6" t="s">
        <v>260</v>
      </c>
      <c r="B41" s="156"/>
      <c r="C41" s="156"/>
      <c r="D41" s="156"/>
      <c r="E41" s="156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261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368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6" t="s">
        <v>263</v>
      </c>
      <c r="B54" s="156"/>
      <c r="C54" s="156"/>
      <c r="D54" s="156"/>
      <c r="E54" s="156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261</v>
      </c>
      <c r="S54" s="74">
        <v>352430</v>
      </c>
      <c r="T54" s="99">
        <f>IFERROR(J54,"")</f>
        <v>0</v>
      </c>
    </row>
    <row r="55" spans="1:20" ht="18" customHeight="1">
      <c r="A55" s="157" t="s">
        <v>249</v>
      </c>
      <c r="B55" s="157"/>
      <c r="C55" s="157"/>
      <c r="D55" s="157"/>
      <c r="E55" s="157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264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369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370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6" t="s">
        <v>260</v>
      </c>
      <c r="B68" s="156"/>
      <c r="C68" s="156"/>
      <c r="D68" s="156"/>
      <c r="E68" s="156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261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230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371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339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6" t="s">
        <v>263</v>
      </c>
      <c r="B81" s="156"/>
      <c r="C81" s="156"/>
      <c r="D81" s="156"/>
      <c r="E81" s="156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261</v>
      </c>
      <c r="S81" s="74">
        <v>612410</v>
      </c>
      <c r="T81" s="99">
        <f>IFERROR(J81,"")</f>
        <v>0</v>
      </c>
    </row>
    <row r="82" spans="1:20" ht="18" customHeight="1">
      <c r="A82" s="157" t="s">
        <v>249</v>
      </c>
      <c r="B82" s="157"/>
      <c r="C82" s="157"/>
      <c r="D82" s="157"/>
      <c r="E82" s="157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264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6" t="s">
        <v>260</v>
      </c>
      <c r="B95" s="156"/>
      <c r="C95" s="156"/>
      <c r="D95" s="156"/>
      <c r="E95" s="156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261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339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6" t="s">
        <v>263</v>
      </c>
      <c r="B108" s="156"/>
      <c r="C108" s="156"/>
      <c r="D108" s="156"/>
      <c r="E108" s="156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261</v>
      </c>
      <c r="S108" s="74">
        <v>956070</v>
      </c>
      <c r="T108" s="99">
        <f>IFERROR(J108,"")</f>
        <v>0</v>
      </c>
    </row>
    <row r="109" spans="1:20" ht="18" customHeight="1">
      <c r="A109" s="157" t="s">
        <v>249</v>
      </c>
      <c r="B109" s="157"/>
      <c r="C109" s="157"/>
      <c r="D109" s="157"/>
      <c r="E109" s="157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264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230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235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235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372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6" t="s">
        <v>260</v>
      </c>
      <c r="B122" s="156"/>
      <c r="C122" s="156"/>
      <c r="D122" s="156"/>
      <c r="E122" s="156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261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373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307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339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6" t="s">
        <v>263</v>
      </c>
      <c r="B135" s="156"/>
      <c r="C135" s="156"/>
      <c r="D135" s="156"/>
      <c r="E135" s="156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261</v>
      </c>
      <c r="S135" s="74">
        <v>912240</v>
      </c>
      <c r="T135" s="99">
        <f>IFERROR(J135,"")</f>
        <v>0</v>
      </c>
    </row>
    <row r="136" spans="1:22" ht="18" customHeight="1">
      <c r="A136" s="157" t="s">
        <v>249</v>
      </c>
      <c r="B136" s="157"/>
      <c r="C136" s="157"/>
      <c r="D136" s="157"/>
      <c r="E136" s="157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264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374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375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315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260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261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376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377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6" t="s">
        <v>263</v>
      </c>
      <c r="B162" s="156"/>
      <c r="C162" s="156"/>
      <c r="D162" s="156"/>
      <c r="E162" s="156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261</v>
      </c>
      <c r="S162" s="74">
        <v>573230</v>
      </c>
      <c r="T162" s="99">
        <f>IFERROR(J162,"")</f>
        <v>0</v>
      </c>
    </row>
    <row r="163" spans="1:20" ht="18" customHeight="1">
      <c r="A163" s="157" t="s">
        <v>249</v>
      </c>
      <c r="B163" s="157"/>
      <c r="C163" s="157"/>
      <c r="D163" s="157"/>
      <c r="E163" s="157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264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378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6" t="s">
        <v>260</v>
      </c>
      <c r="B176" s="156"/>
      <c r="C176" s="156"/>
      <c r="D176" s="156"/>
      <c r="E176" s="156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261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379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6" t="s">
        <v>263</v>
      </c>
      <c r="B189" s="156"/>
      <c r="C189" s="156"/>
      <c r="D189" s="156"/>
      <c r="E189" s="156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261</v>
      </c>
      <c r="S189" s="74">
        <v>692750</v>
      </c>
      <c r="T189" s="99">
        <f>IFERROR(J189,"")</f>
        <v>0</v>
      </c>
    </row>
    <row r="190" spans="1:20" ht="18" customHeight="1">
      <c r="A190" s="157" t="s">
        <v>249</v>
      </c>
      <c r="B190" s="157"/>
      <c r="C190" s="157"/>
      <c r="D190" s="157"/>
      <c r="E190" s="157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264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380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6" t="s">
        <v>260</v>
      </c>
      <c r="B203" s="156"/>
      <c r="C203" s="156"/>
      <c r="D203" s="156"/>
      <c r="E203" s="156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261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381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382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383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6" t="s">
        <v>263</v>
      </c>
      <c r="B216" s="156"/>
      <c r="C216" s="156"/>
      <c r="D216" s="156"/>
      <c r="E216" s="156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261</v>
      </c>
      <c r="S216" s="74">
        <v>607180</v>
      </c>
      <c r="T216" s="99">
        <f>IFERROR(J216,"")</f>
        <v>0</v>
      </c>
    </row>
    <row r="217" spans="1:20" ht="18" customHeight="1">
      <c r="A217" s="157" t="s">
        <v>249</v>
      </c>
      <c r="B217" s="157"/>
      <c r="C217" s="157"/>
      <c r="D217" s="157"/>
      <c r="E217" s="157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264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384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385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6" t="s">
        <v>260</v>
      </c>
      <c r="B230" s="156"/>
      <c r="C230" s="156"/>
      <c r="D230" s="156"/>
      <c r="E230" s="156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261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386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387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6" t="s">
        <v>263</v>
      </c>
      <c r="B243" s="156"/>
      <c r="C243" s="156"/>
      <c r="D243" s="156"/>
      <c r="E243" s="156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261</v>
      </c>
      <c r="S243" s="74">
        <v>795250</v>
      </c>
      <c r="T243" s="99">
        <f>IFERROR(J243,"")</f>
        <v>0</v>
      </c>
    </row>
    <row r="244" spans="1:20" ht="18" customHeight="1">
      <c r="A244" s="157" t="s">
        <v>249</v>
      </c>
      <c r="B244" s="157"/>
      <c r="C244" s="157"/>
      <c r="D244" s="157"/>
      <c r="E244" s="157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264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 t="s">
        <v>284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388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6" t="s">
        <v>260</v>
      </c>
      <c r="B257" s="156"/>
      <c r="C257" s="156"/>
      <c r="D257" s="156"/>
      <c r="E257" s="156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261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274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274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274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274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274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274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274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274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274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274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274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274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6" t="s">
        <v>263</v>
      </c>
      <c r="B270" s="156"/>
      <c r="C270" s="156"/>
      <c r="D270" s="156"/>
      <c r="E270" s="156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261</v>
      </c>
      <c r="S270" s="74">
        <v>683360</v>
      </c>
      <c r="T270" s="99">
        <f>IFERROR(J270,"")</f>
        <v>0</v>
      </c>
    </row>
    <row r="271" spans="1:20" ht="18" customHeight="1">
      <c r="A271" s="157" t="s">
        <v>249</v>
      </c>
      <c r="B271" s="157"/>
      <c r="C271" s="157"/>
      <c r="D271" s="157"/>
      <c r="E271" s="157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264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274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6" t="s">
        <v>260</v>
      </c>
      <c r="B284" s="156"/>
      <c r="C284" s="156"/>
      <c r="D284" s="156"/>
      <c r="E284" s="156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261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6" t="s">
        <v>263</v>
      </c>
      <c r="B297" s="156"/>
      <c r="C297" s="156"/>
      <c r="D297" s="156"/>
      <c r="E297" s="156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261</v>
      </c>
      <c r="S297" s="74">
        <v>904710</v>
      </c>
      <c r="T297" s="99">
        <f>IFERROR(J297,"")</f>
        <v>0</v>
      </c>
    </row>
    <row r="298" spans="1:20" ht="18" customHeight="1">
      <c r="A298" s="157" t="s">
        <v>249</v>
      </c>
      <c r="B298" s="157"/>
      <c r="C298" s="157"/>
      <c r="D298" s="157"/>
      <c r="E298" s="157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264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6" t="s">
        <v>260</v>
      </c>
      <c r="B311" s="156"/>
      <c r="C311" s="156"/>
      <c r="D311" s="156"/>
      <c r="E311" s="156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261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6" t="s">
        <v>263</v>
      </c>
      <c r="B324" s="156"/>
      <c r="C324" s="156"/>
      <c r="D324" s="156"/>
      <c r="E324" s="156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261</v>
      </c>
      <c r="S324" s="74">
        <v>1049720</v>
      </c>
      <c r="T324" s="99">
        <f>IFERROR(J324,"")</f>
        <v>151.15967999999998</v>
      </c>
    </row>
    <row r="325" spans="1:20" ht="18" customHeight="1">
      <c r="A325" s="157" t="s">
        <v>249</v>
      </c>
      <c r="B325" s="157"/>
      <c r="C325" s="157"/>
      <c r="D325" s="157"/>
      <c r="E325" s="157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264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274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6" t="s">
        <v>260</v>
      </c>
      <c r="B338" s="156"/>
      <c r="C338" s="156"/>
      <c r="D338" s="156"/>
      <c r="E338" s="156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261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389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390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6" t="s">
        <v>263</v>
      </c>
      <c r="B351" s="156"/>
      <c r="C351" s="156"/>
      <c r="D351" s="156"/>
      <c r="E351" s="156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261</v>
      </c>
      <c r="S351" s="74">
        <v>1058130</v>
      </c>
      <c r="T351" s="99">
        <f>IFERROR(J351,"")</f>
        <v>222.20729999999995</v>
      </c>
    </row>
    <row r="352" spans="1:20" ht="18" customHeight="1">
      <c r="A352" s="157" t="s">
        <v>249</v>
      </c>
      <c r="B352" s="157"/>
      <c r="C352" s="157"/>
      <c r="D352" s="157"/>
      <c r="E352" s="157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264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391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392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260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261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393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6" t="s">
        <v>263</v>
      </c>
      <c r="B378" s="156"/>
      <c r="C378" s="156"/>
      <c r="D378" s="156"/>
      <c r="E378" s="156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261</v>
      </c>
      <c r="S378" s="74">
        <v>1137080</v>
      </c>
      <c r="T378" s="99">
        <f>IFERROR(J378,"")</f>
        <v>238.78679999999994</v>
      </c>
    </row>
    <row r="379" spans="1:20" ht="18" customHeight="1">
      <c r="A379" s="157" t="s">
        <v>249</v>
      </c>
      <c r="B379" s="157"/>
      <c r="C379" s="157"/>
      <c r="D379" s="157"/>
      <c r="E379" s="157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264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274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329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394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6" t="s">
        <v>260</v>
      </c>
      <c r="B392" s="156"/>
      <c r="C392" s="156"/>
      <c r="D392" s="156"/>
      <c r="E392" s="156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261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230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395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6" t="s">
        <v>263</v>
      </c>
      <c r="B405" s="156"/>
      <c r="C405" s="156"/>
      <c r="D405" s="156"/>
      <c r="E405" s="156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261</v>
      </c>
      <c r="S405" s="74">
        <v>989450</v>
      </c>
      <c r="T405" s="99">
        <f>IFERROR(J405,"")</f>
        <v>195.72390675675675</v>
      </c>
    </row>
    <row r="406" spans="1:20" ht="18" customHeight="1">
      <c r="A406" s="157" t="s">
        <v>249</v>
      </c>
      <c r="B406" s="157"/>
      <c r="C406" s="157"/>
      <c r="D406" s="157"/>
      <c r="E406" s="157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264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237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396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6" t="s">
        <v>260</v>
      </c>
      <c r="B419" s="156"/>
      <c r="C419" s="156"/>
      <c r="D419" s="156"/>
      <c r="E419" s="156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261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397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6" t="s">
        <v>263</v>
      </c>
      <c r="B432" s="156"/>
      <c r="C432" s="156"/>
      <c r="D432" s="156"/>
      <c r="E432" s="156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261</v>
      </c>
      <c r="S432" s="74">
        <v>766030</v>
      </c>
      <c r="T432" s="99">
        <f>IFERROR(J432,"")</f>
        <v>110.30832000000001</v>
      </c>
    </row>
    <row r="433" spans="1:21" ht="18" customHeight="1">
      <c r="A433" s="157" t="s">
        <v>249</v>
      </c>
      <c r="B433" s="157"/>
      <c r="C433" s="157"/>
      <c r="D433" s="157"/>
      <c r="E433" s="157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264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274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6" t="s">
        <v>260</v>
      </c>
      <c r="B446" s="156"/>
      <c r="C446" s="156"/>
      <c r="D446" s="156"/>
      <c r="E446" s="156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261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398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392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6" t="s">
        <v>263</v>
      </c>
      <c r="B459" s="156"/>
      <c r="C459" s="156"/>
      <c r="D459" s="156"/>
      <c r="E459" s="156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261</v>
      </c>
      <c r="S459" s="74">
        <v>1024280</v>
      </c>
      <c r="T459" s="99">
        <f>IFERROR(J459,"")</f>
        <v>202.88866044052861</v>
      </c>
    </row>
    <row r="460" spans="1:20" ht="18" customHeight="1">
      <c r="A460" s="157" t="s">
        <v>249</v>
      </c>
      <c r="B460" s="157"/>
      <c r="C460" s="157"/>
      <c r="D460" s="157"/>
      <c r="E460" s="157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264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6" t="s">
        <v>260</v>
      </c>
      <c r="B473" s="156"/>
      <c r="C473" s="156"/>
      <c r="D473" s="156"/>
      <c r="E473" s="156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261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399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361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6" t="s">
        <v>263</v>
      </c>
      <c r="B486" s="156"/>
      <c r="C486" s="156"/>
      <c r="D486" s="156"/>
      <c r="E486" s="156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261</v>
      </c>
      <c r="S486" s="74">
        <v>616050</v>
      </c>
      <c r="T486" s="99">
        <f>IFERROR(J486,"")</f>
        <v>88.711199999999977</v>
      </c>
    </row>
    <row r="487" spans="1:20" ht="18" customHeight="1">
      <c r="A487" s="157" t="s">
        <v>249</v>
      </c>
      <c r="B487" s="157"/>
      <c r="C487" s="157"/>
      <c r="D487" s="157"/>
      <c r="E487" s="157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264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6" t="s">
        <v>260</v>
      </c>
      <c r="B500" s="156"/>
      <c r="C500" s="156"/>
      <c r="D500" s="156"/>
      <c r="E500" s="156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261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139</v>
      </c>
      <c r="N502" s="61" t="s">
        <v>209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173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400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274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6" t="s">
        <v>263</v>
      </c>
      <c r="B513" s="156"/>
      <c r="C513" s="156"/>
      <c r="D513" s="156"/>
      <c r="E513" s="156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261</v>
      </c>
      <c r="S513" s="74">
        <v>727700</v>
      </c>
      <c r="T513" s="99">
        <f>IFERROR(J513,"")</f>
        <v>123.69990375</v>
      </c>
    </row>
    <row r="514" spans="1:20" ht="18" customHeight="1">
      <c r="A514" s="157" t="s">
        <v>249</v>
      </c>
      <c r="B514" s="157"/>
      <c r="C514" s="157"/>
      <c r="D514" s="157"/>
      <c r="E514" s="157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264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63.554162436548218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13.346374111675125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107.55319796954315</v>
      </c>
      <c r="I516" s="90">
        <f>IFERROR(IF($D516="","",VLOOKUP($D516,Cadastro!$C$4:$G$7,5,FALSE())),"")</f>
        <v>0.6</v>
      </c>
      <c r="J516" s="91">
        <f t="shared" si="130"/>
        <v>22.586171573604059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92.886852791878169</v>
      </c>
      <c r="I517" s="90">
        <f>IFERROR(IF($D517="","",VLOOKUP($D517,Cadastro!$C$4:$G$7,5,FALSE())),"")</f>
        <v>0.6</v>
      </c>
      <c r="J517" s="91">
        <f t="shared" si="130"/>
        <v>19.506239086294414</v>
      </c>
      <c r="K517" s="69">
        <f t="shared" si="131"/>
        <v>79.8</v>
      </c>
      <c r="L517" s="70" t="s">
        <v>28</v>
      </c>
      <c r="M517" s="70" t="s">
        <v>173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97.775634517766491</v>
      </c>
      <c r="I518" s="90">
        <f>IFERROR(IF($D518="","",VLOOKUP($D518,Cadastro!$C$4:$G$7,5,FALSE())),"")</f>
        <v>0.6</v>
      </c>
      <c r="J518" s="91">
        <f t="shared" si="130"/>
        <v>20.532883248730958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63.554162436548218</v>
      </c>
      <c r="I519" s="90">
        <f>IFERROR(IF($D519="","",VLOOKUP($D519,Cadastro!$C$4:$G$7,5,FALSE())),"")</f>
        <v>0.6</v>
      </c>
      <c r="J519" s="91">
        <f t="shared" si="130"/>
        <v>13.346374111675125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87.998071065989848</v>
      </c>
      <c r="I520" s="90">
        <f>IFERROR(IF($D520="","",VLOOKUP($D520,Cadastro!$C$4:$G$7,5,FALSE())),"")</f>
        <v>0.6</v>
      </c>
      <c r="J520" s="91">
        <f t="shared" si="130"/>
        <v>18.479594923857867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259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83.109289340101512</v>
      </c>
      <c r="I521" s="90">
        <f>IFERROR(IF($D521="","",VLOOKUP($D521,Cadastro!$C$4:$G$7,5,FALSE())),"")</f>
        <v>0.6</v>
      </c>
      <c r="J521" s="91">
        <f t="shared" si="130"/>
        <v>17.452950761421317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259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92.886852791878169</v>
      </c>
      <c r="I522" s="90">
        <f>IFERROR(IF($D522="","",VLOOKUP($D522,Cadastro!$C$4:$G$7,5,FALSE())),"")</f>
        <v>0.6</v>
      </c>
      <c r="J522" s="91">
        <f t="shared" si="130"/>
        <v>19.506239086294414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259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73.331725888324868</v>
      </c>
      <c r="I523" s="90">
        <f>IFERROR(IF($D523="","",VLOOKUP($D523,Cadastro!$C$4:$G$7,5,FALSE())),"")</f>
        <v>0.6</v>
      </c>
      <c r="J523" s="91">
        <f t="shared" si="130"/>
        <v>15.399662436548221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259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73.331725888324868</v>
      </c>
      <c r="I524" s="90">
        <f>IFERROR(IF($D524="","",VLOOKUP($D524,Cadastro!$C$4:$G$7,5,FALSE())),"")</f>
        <v>0.6</v>
      </c>
      <c r="J524" s="91">
        <f t="shared" si="130"/>
        <v>15.399662436548221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259</v>
      </c>
      <c r="F525" s="88">
        <f>IFERROR(IF($D525="","",VLOOKUP($D525,Cadastro!$C$4:$E$7,3,FALSE())),"")</f>
        <v>0.35</v>
      </c>
      <c r="G525" s="89">
        <v>15</v>
      </c>
      <c r="H525" s="88">
        <f>IFERROR(IF($G525="","",$G525*$S$527/$G$527/Cadastro!$E$33),"")</f>
        <v>73.331725888324868</v>
      </c>
      <c r="I525" s="90">
        <f>IFERROR(IF($D525="","",VLOOKUP($D525,Cadastro!$C$4:$G$7,5,FALSE())),"")</f>
        <v>0.6</v>
      </c>
      <c r="J525" s="91">
        <f t="shared" si="130"/>
        <v>15.399662436548221</v>
      </c>
      <c r="K525" s="69">
        <f t="shared" si="131"/>
        <v>75</v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259</v>
      </c>
      <c r="F526" s="92">
        <f>IFERROR(IF($D526="","",VLOOKUP($D526,Cadastro!$C$4:$E$7,3,FALSE())),"")</f>
        <v>0.35</v>
      </c>
      <c r="G526" s="89">
        <v>11</v>
      </c>
      <c r="H526" s="92">
        <f>IFERROR(IF($G526="","",$G526*$S$527/$G$527/Cadastro!$E$33),"")</f>
        <v>53.776598984771574</v>
      </c>
      <c r="I526" s="93">
        <f>IFERROR(IF($D526="","",VLOOKUP($D526,Cadastro!$C$4:$G$7,5,FALSE())),"")</f>
        <v>0.6</v>
      </c>
      <c r="J526" s="94">
        <f t="shared" si="130"/>
        <v>11.293085786802029</v>
      </c>
      <c r="K526" s="64">
        <f t="shared" si="131"/>
        <v>55</v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6" t="s">
        <v>260</v>
      </c>
      <c r="B527" s="156"/>
      <c r="C527" s="156"/>
      <c r="D527" s="156"/>
      <c r="E527" s="156"/>
      <c r="F527" s="95"/>
      <c r="G527" s="96">
        <f>SUM(G515:G526)</f>
        <v>197</v>
      </c>
      <c r="H527" s="95">
        <f>IFERROR(SUM(H515:H526),"")</f>
        <v>963.08999999999992</v>
      </c>
      <c r="I527" s="97"/>
      <c r="J527" s="98">
        <f>IFERROR(SUM(J515:J526),"")</f>
        <v>202.24889999999996</v>
      </c>
      <c r="K527" s="2">
        <f>SUM(K515:K526)</f>
        <v>901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261</v>
      </c>
      <c r="S527" s="74">
        <v>963090</v>
      </c>
      <c r="T527" s="99">
        <f>IFERROR(J527,"")</f>
        <v>202.24889999999996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274</v>
      </c>
      <c r="F528" s="101">
        <f>IFERROR(IF($D528="","",VLOOKUP($D528,Cadastro!$C$4:$E$7,3,FALSE())),"")</f>
        <v>0.35</v>
      </c>
      <c r="G528" s="89">
        <v>22</v>
      </c>
      <c r="H528" s="101">
        <f>IFERROR(IF($G528="","",$G528*$S$540/$G$540/Cadastro!$E$33),"")</f>
        <v>0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0</v>
      </c>
      <c r="K528" s="64">
        <f t="shared" ref="K528:K539" si="135">IF(G528="","",IF(E528="PC 17",G528*4.2,IF(E528="PC 19",G528*5,IF(E528="CB",G528*24,""))))</f>
        <v>92.4</v>
      </c>
      <c r="L528" s="61" t="s">
        <v>29</v>
      </c>
      <c r="M528" s="61"/>
      <c r="N528" s="61"/>
      <c r="O528" s="65">
        <v>0.86388888888888893</v>
      </c>
      <c r="P528" s="65">
        <v>0.86597222222222225</v>
      </c>
      <c r="Q528" s="66">
        <f t="shared" ref="Q528:Q539" ca="1" si="136">IFERROR(IF(O528="","",IF(P528="",MOD(NOW()-O528,1),IF(P528&gt;=O528,P528-O528,P528+1-O528))),"")</f>
        <v>2.0833333333333259E-3</v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274</v>
      </c>
      <c r="F529" s="88">
        <f>IFERROR(IF($D529="","",VLOOKUP($D529,Cadastro!$C$4:$E$7,3,FALSE())),"")</f>
        <v>0.24</v>
      </c>
      <c r="G529" s="89"/>
      <c r="H529" s="88" t="str">
        <f>IFERROR(IF($G529="","",$G529*$S$540/$G$540/Cadastro!$E$33),"")</f>
        <v/>
      </c>
      <c r="I529" s="90">
        <f>IFERROR(IF($D529="","",VLOOKUP($D529,Cadastro!$C$4:$G$7,5,FALSE())),"")</f>
        <v>0.6</v>
      </c>
      <c r="J529" s="91" t="str">
        <f t="shared" si="134"/>
        <v/>
      </c>
      <c r="K529" s="69" t="str">
        <f t="shared" si="135"/>
        <v/>
      </c>
      <c r="L529" s="70"/>
      <c r="M529" s="70"/>
      <c r="N529" s="70"/>
      <c r="O529" s="65"/>
      <c r="P529" s="65"/>
      <c r="Q529" s="71" t="str">
        <f t="shared" ca="1" si="136"/>
        <v/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31</v>
      </c>
      <c r="E530" s="87" t="s">
        <v>274</v>
      </c>
      <c r="F530" s="88">
        <f>IFERROR(IF($D530="","",VLOOKUP($D530,Cadastro!$C$4:$E$7,3,FALSE())),"")</f>
        <v>0.35</v>
      </c>
      <c r="G530" s="89"/>
      <c r="H530" s="88" t="str">
        <f>IFERROR(IF($G530="","",$G530*$S$540/$G$540/Cadastro!$E$33),"")</f>
        <v/>
      </c>
      <c r="I530" s="90">
        <f>IFERROR(IF($D530="","",VLOOKUP($D530,Cadastro!$C$4:$G$7,5,FALSE())),"")</f>
        <v>0.6</v>
      </c>
      <c r="J530" s="91" t="str">
        <f t="shared" si="134"/>
        <v/>
      </c>
      <c r="K530" s="64" t="str">
        <f t="shared" si="135"/>
        <v/>
      </c>
      <c r="L530" s="61"/>
      <c r="M530" s="61"/>
      <c r="N530" s="61"/>
      <c r="O530" s="65"/>
      <c r="P530" s="65"/>
      <c r="Q530" s="66" t="str">
        <f t="shared" ca="1" si="136"/>
        <v/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31</v>
      </c>
      <c r="E531" s="87"/>
      <c r="F531" s="88">
        <f>IFERROR(IF($D531="","",VLOOKUP($D531,Cadastro!$C$4:$E$7,3,FALSE())),"")</f>
        <v>0.35</v>
      </c>
      <c r="G531" s="89"/>
      <c r="H531" s="88" t="str">
        <f>IFERROR(IF($G531="","",$G531*$S$540/$G$540/Cadastro!$E$33),"")</f>
        <v/>
      </c>
      <c r="I531" s="90">
        <f>IFERROR(IF($D531="","",VLOOKUP($D531,Cadastro!$C$4:$G$7,5,FALSE())),"")</f>
        <v>0.6</v>
      </c>
      <c r="J531" s="91" t="str">
        <f t="shared" si="134"/>
        <v/>
      </c>
      <c r="K531" s="69" t="str">
        <f t="shared" si="135"/>
        <v/>
      </c>
      <c r="L531" s="70"/>
      <c r="M531" s="70"/>
      <c r="N531" s="70"/>
      <c r="O531" s="65"/>
      <c r="P531" s="65"/>
      <c r="Q531" s="71" t="str">
        <f t="shared" ca="1" si="136"/>
        <v/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31</v>
      </c>
      <c r="E532" s="87"/>
      <c r="F532" s="88">
        <f>IFERROR(IF($D532="","",VLOOKUP($D532,Cadastro!$C$4:$E$7,3,FALSE())),"")</f>
        <v>0.35</v>
      </c>
      <c r="G532" s="89"/>
      <c r="H532" s="88" t="str">
        <f>IFERROR(IF($G532="","",$G532*$S$540/$G$540/Cadastro!$E$33),"")</f>
        <v/>
      </c>
      <c r="I532" s="90">
        <f>IFERROR(IF($D532="","",VLOOKUP($D532,Cadastro!$C$4:$G$7,5,FALSE())),"")</f>
        <v>0.6</v>
      </c>
      <c r="J532" s="91" t="str">
        <f t="shared" si="134"/>
        <v/>
      </c>
      <c r="K532" s="64" t="str">
        <f t="shared" si="135"/>
        <v/>
      </c>
      <c r="L532" s="61"/>
      <c r="M532" s="61"/>
      <c r="N532" s="61"/>
      <c r="O532" s="65"/>
      <c r="P532" s="65"/>
      <c r="Q532" s="66" t="str">
        <f t="shared" ca="1" si="136"/>
        <v/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31</v>
      </c>
      <c r="E533" s="87"/>
      <c r="F533" s="88">
        <f>IFERROR(IF($D533="","",VLOOKUP($D533,Cadastro!$C$4:$E$7,3,FALSE())),"")</f>
        <v>0.35</v>
      </c>
      <c r="G533" s="89"/>
      <c r="H533" s="88" t="str">
        <f>IFERROR(IF($G533="","",$G533*$S$540/$G$540/Cadastro!$E$33),"")</f>
        <v/>
      </c>
      <c r="I533" s="90">
        <f>IFERROR(IF($D533="","",VLOOKUP($D533,Cadastro!$C$4:$G$7,5,FALSE())),"")</f>
        <v>0.6</v>
      </c>
      <c r="J533" s="91" t="str">
        <f t="shared" si="134"/>
        <v/>
      </c>
      <c r="K533" s="69" t="str">
        <f t="shared" si="135"/>
        <v/>
      </c>
      <c r="L533" s="70"/>
      <c r="M533" s="70"/>
      <c r="N533" s="70"/>
      <c r="O533" s="65"/>
      <c r="P533" s="65"/>
      <c r="Q533" s="71" t="str">
        <f t="shared" ca="1" si="136"/>
        <v/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31</v>
      </c>
      <c r="E534" s="87"/>
      <c r="F534" s="88">
        <f>IFERROR(IF($D534="","",VLOOKUP($D534,Cadastro!$C$4:$E$7,3,FALSE())),"")</f>
        <v>0.35</v>
      </c>
      <c r="G534" s="89"/>
      <c r="H534" s="88" t="str">
        <f>IFERROR(IF($G534="","",$G534*$S$540/$G$540/Cadastro!$E$33),"")</f>
        <v/>
      </c>
      <c r="I534" s="90">
        <f>IFERROR(IF($D534="","",VLOOKUP($D534,Cadastro!$C$4:$G$7,5,FALSE())),"")</f>
        <v>0.6</v>
      </c>
      <c r="J534" s="91" t="str">
        <f t="shared" si="134"/>
        <v/>
      </c>
      <c r="K534" s="64" t="str">
        <f t="shared" si="135"/>
        <v/>
      </c>
      <c r="L534" s="61"/>
      <c r="M534" s="61"/>
      <c r="N534" s="61"/>
      <c r="O534" s="65"/>
      <c r="P534" s="65"/>
      <c r="Q534" s="66" t="str">
        <f t="shared" ca="1" si="136"/>
        <v/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31</v>
      </c>
      <c r="E535" s="87"/>
      <c r="F535" s="88">
        <f>IFERROR(IF($D535="","",VLOOKUP($D535,Cadastro!$C$4:$E$7,3,FALSE())),"")</f>
        <v>0.35</v>
      </c>
      <c r="G535" s="89"/>
      <c r="H535" s="88" t="str">
        <f>IFERROR(IF($G535="","",$G535*$S$540/$G$540/Cadastro!$E$33),"")</f>
        <v/>
      </c>
      <c r="I535" s="90">
        <f>IFERROR(IF($D535="","",VLOOKUP($D535,Cadastro!$C$4:$G$7,5,FALSE())),"")</f>
        <v>0.6</v>
      </c>
      <c r="J535" s="91" t="str">
        <f t="shared" si="134"/>
        <v/>
      </c>
      <c r="K535" s="69" t="str">
        <f t="shared" si="135"/>
        <v/>
      </c>
      <c r="L535" s="70"/>
      <c r="M535" s="70"/>
      <c r="N535" s="70"/>
      <c r="O535" s="65"/>
      <c r="P535" s="65"/>
      <c r="Q535" s="71" t="str">
        <f t="shared" ca="1" si="136"/>
        <v/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/>
      <c r="F536" s="88">
        <f>IFERROR(IF($D536="","",VLOOKUP($D536,Cadastro!$C$4:$E$7,3,FALSE())),"")</f>
        <v>0.35</v>
      </c>
      <c r="G536" s="89"/>
      <c r="H536" s="88" t="str">
        <f>IFERROR(IF($G536="","",$G536*$S$540/$G$540/Cadastro!$E$33),"")</f>
        <v/>
      </c>
      <c r="I536" s="90">
        <f>IFERROR(IF($D536="","",VLOOKUP($D536,Cadastro!$C$4:$G$7,5,FALSE())),"")</f>
        <v>0.6</v>
      </c>
      <c r="J536" s="91" t="str">
        <f t="shared" si="134"/>
        <v/>
      </c>
      <c r="K536" s="64" t="str">
        <f t="shared" si="135"/>
        <v/>
      </c>
      <c r="L536" s="61"/>
      <c r="M536" s="61"/>
      <c r="N536" s="61"/>
      <c r="O536" s="65"/>
      <c r="P536" s="65"/>
      <c r="Q536" s="66" t="str">
        <f t="shared" ca="1" si="136"/>
        <v/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/>
      <c r="F537" s="88">
        <f>IFERROR(IF($D537="","",VLOOKUP($D537,Cadastro!$C$4:$E$7,3,FALSE())),"")</f>
        <v>0.35</v>
      </c>
      <c r="G537" s="89"/>
      <c r="H537" s="88" t="str">
        <f>IFERROR(IF($G537="","",$G537*$S$540/$G$540/Cadastro!$E$33),"")</f>
        <v/>
      </c>
      <c r="I537" s="90">
        <f>IFERROR(IF($D537="","",VLOOKUP($D537,Cadastro!$C$4:$G$7,5,FALSE())),"")</f>
        <v>0.6</v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/>
      <c r="F538" s="88">
        <f>IFERROR(IF($D538="","",VLOOKUP($D538,Cadastro!$C$4:$E$7,3,FALSE())),"")</f>
        <v>0.35</v>
      </c>
      <c r="G538" s="89"/>
      <c r="H538" s="88" t="str">
        <f>IFERROR(IF($G538="","",$G538*$S$540/$G$540/Cadastro!$E$33),"")</f>
        <v/>
      </c>
      <c r="I538" s="90">
        <f>IFERROR(IF($D538="","",VLOOKUP($D538,Cadastro!$C$4:$G$7,5,FALSE())),"")</f>
        <v>0.6</v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/>
      <c r="F539" s="92">
        <f>IFERROR(IF($D539="","",VLOOKUP($D539,Cadastro!$C$4:$E$7,3,FALSE())),"")</f>
        <v>0.35</v>
      </c>
      <c r="G539" s="89"/>
      <c r="H539" s="92" t="str">
        <f>IFERROR(IF($G539="","",$G539*$S$540/$G$540/Cadastro!$E$33),"")</f>
        <v/>
      </c>
      <c r="I539" s="93">
        <f>IFERROR(IF($D539="","",VLOOKUP($D539,Cadastro!$C$4:$G$7,5,FALSE())),"")</f>
        <v>0.6</v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6" t="s">
        <v>263</v>
      </c>
      <c r="B540" s="156"/>
      <c r="C540" s="156"/>
      <c r="D540" s="156"/>
      <c r="E540" s="156"/>
      <c r="F540" s="105"/>
      <c r="G540" s="96">
        <f>SUM(G528:G539)</f>
        <v>22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92.4</v>
      </c>
      <c r="L540" s="72"/>
      <c r="M540" s="72"/>
      <c r="N540" s="72"/>
      <c r="O540" s="134"/>
      <c r="P540" s="134"/>
      <c r="Q540" s="73">
        <f ca="1">IFERROR(SUM(Q528:Q539),"")</f>
        <v>2.0833333333333259E-3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7" t="s">
        <v>249</v>
      </c>
      <c r="B541" s="157"/>
      <c r="C541" s="157"/>
      <c r="D541" s="157"/>
      <c r="E541" s="157"/>
      <c r="F541" s="108"/>
      <c r="G541" s="109">
        <f>G527+G540</f>
        <v>219</v>
      </c>
      <c r="H541" s="108">
        <f>IFERROR(H527+H540,"")</f>
        <v>963.08999999999992</v>
      </c>
      <c r="I541" s="110"/>
      <c r="J541" s="111">
        <f>IFERROR(J527+J540,"")</f>
        <v>202.24889999999996</v>
      </c>
      <c r="K541" s="1">
        <f>K527+K540</f>
        <v>993.4</v>
      </c>
      <c r="L541" s="76"/>
      <c r="M541" s="76"/>
      <c r="N541" s="76"/>
      <c r="O541" s="135"/>
      <c r="P541" s="135"/>
      <c r="Q541" s="77">
        <f ca="1">IFERROR(Q527+Q540,"")</f>
        <v>5.2083333333333426E-2</v>
      </c>
      <c r="R541" s="1" t="s">
        <v>264</v>
      </c>
      <c r="S541" s="82">
        <f>IFERROR(S527+S540,"")</f>
        <v>963090</v>
      </c>
      <c r="T541" s="118">
        <f>IFERROR(J541,"")</f>
        <v>202.24889999999996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63"/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63"/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63"/>
      <c r="S553" s="133"/>
    </row>
    <row r="554" spans="1:20" ht="15.75" customHeight="1">
      <c r="A554" s="156" t="s">
        <v>260</v>
      </c>
      <c r="B554" s="156"/>
      <c r="C554" s="156"/>
      <c r="D554" s="156"/>
      <c r="E554" s="156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134"/>
      <c r="P554" s="134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/>
      <c r="R555" s="63"/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ref="Q556:Q566" ca="1" si="145">IFERROR(IF(O556="","",IF(P556="",MOD(NOW()-O556,1),IF(P556&gt;=O556,P556-O556,P556+1-O556))),"")</f>
        <v/>
      </c>
      <c r="R556" s="63"/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5"/>
        <v/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5"/>
        <v/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5"/>
        <v/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5"/>
        <v/>
      </c>
      <c r="R560" s="63"/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5"/>
        <v/>
      </c>
      <c r="R561" s="63"/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5"/>
        <v/>
      </c>
      <c r="R562" s="63"/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5"/>
        <v/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5"/>
        <v/>
      </c>
      <c r="R564" s="63"/>
      <c r="S564" s="133"/>
    </row>
    <row r="565" spans="1:20" ht="15" customHeight="1">
      <c r="A565" s="18">
        <v>46255</v>
      </c>
      <c r="B565" s="68">
        <f t="shared" si="144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5"/>
        <v/>
      </c>
      <c r="R565" s="63"/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5"/>
        <v/>
      </c>
      <c r="R566" s="63"/>
      <c r="S566" s="133"/>
    </row>
    <row r="567" spans="1:20" ht="15.75" customHeight="1">
      <c r="A567" s="156" t="s">
        <v>263</v>
      </c>
      <c r="B567" s="156"/>
      <c r="C567" s="156"/>
      <c r="D567" s="156"/>
      <c r="E567" s="156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134"/>
      <c r="P567" s="134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7" t="s">
        <v>249</v>
      </c>
      <c r="B568" s="157"/>
      <c r="C568" s="157"/>
      <c r="D568" s="157"/>
      <c r="E568" s="157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135"/>
      <c r="P568" s="135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74" ca="1" si="148">IFERROR(IF(O569="","",IF(P569="",MOD(NOW()-O569,1),IF(P569&gt;=O569,P569-O569,P569+1-O569))),"")</f>
        <v/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63"/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63"/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ca="1">IFERROR(IF(O576="","",IF(P576="",MOD(NOW()-O576,1),IF(P576&gt;=O576,P576-O576,P576+1-O576))),"")</f>
        <v/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6" t="s">
        <v>260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134"/>
      <c r="P581" s="134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63"/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6" t="s">
        <v>263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7" t="s">
        <v>249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135"/>
      <c r="P595" s="135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6" t="s">
        <v>260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56" t="s">
        <v>263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7" t="s">
        <v>249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6" t="s">
        <v>260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6" t="s">
        <v>263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7" t="s">
        <v>249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6" t="s">
        <v>260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6" t="s">
        <v>263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7" t="s">
        <v>249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6" t="s">
        <v>260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6" t="s">
        <v>263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7" t="s">
        <v>249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6" t="s">
        <v>260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6" t="s">
        <v>263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7" t="s">
        <v>249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6" t="s">
        <v>260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6" t="s">
        <v>263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7" t="s">
        <v>249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6" t="s">
        <v>260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6" t="s">
        <v>263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7" t="s">
        <v>249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6" t="s">
        <v>260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6" t="s">
        <v>263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7" t="s">
        <v>249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6" t="s">
        <v>260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6" t="s">
        <v>263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57" t="s">
        <v>249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264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2B1A3CF-5FC7-4FEA-8536-053612F4F612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956D0346-DD6D-4A32-81B9-BD446DB6FCD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2026-08-21T00:47:44Z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