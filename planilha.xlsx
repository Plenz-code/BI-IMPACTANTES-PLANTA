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97" documentId="8_{C51EB6CB-002B-4D6B-B68F-DDEBDB4460C0}" xr6:coauthVersionLast="47" xr6:coauthVersionMax="47" xr10:uidLastSave="{410A855C-753E-4E53-9EFD-4BB903946394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<sst xmlns="http://schemas.openxmlformats.org/spreadsheetml/2006/main" count="3466" uniqueCount="286">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</sst>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F154" sqref="F15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/>
      <c r="M152" s="30">
        <f t="shared" ca="1" si="34"/>
        <v>3.4845370370021556E-2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</v>
      </c>
      <c r="G162" s="36">
        <f>SUM(G150:G161)</f>
        <v>155</v>
      </c>
      <c r="H162" s="37"/>
      <c r="I162" s="37"/>
      <c r="J162" s="37"/>
      <c r="K162" s="37"/>
      <c r="L162" s="37"/>
      <c r="M162" s="38">
        <f ca="1">IFERROR(SUM(M150:M161),"")</f>
        <v>9.9428703703354882E-2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320</v>
      </c>
      <c r="G163" s="40">
        <f>G149+G162</f>
        <v>1600</v>
      </c>
      <c r="H163" s="41"/>
      <c r="I163" s="41"/>
      <c r="J163" s="41"/>
      <c r="K163" s="41"/>
      <c r="L163" s="41"/>
      <c r="M163" s="42">
        <f ca="1">IFERROR(M149+M162,"")</f>
        <v>0.19803981481446603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20" activePane="bottomLeft" state="frozen"/>
      <selection pane="bottomLeft" activeCell="L153" sqref="L1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0.8459564814766054</v>
      </c>
      <c r="N53" s="46" t="s">
        <v>254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0.98484537036549424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1.0695675925877166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45</v>
      </c>
      <c r="G162" s="36">
        <f>SUM(G150:G161)</f>
        <v>189.00000000000003</v>
      </c>
      <c r="H162" s="37"/>
      <c r="I162" s="37"/>
      <c r="J162" s="37"/>
      <c r="K162" s="37"/>
      <c r="L162" s="37"/>
      <c r="M162" s="38">
        <f ca="1">IFERROR(SUM(M150:M161),"")</f>
        <v>4.5833333333333504E-2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185</v>
      </c>
      <c r="G163" s="40">
        <f>G149+G162</f>
        <v>777</v>
      </c>
      <c r="H163" s="41"/>
      <c r="I163" s="41"/>
      <c r="J163" s="41"/>
      <c r="K163" s="41"/>
      <c r="L163" s="41"/>
      <c r="M163" s="42">
        <f ca="1">IFERROR(M149+M162,"")</f>
        <v>0.22152777777777793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54" sqref="F1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12</v>
      </c>
      <c r="G162" s="36">
        <f>SUM(G150:G161)</f>
        <v>50.400000000000006</v>
      </c>
      <c r="H162" s="37"/>
      <c r="I162" s="37"/>
      <c r="J162" s="37"/>
      <c r="K162" s="37"/>
      <c r="L162" s="37"/>
      <c r="M162" s="38">
        <f ca="1">IFERROR(SUM(M150:M161),"")</f>
        <v>6.8055555555555536E-2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45</v>
      </c>
      <c r="G163" s="40">
        <f>G149+G162</f>
        <v>189</v>
      </c>
      <c r="H163" s="41"/>
      <c r="I163" s="41"/>
      <c r="J163" s="41"/>
      <c r="K163" s="41"/>
      <c r="L163" s="41"/>
      <c r="M163" s="42">
        <f ca="1">IFERROR(M149+M162,"")</f>
        <v>0.22152777777777771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4" sqref="F15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/>
      <c r="M150" s="30">
        <f t="shared" ref="M150:M161" ca="1" si="34">IFERROR(IF(K150="","",IF(L150="",MOD(NOW()-K150,1),IF(L150&gt;=K150,L150-K150,L150+1-K150))),"")</f>
        <v>4.8039699075161479E-2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38</v>
      </c>
      <c r="G162" s="36">
        <f>SUM(G150:G161)</f>
        <v>159.6</v>
      </c>
      <c r="H162" s="37"/>
      <c r="I162" s="37"/>
      <c r="J162" s="37"/>
      <c r="K162" s="61"/>
      <c r="L162" s="61"/>
      <c r="M162" s="38">
        <f ca="1">IFERROR(SUM(M150:M161),"")</f>
        <v>4.8039699075161479E-2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220</v>
      </c>
      <c r="G163" s="40">
        <f>G149+G162</f>
        <v>924.00000000000011</v>
      </c>
      <c r="H163" s="41"/>
      <c r="I163" s="41"/>
      <c r="J163" s="41"/>
      <c r="K163" s="63"/>
      <c r="L163" s="63"/>
      <c r="M163" s="42">
        <f ca="1">IFERROR(M149+M162,"")</f>
        <v>0.14248414351960587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2026-08-07T03:13:31Z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