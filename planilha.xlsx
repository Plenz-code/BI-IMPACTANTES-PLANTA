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90" documentId="13_ncr:1_{0A10D8D4-8450-4366-8075-B53B08E6B7EA}" xr6:coauthVersionLast="47" xr6:coauthVersionMax="47" xr10:uidLastSave="{8B13BEC2-BC4A-4A16-A407-D5EB76E30FC9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5" i="6"/>
  <c r="J425" i="6" s="1"/>
  <c r="H426" i="6"/>
  <c r="J426" i="6" s="1"/>
  <c r="H427" i="6"/>
  <c r="J427" i="6" s="1"/>
  <c r="H428" i="6"/>
  <c r="J428" i="6" s="1"/>
  <c r="H429" i="6"/>
  <c r="J429" i="6" s="1"/>
  <c r="H430" i="6"/>
  <c r="J430" i="6" s="1"/>
  <c r="H431" i="6"/>
  <c r="J43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5" i="5"/>
  <c r="J425" i="5" s="1"/>
  <c r="H426" i="5"/>
  <c r="J426" i="5" s="1"/>
  <c r="H427" i="5"/>
  <c r="J427" i="5" s="1"/>
  <c r="H428" i="5"/>
  <c r="J428" i="5" s="1"/>
  <c r="H429" i="5"/>
  <c r="J429" i="5" s="1"/>
  <c r="H430" i="5"/>
  <c r="J430" i="5" s="1"/>
  <c r="H431" i="5"/>
  <c r="J43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5" i="4"/>
  <c r="J425" i="4" s="1"/>
  <c r="H426" i="4"/>
  <c r="J426" i="4" s="1"/>
  <c r="H427" i="4"/>
  <c r="J427" i="4" s="1"/>
  <c r="H428" i="4"/>
  <c r="J428" i="4" s="1"/>
  <c r="H429" i="4"/>
  <c r="J429" i="4" s="1"/>
  <c r="H430" i="4"/>
  <c r="J430" i="4" s="1"/>
  <c r="H431" i="4"/>
  <c r="J43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446" i="6"/>
  <c r="T446" i="6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446" i="4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H424" i="6" s="1"/>
  <c r="J424" i="6" s="1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H424" i="5" s="1"/>
  <c r="J424" i="5" s="1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H424" i="4" s="1"/>
  <c r="J424" i="4" s="1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22" i="6" l="1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<sst xmlns="http://schemas.openxmlformats.org/spreadsheetml/2006/main" count="7324" uniqueCount="359">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</sst>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P24" sqref="P24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1195500</v>
      </c>
      <c r="D19" s="11">
        <f>IFERROR('Linha 1'!S433,"")</f>
        <v>590830</v>
      </c>
      <c r="E19" s="11">
        <f>IFERROR('Linha 2'!S433,"")</f>
        <v>447620</v>
      </c>
      <c r="F19" s="11">
        <f>IFERROR('Linha 3'!S433,"")</f>
        <v>627410</v>
      </c>
      <c r="G19" s="12">
        <f t="shared" si="0"/>
        <v>1665860</v>
      </c>
      <c r="H19" s="96">
        <f>IFERROR('Linha 1'!T433+'Linha 2'!T433+'Linha 3'!T433,0)</f>
        <v>239.88383999999999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57588020</v>
      </c>
      <c r="D35" s="13">
        <f t="shared" si="2"/>
        <v>18838850</v>
      </c>
      <c r="E35" s="13">
        <f t="shared" si="2"/>
        <v>9882290</v>
      </c>
      <c r="F35" s="13">
        <f t="shared" si="2"/>
        <v>24136340</v>
      </c>
      <c r="G35" s="13">
        <f t="shared" si="2"/>
        <v>52857480</v>
      </c>
      <c r="H35" s="97">
        <f t="shared" si="2"/>
        <v>3450.1791327907322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8" activePane="bottomLeft" state="frozen"/>
      <selection pane="bottomLeft" activeCell="F424" sqref="F424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95</v>
      </c>
      <c r="G432" s="36">
        <f>SUM(G420:G431)</f>
        <v>475</v>
      </c>
      <c r="H432" s="37"/>
      <c r="I432" s="37"/>
      <c r="J432" s="37"/>
      <c r="K432" s="37"/>
      <c r="L432" s="37"/>
      <c r="M432" s="38">
        <f ca="1">IFERROR(SUM(M420:M431),"")</f>
        <v>2.777777777777779E-2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305</v>
      </c>
      <c r="G433" s="40">
        <f>G419+G432</f>
        <v>1525</v>
      </c>
      <c r="H433" s="41"/>
      <c r="I433" s="41"/>
      <c r="J433" s="41"/>
      <c r="K433" s="41"/>
      <c r="L433" s="41"/>
      <c r="M433" s="42">
        <f ca="1">IFERROR(M419+M432,"")</f>
        <v>0.26041666666666669</v>
      </c>
      <c r="N433" s="40" t="s">
        <v>249</v>
      </c>
      <c r="O433" s="48">
        <f>IFERROR(O419+O432,"")</f>
        <v>1195500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94" activePane="bottomLeft" state="frozen"/>
      <selection pane="bottomLeft" activeCell="G425" sqref="G425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0.89883703703526407</v>
      </c>
      <c r="R53" s="46" t="s">
        <v>280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1.0377259259241529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1.1224481481463753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305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2"/>
        <v>0</v>
      </c>
      <c r="K423" s="34">
        <f t="shared" si="103"/>
        <v>50.400000000000006</v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2"/>
        <v>0</v>
      </c>
      <c r="K424" s="28">
        <f t="shared" si="103"/>
        <v>88.2</v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81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340.20000000000005</v>
      </c>
      <c r="L432" s="37"/>
      <c r="M432" s="37"/>
      <c r="N432" s="37"/>
      <c r="O432" s="37"/>
      <c r="P432" s="37"/>
      <c r="Q432" s="38">
        <f ca="1">IFERROR(SUM(Q420:Q431),"")</f>
        <v>5.2083333333333481E-2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228</v>
      </c>
      <c r="H433" s="112">
        <f>IFERROR(H419+H432,"")</f>
        <v>590.82999999999993</v>
      </c>
      <c r="I433" s="116"/>
      <c r="J433" s="125">
        <f>IFERROR(J419+J432,"")</f>
        <v>85.079520000000002</v>
      </c>
      <c r="K433" s="40">
        <f>K419+K432</f>
        <v>957.60000000000014</v>
      </c>
      <c r="L433" s="41"/>
      <c r="M433" s="41"/>
      <c r="N433" s="41"/>
      <c r="O433" s="41"/>
      <c r="P433" s="41"/>
      <c r="Q433" s="42">
        <f ca="1">IFERROR(Q419+Q432,"")</f>
        <v>0.14305555555555571</v>
      </c>
      <c r="R433" s="40" t="s">
        <v>249</v>
      </c>
      <c r="S433" s="143">
        <f>IFERROR(S419+S432,"")</f>
        <v>590830</v>
      </c>
      <c r="T433" s="144">
        <f>IFERROR(J433,"")</f>
        <v>85.079520000000002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8" activePane="bottomLeft" state="frozen"/>
      <selection pane="bottomLeft" activeCell="G425" sqref="G425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306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307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306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306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308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309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310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311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312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313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314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315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316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317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318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319</v>
      </c>
      <c r="Q222" s="30" t="str">
        <f t="shared" ca="1" si="49"/>
        <v/>
      </c>
      <c r="R222" s="27" t="s">
        <v>320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321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322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323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324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0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325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0"/>
        <v>0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0"/>
        <v>0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0"/>
        <v>0</v>
      </c>
      <c r="K423" s="34">
        <f t="shared" si="101"/>
        <v>8.4</v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0"/>
        <v>0</v>
      </c>
      <c r="K424" s="28">
        <f t="shared" si="101"/>
        <v>16.8</v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17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71.400000000000006</v>
      </c>
      <c r="L432" s="37"/>
      <c r="M432" s="37"/>
      <c r="N432" s="37"/>
      <c r="O432" s="37"/>
      <c r="P432" s="37"/>
      <c r="Q432" s="38">
        <f ca="1">IFERROR(SUM(Q420:Q431),"")</f>
        <v>7.6388888888888951E-2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138</v>
      </c>
      <c r="H433" s="112">
        <f>IFERROR(H419+H432,"")</f>
        <v>447.62</v>
      </c>
      <c r="I433" s="116"/>
      <c r="J433" s="125">
        <f>IFERROR(J419+J432,"")</f>
        <v>64.457279999999997</v>
      </c>
      <c r="K433" s="40">
        <f>K419+K432</f>
        <v>579.6</v>
      </c>
      <c r="L433" s="41"/>
      <c r="M433" s="41"/>
      <c r="N433" s="41"/>
      <c r="O433" s="41"/>
      <c r="P433" s="41"/>
      <c r="Q433" s="42">
        <f ca="1">IFERROR(Q419+Q432,"")</f>
        <v>0.14930555555555569</v>
      </c>
      <c r="R433" s="40" t="s">
        <v>249</v>
      </c>
      <c r="S433" s="48">
        <f>IFERROR(S419+S432,"")</f>
        <v>447620</v>
      </c>
      <c r="T433" s="121">
        <f>IFERROR(J433,"")</f>
        <v>64.457279999999997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95" activePane="bottomLeft" state="frozen"/>
      <selection pane="bottomLeft" activeCell="M424" sqref="M424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326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306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327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328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329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330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331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332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306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306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333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334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306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335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336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337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339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340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341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342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343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344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345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346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347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348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352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353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354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355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356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357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2"/>
        <v>0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358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2"/>
        <v>0</v>
      </c>
      <c r="K424" s="28">
        <f t="shared" si="103"/>
        <v>58.800000000000004</v>
      </c>
      <c r="L424" s="26" t="s">
        <v>27</v>
      </c>
      <c r="M424" s="26" t="s">
        <v>64</v>
      </c>
      <c r="N424" s="26"/>
      <c r="O424" s="29">
        <v>1.5277777777777777E-2</v>
      </c>
      <c r="P424" s="29"/>
      <c r="Q424" s="30">
        <f t="shared" ca="1" si="104"/>
        <v>5.0870370396296494E-3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88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369.6</v>
      </c>
      <c r="L432" s="37"/>
      <c r="M432" s="37"/>
      <c r="N432" s="37"/>
      <c r="O432" s="61"/>
      <c r="P432" s="61"/>
      <c r="Q432" s="38">
        <f ca="1">IFERROR(SUM(Q420:Q431),"")</f>
        <v>5.7864814817407462E-2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230</v>
      </c>
      <c r="H433" s="112">
        <f>IFERROR(H419+H432,"")</f>
        <v>627.40999999999985</v>
      </c>
      <c r="I433" s="116"/>
      <c r="J433" s="125">
        <f>IFERROR(J419+J432,"")</f>
        <v>90.347039999999993</v>
      </c>
      <c r="K433" s="40">
        <f>K419+K432</f>
        <v>966.00000000000011</v>
      </c>
      <c r="L433" s="41"/>
      <c r="M433" s="41"/>
      <c r="N433" s="41"/>
      <c r="O433" s="63"/>
      <c r="P433" s="63"/>
      <c r="Q433" s="42">
        <f ca="1">IFERROR(Q419+Q432,"")</f>
        <v>0.17314259259518527</v>
      </c>
      <c r="R433" s="40" t="s">
        <v>249</v>
      </c>
      <c r="S433" s="48">
        <f>IFERROR(S419+S432,"")</f>
        <v>627410</v>
      </c>
      <c r="T433" s="121">
        <f>IFERROR(J433,"")</f>
        <v>90.347039999999993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2026-08-17T04:29:42Z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