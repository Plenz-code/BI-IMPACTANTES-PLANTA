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12" documentId="8_{AF585B22-221D-4780-BB9C-493D365A6A02}" xr6:coauthVersionLast="47" xr6:coauthVersionMax="47" xr10:uidLastSave="{B6DAEC17-EA33-4614-89DB-034F362F8C9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<sst xmlns="http://schemas.openxmlformats.org/spreadsheetml/2006/main" count="5311" uniqueCount="301">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</sst>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13" sqref="F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14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14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231.5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9" activePane="bottomLeft" state="frozen"/>
      <selection pane="bottomLeft" activeCell="J313" sqref="J3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/>
      <c r="M313" s="35">
        <f t="shared" ca="1" si="70"/>
        <v>1.2467592605389655E-3</v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</v>
      </c>
      <c r="G324" s="36">
        <f>SUM(G312:G323)</f>
        <v>79.8</v>
      </c>
      <c r="H324" s="37"/>
      <c r="I324" s="37"/>
      <c r="J324" s="37"/>
      <c r="K324" s="37"/>
      <c r="L324" s="37"/>
      <c r="M324" s="38">
        <f ca="1">IFERROR(SUM(M312:M323),"")</f>
        <v>1.3746759260539032E-2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110</v>
      </c>
      <c r="G325" s="40">
        <f>G311+G324</f>
        <v>462</v>
      </c>
      <c r="H325" s="41"/>
      <c r="I325" s="41"/>
      <c r="J325" s="41"/>
      <c r="K325" s="41"/>
      <c r="L325" s="41"/>
      <c r="M325" s="42">
        <f ca="1">IFERROR(M311+M324,"")</f>
        <v>0.16444120370498344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3" sqref="F3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5.8885648148134351E-2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</v>
      </c>
      <c r="G324" s="36">
        <f>SUM(G312:G323)</f>
        <v>67.2</v>
      </c>
      <c r="H324" s="37"/>
      <c r="I324" s="37"/>
      <c r="J324" s="37"/>
      <c r="K324" s="37"/>
      <c r="L324" s="37"/>
      <c r="M324" s="38">
        <f ca="1">IFERROR(SUM(M312:M323),"")</f>
        <v>5.8885648148134351E-2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85</v>
      </c>
      <c r="G325" s="40">
        <f>G311+G324</f>
        <v>361.8</v>
      </c>
      <c r="H325" s="41"/>
      <c r="I325" s="41"/>
      <c r="J325" s="41"/>
      <c r="K325" s="41"/>
      <c r="L325" s="41"/>
      <c r="M325" s="42">
        <f ca="1">IFERROR(M311+M324,"")</f>
        <v>0.15819120370368978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3" sqref="F3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0.60610787037148839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0.80541342592704401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1.172774537038155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20</v>
      </c>
      <c r="G324" s="36">
        <f>SUM(G312:G323)</f>
        <v>100</v>
      </c>
      <c r="H324" s="37"/>
      <c r="I324" s="37"/>
      <c r="J324" s="37"/>
      <c r="K324" s="61"/>
      <c r="L324" s="61"/>
      <c r="M324" s="38">
        <f ca="1">IFERROR(SUM(M312:M323),"")</f>
        <v>4.0277777777777746E-2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50</v>
      </c>
      <c r="G325" s="40">
        <f>G311+G324</f>
        <v>226</v>
      </c>
      <c r="H325" s="41"/>
      <c r="I325" s="41"/>
      <c r="J325" s="41"/>
      <c r="K325" s="63"/>
      <c r="L325" s="63"/>
      <c r="M325" s="42">
        <f ca="1">IFERROR(M311+M324,"")</f>
        <v>0.45347222222222228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2026-07-13T00:32:14Z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