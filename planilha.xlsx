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22" documentId="8_{AF585B22-221D-4780-BB9C-493D365A6A02}" xr6:coauthVersionLast="47" xr6:coauthVersionMax="47" xr10:uidLastSave="{C5B2D85B-8758-489A-B901-02B132AB0CA8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F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446" i="6" l="1"/>
  <c r="F460" i="4"/>
  <c r="G459" i="4"/>
  <c r="G460" i="4"/>
  <c r="G459" i="5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<sst xmlns="http://schemas.openxmlformats.org/spreadsheetml/2006/main" count="7333" uniqueCount="345">
  <si>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</si>
  <si>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</si>
  <si>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</si>
  <si>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</si>
  <si>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</si>
  <si>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</si>
  <si>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</si>
  <si>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</si>
  <si>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</si>
  <si>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</si>
  <si>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</si>
  <si>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</si>
  <si>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</si>
  <si>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</si>
  <si>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</si>
  <si>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</si>
  <si>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</si>
  <si>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</si>
  <si>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</si>
  <si>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</si>
  <si>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</si>
  <si>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</si>
  <si>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</si>
  <si>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</si>
  <si>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</si>
  <si>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</si>
  <si>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</si>
  <si>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</si>
  <si>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</si>
  <si>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</si>
  <si>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</si>
  <si>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</si>
  <si>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</si>
  <si>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</si>
  <si>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</si>
  <si>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</si>
  <si>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</si>
  <si>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</si>
  <si>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</si>
  <si>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</si>
  <si>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</si>
  <si>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</si>
  <si>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</si>
  <si>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</si>
  <si>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</si>
  <si>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</si>
  <si>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</si>
  <si>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</si>
  <si>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</si>
  <si>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</si>
  <si>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</si>
  <si>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</si>
  <si>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</si>
  <si>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</si>
  <si>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</si>
  <si>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</si>
  <si>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</si>
  <si>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</si>
  <si>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</si>
  <si>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</si>
  <si>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</si>
  <si>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</si>
  <si>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</si>
  <si>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</si>
  <si>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</si>
  <si>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</si>
  <si>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</si>
  <si>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</si>
  <si>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</si>
  <si>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</si>
  <si>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</si>
  <si>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</si>
  <si>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</si>
  <si>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</si>
  <si>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</si>
  <si>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</si>
  <si>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</si>
  <si>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</si>
  <si>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</si>
  <si>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</si>
  <si>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</si>
  <si>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</si>
  <si>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</si>
  <si>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</si>
  <si>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</si>
  <si>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</si>
  <si>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</si>
  <si>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</si>
  <si>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</si>
  <si>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</si>
  <si>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</si>
  <si>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</si>
  <si>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</si>
  <si>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</si>
  <si>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</si>
  <si>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</si>
  <si>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</si>
  <si>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</si>
  <si>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</si>
  <si>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</si>
  <si>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</si>
  <si>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</si>
  <si>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</si>
  <si>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</si>
  <si>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</si>
  <si>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</si>
  <si>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</si>
  <si>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</si>
  <si>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</si>
  <si>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</si>
  <si>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</si>
  <si>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</si>
  <si>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</si>
  <si>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</si>
  <si>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</si>
  <si>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</si>
  <si>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</si>
  <si>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</si>
  <si>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</si>
  <si>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</si>
  <si>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</si>
  <si>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</si>
  <si>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</si>
  <si>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</si>
  <si>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</si>
  <si>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</si>
  <si>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</si>
  <si>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</si>
  <si>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</si>
  <si>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</si>
  <si>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</si>
  <si>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</si>
  <si>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</si>
  <si>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</si>
  <si>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</si>
  <si>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</si>
  <si>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</si>
  <si>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</si>
  <si>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</si>
  <si>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</si>
  <si>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</si>
  <si>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</si>
  <si>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</si>
  <si>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</si>
  <si>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</si>
  <si>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</si>
  <si>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</si>
  <si>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</si>
  <si>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</si>
  <si>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</si>
  <si>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</si>
  <si>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</si>
  <si>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</si>
  <si>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</si>
  <si>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</si>
  <si>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</si>
  <si>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</si>
  <si>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</si>
  <si>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</si>
  <si>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</si>
  <si>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</si>
  <si>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</si>
  <si>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</si>
  <si>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</si>
  <si>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</si>
  <si>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</si>
  <si>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</si>
  <si>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</si>
  <si>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</si>
  <si>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</si>
  <si>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</si>
  <si>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</si>
  <si>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</si>
  <si>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</si>
  <si>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</si>
  <si>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</si>
  <si>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</si>
  <si>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</si>
  <si>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</si>
  <si>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</si>
  <si>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</si>
  <si>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</si>
  <si>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</si>
  <si>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</si>
  <si>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</si>
  <si>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</si>
  <si>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</si>
  <si>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</si>
  <si>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</si>
  <si>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</si>
  <si>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</si>
  <si>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</si>
  <si>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</si>
  <si>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</si>
  <si>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</si>
  <si>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</si>
  <si>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</si>
  <si>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</si>
  <si>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</si>
  <si>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</si>
  <si>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</si>
  <si>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</si>
  <si>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</si>
  <si>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</si>
  <si>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</si>
  <si>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</si>
  <si>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</si>
  <si>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</si>
  <si>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</si>
  <si>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</si>
  <si>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</si>
  <si>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</si>
  <si>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</si>
  <si>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</si>
  <si>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</si>
  <si>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</si>
  <si>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</si>
  <si>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</si>
  <si>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</si>
  <si>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</si>
  <si>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</si>
  <si>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</si>
  <si>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</si>
  <si>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</si>
  <si>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</si>
  <si>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</si>
  <si>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</si>
  <si>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</si>
  <si>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</si>
  <si>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</si>
  <si>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</si>
  <si>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</si>
  <si>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</si>
  <si>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</si>
  <si>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</si>
  <si>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</si>
  <si>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</si>
  <si>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</si>
  <si>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</si>
  <si>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</si>
  <si>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</si>
  <si>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</si>
  <si>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</si>
  <si>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</si>
  <si>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</si>
  <si>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</si>
  <si>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</si>
  <si>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</si>
  <si>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</si>
  <si>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</si>
  <si>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</si>
  <si>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</si>
  <si>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</si>
  <si>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</si>
  <si>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</si>
  <si>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</si>
  <si>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</si>
  <si>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</si>
  <si>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</si>
  <si>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</si>
  <si>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</si>
  <si>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</si>
  <si>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</si>
  <si>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</si>
  <si>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</si>
  <si>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</si>
  <si>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</si>
  <si>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</si>
  <si>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</si>
  <si>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</si>
  <si>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</si>
  <si>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</si>
  <si>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</si>
  <si>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</si>
  <si>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</si>
  <si>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</si>
  <si>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</si>
  <si>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</si>
  <si>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</si>
  <si>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</si>
  <si>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</si>
  <si>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</si>
  <si>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</si>
  <si>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</si>
  <si>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</si>
  <si>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</si>
  <si>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</si>
  <si>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</si>
  <si>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</si>
  <si>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</si>
  <si>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</si>
  <si>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</si>
  <si>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</si>
  <si>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</si>
  <si>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</si>
  <si>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</si>
  <si>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</si>
  <si>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</si>
  <si>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</si>
  <si>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</si>
  <si>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</si>
  <si>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</si>
  <si>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</si>
  <si>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</si>
  <si>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</si>
  <si>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</si>
  <si>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</si>
  <si>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</si>
  <si>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</si>
  <si>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</si>
  <si>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</si>
  <si>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</si>
  <si>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</si>
  <si>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</si>
  <si>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</si>
  <si>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</si>
  <si>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</si>
  <si>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</si>
  <si>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</si>
  <si>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</si>
  <si>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</si>
  <si>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</si>
  <si>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</si>
  <si>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</si>
  <si>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</si>
  <si>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</si>
  <si>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</si>
  <si>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</si>
  <si>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</si>
  <si>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</si>
  <si>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</si>
  <si>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</si>
  <si>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</si>
  <si>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</si>
  <si>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</si>
  <si>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</si>
  <si>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</si>
  <si>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</si>
  <si>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</si>
  <si>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</si>
  <si>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</si>
  <si>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troca de martelo, troca de motor</t>
  </si>
  <si>
    <t>pc19</t>
  </si>
  <si>
    <t>disco esta pegando na tampa</t>
  </si>
  <si>
    <t>caixa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</si>
</sst>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546875" defaultRowHeight="14.4" x14ac:dyDescent="0.3"/>
  <cols>
    <col min="1" max="1" width="17.5546875" customWidth="1"/>
    <col min="2" max="2" width="21" style="71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3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1370620</v>
      </c>
      <c r="E20" s="8">
        <f>IFERROR('Linha 2'!O460,"")</f>
        <v>551310</v>
      </c>
      <c r="F20" s="8">
        <f>IFERROR('Linha 3'!O460,"")</f>
        <v>1353700</v>
      </c>
      <c r="G20" s="9">
        <f t="shared" si="0"/>
        <v>3275630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7" t="s">
        <v>9</v>
      </c>
      <c r="B35" s="107"/>
      <c r="C35" s="13">
        <f>IFERROR(SUM(C4:C34),"")</f>
        <v>52240442</v>
      </c>
      <c r="D35" s="13">
        <f>IFERROR(SUM(D4:D34),"")</f>
        <v>19135750</v>
      </c>
      <c r="E35" s="13">
        <f>IFERROR(SUM(E4:E34),"")</f>
        <v>12196740</v>
      </c>
      <c r="F35" s="13">
        <f>IFERROR(SUM(F4:F34),"")</f>
        <v>23391460</v>
      </c>
      <c r="G35" s="13">
        <f>IFERROR(SUM(G4:G34),"")</f>
        <v>54723950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3">
      <c r="H2" s="109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09"/>
      <c r="I55" s="17"/>
      <c r="J55" s="17"/>
      <c r="K55" s="17" t="s">
        <v>200</v>
      </c>
      <c r="L55" s="17"/>
      <c r="M55" s="17"/>
    </row>
    <row r="56" spans="1:13" ht="15" customHeight="1" x14ac:dyDescent="0.3">
      <c r="H56" s="109"/>
      <c r="I56" s="16"/>
      <c r="J56" s="16"/>
      <c r="K56" s="16" t="s">
        <v>201</v>
      </c>
      <c r="L56" s="16"/>
      <c r="M56" s="16"/>
    </row>
    <row r="57" spans="1:13" ht="15" customHeight="1" x14ac:dyDescent="0.3">
      <c r="H57" s="109"/>
      <c r="I57" s="17"/>
      <c r="J57" s="17"/>
      <c r="K57" s="17" t="s">
        <v>50</v>
      </c>
      <c r="L57" s="17"/>
      <c r="M57" s="17"/>
    </row>
    <row r="58" spans="1:13" ht="15" customHeight="1" x14ac:dyDescent="0.3">
      <c r="H58" s="109"/>
      <c r="I58" s="16"/>
      <c r="J58" s="16"/>
      <c r="K58" s="16" t="s">
        <v>202</v>
      </c>
      <c r="L58" s="16"/>
      <c r="M58" s="16"/>
    </row>
    <row r="59" spans="1:13" ht="15" customHeight="1" x14ac:dyDescent="0.3">
      <c r="H59" s="109"/>
      <c r="I59" s="17"/>
      <c r="J59" s="17"/>
      <c r="K59" s="17" t="s">
        <v>203</v>
      </c>
      <c r="L59" s="17"/>
      <c r="M59" s="17"/>
    </row>
    <row r="60" spans="1:13" ht="15" customHeight="1" x14ac:dyDescent="0.3">
      <c r="H60" s="109"/>
      <c r="I60" s="16"/>
      <c r="J60" s="16"/>
      <c r="K60" s="87" t="s">
        <v>105</v>
      </c>
      <c r="L60" s="16"/>
      <c r="M60" s="16"/>
    </row>
    <row r="61" spans="1:13" ht="15" customHeight="1" x14ac:dyDescent="0.3">
      <c r="H61" s="109"/>
      <c r="I61" s="17"/>
      <c r="J61" s="17"/>
      <c r="K61" s="17" t="s">
        <v>204</v>
      </c>
      <c r="L61" s="17"/>
      <c r="M61" s="17"/>
    </row>
    <row r="62" spans="1:13" ht="15" customHeight="1" x14ac:dyDescent="0.3">
      <c r="H62" s="109"/>
      <c r="I62" s="16"/>
      <c r="J62" s="16"/>
      <c r="K62" s="16" t="s">
        <v>205</v>
      </c>
      <c r="L62" s="16"/>
      <c r="M62" s="16"/>
    </row>
    <row r="63" spans="1:13" ht="15" customHeight="1" x14ac:dyDescent="0.3">
      <c r="H63" s="109"/>
      <c r="I63" s="17"/>
      <c r="J63" s="17"/>
      <c r="K63" s="17" t="s">
        <v>206</v>
      </c>
      <c r="L63" s="17"/>
      <c r="M63" s="17"/>
    </row>
    <row r="64" spans="1:13" ht="15" customHeight="1" x14ac:dyDescent="0.3">
      <c r="H64" s="109"/>
      <c r="I64" s="16"/>
      <c r="J64" s="16"/>
      <c r="K64" s="16" t="s">
        <v>207</v>
      </c>
      <c r="L64" s="16"/>
      <c r="M64" s="16"/>
    </row>
    <row r="65" spans="8:13" ht="15" customHeight="1" x14ac:dyDescent="0.3">
      <c r="H65" s="109"/>
      <c r="I65" s="17"/>
      <c r="J65" s="17"/>
      <c r="K65" s="17" t="s">
        <v>208</v>
      </c>
      <c r="L65" s="17"/>
      <c r="M65" s="17"/>
    </row>
    <row r="66" spans="8:13" ht="15" customHeight="1" x14ac:dyDescent="0.3">
      <c r="H66" s="109"/>
      <c r="I66" s="16"/>
      <c r="J66" s="16"/>
      <c r="K66" s="16" t="s">
        <v>209</v>
      </c>
      <c r="L66" s="16"/>
      <c r="M66" s="16"/>
    </row>
    <row r="67" spans="8:13" ht="15" customHeight="1" x14ac:dyDescent="0.3">
      <c r="H67" s="109"/>
      <c r="I67" s="17"/>
      <c r="J67" s="17"/>
      <c r="K67" s="17" t="s">
        <v>210</v>
      </c>
      <c r="L67" s="17"/>
      <c r="M67" s="17"/>
    </row>
    <row r="68" spans="8:13" ht="15" customHeight="1" x14ac:dyDescent="0.3">
      <c r="H68" s="109"/>
      <c r="I68" s="16"/>
      <c r="J68" s="16"/>
      <c r="K68" s="16" t="s">
        <v>211</v>
      </c>
      <c r="L68" s="16"/>
      <c r="M68" s="16"/>
    </row>
    <row r="69" spans="8:13" ht="15" customHeight="1" x14ac:dyDescent="0.3">
      <c r="H69" s="109"/>
      <c r="I69" s="17"/>
      <c r="J69" s="17"/>
      <c r="K69" s="17" t="s">
        <v>212</v>
      </c>
      <c r="L69" s="17"/>
      <c r="M69" s="17"/>
    </row>
    <row r="70" spans="8:13" ht="15" customHeight="1" x14ac:dyDescent="0.3">
      <c r="H70" s="109"/>
      <c r="I70" s="16"/>
      <c r="J70" s="16"/>
      <c r="K70" s="16" t="s">
        <v>343</v>
      </c>
      <c r="L70" s="16"/>
      <c r="M70" s="16"/>
    </row>
    <row r="71" spans="8:13" ht="15" customHeight="1" x14ac:dyDescent="0.3">
      <c r="H71" s="109"/>
      <c r="I71" s="17"/>
      <c r="J71" s="17"/>
      <c r="K71" s="17" t="s">
        <v>344</v>
      </c>
      <c r="L71" s="17"/>
      <c r="M71" s="17"/>
    </row>
    <row r="72" spans="8:13" ht="15" customHeight="1" x14ac:dyDescent="0.3">
      <c r="H72" s="109"/>
      <c r="I72" s="16"/>
      <c r="J72" s="16"/>
      <c r="K72" s="16"/>
      <c r="L72" s="16"/>
      <c r="M72" s="16"/>
    </row>
    <row r="73" spans="8:13" ht="15" customHeight="1" x14ac:dyDescent="0.3">
      <c r="H73" s="109"/>
      <c r="I73" s="17"/>
      <c r="J73" s="17"/>
      <c r="K73" s="17"/>
      <c r="L73" s="17"/>
      <c r="M73" s="17"/>
    </row>
    <row r="74" spans="8:13" ht="15" customHeight="1" x14ac:dyDescent="0.3">
      <c r="H74" s="109"/>
      <c r="I74" s="16"/>
      <c r="J74" s="16"/>
      <c r="K74" s="16"/>
      <c r="L74" s="16"/>
      <c r="M74" s="16"/>
    </row>
    <row r="75" spans="8:13" ht="15" customHeight="1" x14ac:dyDescent="0.3">
      <c r="H75" s="109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28" activePane="bottomLeft" state="frozen"/>
      <selection pane="bottomLeft" activeCell="O460" sqref="O460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2" t="s">
        <v>226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2" t="s">
        <v>228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 x14ac:dyDescent="0.3">
      <c r="A28" s="99" t="s">
        <v>229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2" t="s">
        <v>226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2" t="s">
        <v>228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 x14ac:dyDescent="0.3">
      <c r="A55" s="99" t="s">
        <v>229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2" t="s">
        <v>226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2" t="s">
        <v>228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 x14ac:dyDescent="0.3">
      <c r="A82" s="99" t="s">
        <v>229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2" t="s">
        <v>226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2" t="s">
        <v>228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 x14ac:dyDescent="0.3">
      <c r="A109" s="99" t="s">
        <v>229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2" t="s">
        <v>226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2" t="s">
        <v>228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 x14ac:dyDescent="0.3">
      <c r="A136" s="99" t="s">
        <v>229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2" t="s">
        <v>226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2" t="s">
        <v>228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 x14ac:dyDescent="0.3">
      <c r="A163" s="99" t="s">
        <v>229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2" t="s">
        <v>226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2" t="s">
        <v>228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 x14ac:dyDescent="0.3">
      <c r="A190" s="99" t="s">
        <v>229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2" t="s">
        <v>226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2" t="s">
        <v>228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 x14ac:dyDescent="0.3">
      <c r="A217" s="99" t="s">
        <v>229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2" t="s">
        <v>226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2" t="s">
        <v>228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 x14ac:dyDescent="0.3">
      <c r="A244" s="99" t="s">
        <v>229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2" t="s">
        <v>226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2" t="s">
        <v>228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 x14ac:dyDescent="0.3">
      <c r="A271" s="99" t="s">
        <v>229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2" t="s">
        <v>226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 x14ac:dyDescent="0.3">
      <c r="A297" s="102" t="s">
        <v>228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 x14ac:dyDescent="0.3">
      <c r="A298" s="99" t="s">
        <v>229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2" t="s">
        <v>226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2" t="s">
        <v>228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 x14ac:dyDescent="0.3">
      <c r="A325" s="99" t="s">
        <v>229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2" t="s">
        <v>226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2" t="s">
        <v>228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 x14ac:dyDescent="0.3">
      <c r="A352" s="99" t="s">
        <v>229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2" t="s">
        <v>226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2" t="s">
        <v>228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 x14ac:dyDescent="0.3">
      <c r="A379" s="99" t="s">
        <v>229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2" t="s">
        <v>226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2" t="s">
        <v>228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 x14ac:dyDescent="0.3">
      <c r="A406" s="99" t="s">
        <v>229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2" t="s">
        <v>226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2" t="s">
        <v>228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 x14ac:dyDescent="0.3">
      <c r="A433" s="99" t="s">
        <v>229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2" t="s">
        <v>226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343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2" t="s">
        <v>228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227</v>
      </c>
      <c r="O459" s="39">
        <v>2675000</v>
      </c>
    </row>
    <row r="460" spans="1:15" ht="18" customHeight="1" x14ac:dyDescent="0.3">
      <c r="A460" s="99" t="s">
        <v>229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230</v>
      </c>
      <c r="O460" s="48">
        <f>IFERROR(O446+O459,"")</f>
        <v>3916480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2" t="s">
        <v>226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2" t="s">
        <v>228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 x14ac:dyDescent="0.3">
      <c r="A487" s="99" t="s">
        <v>229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2" t="s">
        <v>226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2" t="s">
        <v>228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 x14ac:dyDescent="0.3">
      <c r="A514" s="99" t="s">
        <v>229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2" t="s">
        <v>226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2" t="s">
        <v>228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 x14ac:dyDescent="0.3">
      <c r="A541" s="99" t="s">
        <v>229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2" t="s">
        <v>226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2" t="s">
        <v>228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 x14ac:dyDescent="0.3">
      <c r="A568" s="99" t="s">
        <v>229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2" t="s">
        <v>226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2" t="s">
        <v>228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 x14ac:dyDescent="0.3">
      <c r="A595" s="99" t="s">
        <v>229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2" t="s">
        <v>226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2" t="s">
        <v>228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 x14ac:dyDescent="0.3">
      <c r="A622" s="99" t="s">
        <v>229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2" t="s">
        <v>226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2" t="s">
        <v>228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 x14ac:dyDescent="0.3">
      <c r="A649" s="99" t="s">
        <v>229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2" t="s">
        <v>226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2" t="s">
        <v>228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 x14ac:dyDescent="0.3">
      <c r="A676" s="99" t="s">
        <v>229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2" t="s">
        <v>226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2" t="s">
        <v>228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 x14ac:dyDescent="0.3">
      <c r="A703" s="99" t="s">
        <v>229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2" t="s">
        <v>226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2" t="s">
        <v>228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 x14ac:dyDescent="0.3">
      <c r="A730" s="99" t="s">
        <v>229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2" t="s">
        <v>226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2" t="s">
        <v>228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99" t="s">
        <v>229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2" t="s">
        <v>226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2" t="s">
        <v>228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99" t="s">
        <v>229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2" t="s">
        <v>226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2" t="s">
        <v>228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44" sqref="F44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2" t="s">
        <v>226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2" t="s">
        <v>228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 x14ac:dyDescent="0.3">
      <c r="A28" s="99" t="s">
        <v>229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2" t="s">
        <v>226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102" t="s">
        <v>228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 x14ac:dyDescent="0.3">
      <c r="A55" s="99" t="s">
        <v>229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2" t="s">
        <v>226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102" t="s">
        <v>228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 x14ac:dyDescent="0.3">
      <c r="A82" s="99" t="s">
        <v>229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2" t="s">
        <v>226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2" t="s">
        <v>228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 x14ac:dyDescent="0.3">
      <c r="A109" s="99" t="s">
        <v>229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2" t="s">
        <v>226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2" t="s">
        <v>228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 x14ac:dyDescent="0.3">
      <c r="A136" s="99" t="s">
        <v>229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102" t="s">
        <v>226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2" t="s">
        <v>228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 x14ac:dyDescent="0.3">
      <c r="A163" s="99" t="s">
        <v>229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2" t="s">
        <v>226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2" t="s">
        <v>228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 x14ac:dyDescent="0.3">
      <c r="A190" s="99" t="s">
        <v>229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2" t="s">
        <v>226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2" t="s">
        <v>228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 x14ac:dyDescent="0.3">
      <c r="A217" s="99" t="s">
        <v>229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2" t="s">
        <v>228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 x14ac:dyDescent="0.3">
      <c r="A244" s="99" t="s">
        <v>229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2" t="s">
        <v>226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2" t="s">
        <v>228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 x14ac:dyDescent="0.3">
      <c r="A271" s="99" t="s">
        <v>229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2" t="s">
        <v>226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2" t="s">
        <v>228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 x14ac:dyDescent="0.3">
      <c r="A298" s="99" t="s">
        <v>229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2" t="s">
        <v>226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2" t="s">
        <v>228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 x14ac:dyDescent="0.3">
      <c r="A325" s="99" t="s">
        <v>229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2" t="s">
        <v>226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2" t="s">
        <v>228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 x14ac:dyDescent="0.3">
      <c r="A352" s="99" t="s">
        <v>229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2" t="s">
        <v>226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5.995185185020091E-2</v>
      </c>
      <c r="N377" s="46"/>
      <c r="O377" s="47"/>
    </row>
    <row r="378" spans="1:15" ht="15.75" customHeight="1" x14ac:dyDescent="0.3">
      <c r="A378" s="102" t="s">
        <v>228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0.21759074073908979</v>
      </c>
      <c r="N378" s="36" t="s">
        <v>227</v>
      </c>
      <c r="O378" s="78">
        <v>511980</v>
      </c>
    </row>
    <row r="379" spans="1:15" ht="18" customHeight="1" x14ac:dyDescent="0.3">
      <c r="A379" s="99" t="s">
        <v>229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0.32731296296131196</v>
      </c>
      <c r="N379" s="40" t="s">
        <v>230</v>
      </c>
      <c r="O379" s="84">
        <f>IFERROR(O365+O378,"")</f>
        <v>1320530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2" t="s">
        <v>226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2" t="s">
        <v>228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 x14ac:dyDescent="0.3">
      <c r="A406" s="99" t="s">
        <v>229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2" t="s">
        <v>226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3.8424074075010139E-2</v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0.2092574074083435</v>
      </c>
      <c r="N432" s="36" t="s">
        <v>227</v>
      </c>
      <c r="O432" s="78">
        <v>484540</v>
      </c>
    </row>
    <row r="433" spans="1:15" ht="18" customHeight="1" x14ac:dyDescent="0.3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0.35439629629723235</v>
      </c>
      <c r="N433" s="40" t="s">
        <v>230</v>
      </c>
      <c r="O433" s="84">
        <f>IFERROR(O419+O432,"")</f>
        <v>1184540</v>
      </c>
    </row>
    <row r="434" spans="1:15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2" t="s">
        <v>226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292</v>
      </c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2" t="s">
        <v>228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227</v>
      </c>
      <c r="O459" s="78">
        <v>631190</v>
      </c>
    </row>
    <row r="460" spans="1:15" ht="18" customHeight="1" x14ac:dyDescent="0.3">
      <c r="A460" s="99" t="s">
        <v>229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230</v>
      </c>
      <c r="O460" s="84">
        <f>IFERROR(O446+O459,"")</f>
        <v>1370620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2" t="s">
        <v>226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2" t="s">
        <v>228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 x14ac:dyDescent="0.3">
      <c r="A487" s="99" t="s">
        <v>229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2" t="s">
        <v>226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2" t="s">
        <v>228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 x14ac:dyDescent="0.3">
      <c r="A514" s="99" t="s">
        <v>229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2" t="s">
        <v>226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2" t="s">
        <v>228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 x14ac:dyDescent="0.3">
      <c r="A541" s="99" t="s">
        <v>229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2" t="s">
        <v>226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2" t="s">
        <v>228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 x14ac:dyDescent="0.3">
      <c r="A568" s="99" t="s">
        <v>229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2" t="s">
        <v>226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2" t="s">
        <v>228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 x14ac:dyDescent="0.3">
      <c r="A595" s="99" t="s">
        <v>229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2" t="s">
        <v>226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2" t="s">
        <v>228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 x14ac:dyDescent="0.3">
      <c r="A622" s="99" t="s">
        <v>229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2" t="s">
        <v>226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2" t="s">
        <v>228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 x14ac:dyDescent="0.3">
      <c r="A649" s="99" t="s">
        <v>229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2" t="s">
        <v>226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2" t="s">
        <v>228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 x14ac:dyDescent="0.3">
      <c r="A676" s="99" t="s">
        <v>229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2" t="s">
        <v>226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2" t="s">
        <v>228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 x14ac:dyDescent="0.3">
      <c r="A703" s="99" t="s">
        <v>229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2" t="s">
        <v>226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2" t="s">
        <v>228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 x14ac:dyDescent="0.3">
      <c r="A730" s="99" t="s">
        <v>229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2" t="s">
        <v>226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2" t="s">
        <v>228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99" t="s">
        <v>229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2" t="s">
        <v>226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2" t="s">
        <v>228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99" t="s">
        <v>229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2" t="s">
        <v>226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2" t="s">
        <v>228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99" t="s">
        <v>229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N435" sqref="N435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45.5546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2" t="s">
        <v>226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2" t="s">
        <v>228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 x14ac:dyDescent="0.3">
      <c r="A28" s="99" t="s">
        <v>229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2" t="s">
        <v>226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2" t="s">
        <v>228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 x14ac:dyDescent="0.3">
      <c r="A55" s="99" t="s">
        <v>229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2" t="s">
        <v>226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2" t="s">
        <v>228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 x14ac:dyDescent="0.3">
      <c r="A82" s="99" t="s">
        <v>229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2" t="s">
        <v>226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2" t="s">
        <v>228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 x14ac:dyDescent="0.3">
      <c r="A109" s="99" t="s">
        <v>229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2" t="s">
        <v>226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2" t="s">
        <v>228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 x14ac:dyDescent="0.3">
      <c r="A136" s="99" t="s">
        <v>229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2" t="s">
        <v>226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2" t="s">
        <v>228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 x14ac:dyDescent="0.3">
      <c r="A163" s="99" t="s">
        <v>229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2" t="s">
        <v>226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2" t="s">
        <v>228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 x14ac:dyDescent="0.3">
      <c r="A190" s="99" t="s">
        <v>229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2" t="s">
        <v>226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2" t="s">
        <v>228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 x14ac:dyDescent="0.3">
      <c r="A217" s="99" t="s">
        <v>229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2" t="s">
        <v>226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2" t="s">
        <v>228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 x14ac:dyDescent="0.3">
      <c r="A244" s="99" t="s">
        <v>229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2" t="s">
        <v>226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2" t="s">
        <v>228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 x14ac:dyDescent="0.3">
      <c r="A271" s="99" t="s">
        <v>229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2" t="s">
        <v>226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2" t="s">
        <v>228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 x14ac:dyDescent="0.3">
      <c r="A298" s="99" t="s">
        <v>229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2" t="s">
        <v>226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2" t="s">
        <v>228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 x14ac:dyDescent="0.3">
      <c r="A325" s="99" t="s">
        <v>229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2" t="s">
        <v>226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2" t="s">
        <v>228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 x14ac:dyDescent="0.3">
      <c r="A352" s="99" t="s">
        <v>229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2" t="s">
        <v>226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2" t="s">
        <v>228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 x14ac:dyDescent="0.3">
      <c r="A379" s="99" t="s">
        <v>229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2" t="s">
        <v>226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2" t="s">
        <v>228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 x14ac:dyDescent="0.3">
      <c r="A406" s="99" t="s">
        <v>229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2" t="s">
        <v>226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2" t="s">
        <v>228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 x14ac:dyDescent="0.3">
      <c r="A433" s="99" t="s">
        <v>229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2" t="s">
        <v>226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2" t="s">
        <v>228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227</v>
      </c>
      <c r="O459" s="39">
        <v>409980</v>
      </c>
    </row>
    <row r="460" spans="1:15" ht="18" customHeight="1" x14ac:dyDescent="0.3">
      <c r="A460" s="99" t="s">
        <v>229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230</v>
      </c>
      <c r="O460" s="48">
        <f>IFERROR(O446+O459,"")</f>
        <v>551310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2" t="s">
        <v>226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2" t="s">
        <v>228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 x14ac:dyDescent="0.3">
      <c r="A487" s="99" t="s">
        <v>229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2" t="s">
        <v>226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2" t="s">
        <v>228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 x14ac:dyDescent="0.3">
      <c r="A514" s="99" t="s">
        <v>229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2" t="s">
        <v>226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2" t="s">
        <v>228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 x14ac:dyDescent="0.3">
      <c r="A541" s="99" t="s">
        <v>229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2" t="s">
        <v>226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2" t="s">
        <v>228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 x14ac:dyDescent="0.3">
      <c r="A568" s="99" t="s">
        <v>229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2" t="s">
        <v>226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2" t="s">
        <v>228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 x14ac:dyDescent="0.3">
      <c r="A595" s="99" t="s">
        <v>229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2" t="s">
        <v>226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2" t="s">
        <v>228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 x14ac:dyDescent="0.3">
      <c r="A622" s="99" t="s">
        <v>229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2" t="s">
        <v>226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2" t="s">
        <v>228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 x14ac:dyDescent="0.3">
      <c r="A649" s="99" t="s">
        <v>229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2" t="s">
        <v>226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2" t="s">
        <v>228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 x14ac:dyDescent="0.3">
      <c r="A676" s="99" t="s">
        <v>229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2" t="s">
        <v>226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2" t="s">
        <v>228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 x14ac:dyDescent="0.3">
      <c r="A703" s="99" t="s">
        <v>229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2" t="s">
        <v>226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2" t="s">
        <v>228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 x14ac:dyDescent="0.3">
      <c r="A730" s="99" t="s">
        <v>229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2" t="s">
        <v>226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2" t="s">
        <v>228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99" t="s">
        <v>229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2" t="s">
        <v>226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2" t="s">
        <v>228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99" t="s">
        <v>229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2" t="s">
        <v>226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2" t="s">
        <v>228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99" t="s">
        <v>229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4" sqref="F444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2" t="s">
        <v>226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2" t="s">
        <v>228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 x14ac:dyDescent="0.3">
      <c r="A28" s="99" t="s">
        <v>229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2" t="s">
        <v>226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2" t="s">
        <v>228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 x14ac:dyDescent="0.3">
      <c r="A55" s="99" t="s">
        <v>229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2" t="s">
        <v>226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2" t="s">
        <v>228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 x14ac:dyDescent="0.3">
      <c r="A82" s="99" t="s">
        <v>229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2" t="s">
        <v>226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2" t="s">
        <v>228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 x14ac:dyDescent="0.3">
      <c r="A109" s="99" t="s">
        <v>229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2" t="s">
        <v>226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5.0229629632667638E-2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2" t="s">
        <v>228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0.24953518518822326</v>
      </c>
      <c r="N135" s="36" t="s">
        <v>227</v>
      </c>
      <c r="O135" s="39">
        <v>729290</v>
      </c>
    </row>
    <row r="136" spans="1:18" ht="18" customHeight="1" x14ac:dyDescent="0.3">
      <c r="A136" s="99" t="s">
        <v>229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0.61689629629933429</v>
      </c>
      <c r="N136" s="40" t="s">
        <v>230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2" t="s">
        <v>226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2" t="s">
        <v>228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 x14ac:dyDescent="0.3">
      <c r="A163" s="99" t="s">
        <v>229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2" t="s">
        <v>226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2" t="s">
        <v>228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 x14ac:dyDescent="0.3">
      <c r="A190" s="99" t="s">
        <v>229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2" t="s">
        <v>226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2" t="s">
        <v>228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 x14ac:dyDescent="0.3">
      <c r="A217" s="99" t="s">
        <v>229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2" t="s">
        <v>226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2" t="s">
        <v>228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 x14ac:dyDescent="0.3">
      <c r="A244" s="99" t="s">
        <v>229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2" t="s">
        <v>226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2" t="s">
        <v>228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 x14ac:dyDescent="0.3">
      <c r="A271" s="99" t="s">
        <v>229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2" t="s">
        <v>226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2" t="s">
        <v>228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 x14ac:dyDescent="0.3">
      <c r="A298" s="99" t="s">
        <v>229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2" t="s">
        <v>226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2" t="s">
        <v>228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 x14ac:dyDescent="0.3">
      <c r="A325" s="99" t="s">
        <v>229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 x14ac:dyDescent="0.3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2" t="s">
        <v>226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2" t="s">
        <v>228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 x14ac:dyDescent="0.3">
      <c r="A352" s="99" t="s">
        <v>229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102" t="s">
        <v>228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 x14ac:dyDescent="0.3">
      <c r="A379" s="99" t="s">
        <v>229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2" t="s">
        <v>226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2" t="s">
        <v>228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 x14ac:dyDescent="0.3">
      <c r="A406" s="99" t="s">
        <v>229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2" t="s">
        <v>226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2" t="s">
        <v>228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 x14ac:dyDescent="0.3">
      <c r="A433" s="99" t="s">
        <v>229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 x14ac:dyDescent="0.3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2" t="s">
        <v>226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 x14ac:dyDescent="0.3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224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224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224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344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2" t="s">
        <v>228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227</v>
      </c>
      <c r="O459" s="39">
        <v>615330</v>
      </c>
    </row>
    <row r="460" spans="1:15" ht="18" customHeight="1" x14ac:dyDescent="0.3">
      <c r="A460" s="99" t="s">
        <v>229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230</v>
      </c>
      <c r="O460" s="48">
        <f>IFERROR(O446+O459,"")</f>
        <v>1353700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2" t="s">
        <v>226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2" t="s">
        <v>228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 x14ac:dyDescent="0.3">
      <c r="A487" s="99" t="s">
        <v>229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2" t="s">
        <v>226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2" t="s">
        <v>228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 x14ac:dyDescent="0.3">
      <c r="A514" s="99" t="s">
        <v>229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2" t="s">
        <v>226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2" t="s">
        <v>228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 x14ac:dyDescent="0.3">
      <c r="A541" s="99" t="s">
        <v>229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2" t="s">
        <v>226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102" t="s">
        <v>228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 x14ac:dyDescent="0.3">
      <c r="A568" s="99" t="s">
        <v>229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2" t="s">
        <v>226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2" t="s">
        <v>228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 x14ac:dyDescent="0.3">
      <c r="A595" s="99" t="s">
        <v>229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2" t="s">
        <v>226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2" t="s">
        <v>228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 x14ac:dyDescent="0.3">
      <c r="A622" s="99" t="s">
        <v>229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2" t="s">
        <v>226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2" t="s">
        <v>228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 x14ac:dyDescent="0.3">
      <c r="A649" s="99" t="s">
        <v>229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2" t="s">
        <v>226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2" t="s">
        <v>228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 x14ac:dyDescent="0.3">
      <c r="A676" s="99" t="s">
        <v>229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2" t="s">
        <v>226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2" t="s">
        <v>228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 x14ac:dyDescent="0.3">
      <c r="A703" s="99" t="s">
        <v>229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2" t="s">
        <v>226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2" t="s">
        <v>228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 x14ac:dyDescent="0.3">
      <c r="A730" s="99" t="s">
        <v>229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2" t="s">
        <v>226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2" t="s">
        <v>228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 x14ac:dyDescent="0.3">
      <c r="A757" s="99" t="s">
        <v>229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2" t="s">
        <v>226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2" t="s">
        <v>228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 x14ac:dyDescent="0.3">
      <c r="A784" s="99" t="s">
        <v>229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2" t="s">
        <v>226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2" t="s">
        <v>228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 x14ac:dyDescent="0.3">
      <c r="A811" s="99" t="s">
        <v>229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2026-07-18T11:11:51Z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