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35" documentId="8_{AF585B22-221D-4780-BB9C-493D365A6A02}" xr6:coauthVersionLast="47" xr6:coauthVersionMax="47" xr10:uidLastSave="{6FE1AFE3-2D94-45E4-8F7D-47BB857F83AE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<sst xmlns="http://schemas.openxmlformats.org/spreadsheetml/2006/main" count="5319" uniqueCount="303">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</sst>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92" activePane="bottomLeft" state="frozen"/>
      <selection pane="bottomLeft" activeCell="N315" sqref="N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 t="s">
        <v>232</v>
      </c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284.3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/>
      <c r="I314" s="26"/>
      <c r="J314" s="26"/>
      <c r="K314" s="29">
        <v>0.91249999999999998</v>
      </c>
      <c r="L314" s="29"/>
      <c r="M314" s="30">
        <f t="shared" ca="1" si="70"/>
        <v>9.750347220688127E-3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4.6555902776243774E-2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0.19725034722068818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0.12572256944258697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28</v>
      </c>
      <c r="G324" s="36">
        <f>SUM(G312:G323)</f>
        <v>117.60000000000002</v>
      </c>
      <c r="H324" s="37"/>
      <c r="I324" s="37"/>
      <c r="J324" s="37"/>
      <c r="K324" s="37"/>
      <c r="L324" s="37"/>
      <c r="M324" s="38">
        <f ca="1">IFERROR(SUM(M312:M323),"")</f>
        <v>0.12572256944258697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412.20000000000005</v>
      </c>
      <c r="H325" s="41"/>
      <c r="I325" s="41"/>
      <c r="J325" s="41"/>
      <c r="K325" s="41"/>
      <c r="L325" s="41"/>
      <c r="M325" s="42">
        <f ca="1">IFERROR(M311+M324,"")</f>
        <v>0.2250281249981424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5" sqref="F3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0.67294479166594101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0.87225034722149664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1.2396114583326077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18</v>
      </c>
      <c r="I317" s="33" t="s">
        <v>128</v>
      </c>
      <c r="J317" s="33" t="s">
        <v>130</v>
      </c>
      <c r="K317" s="29">
        <v>0.89583333333333337</v>
      </c>
      <c r="L317" s="29"/>
      <c r="M317" s="35">
        <f t="shared" ca="1" si="70"/>
        <v>2.6417013883474283E-2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48</v>
      </c>
      <c r="G324" s="36">
        <f>SUM(G312:G323)</f>
        <v>217.6</v>
      </c>
      <c r="H324" s="37"/>
      <c r="I324" s="37"/>
      <c r="J324" s="37"/>
      <c r="K324" s="61"/>
      <c r="L324" s="61"/>
      <c r="M324" s="38">
        <f ca="1">IFERROR(SUM(M312:M323),"")</f>
        <v>6.6694791661252029E-2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78</v>
      </c>
      <c r="G325" s="40">
        <f>G311+G324</f>
        <v>343.6</v>
      </c>
      <c r="H325" s="41"/>
      <c r="I325" s="41"/>
      <c r="J325" s="41"/>
      <c r="K325" s="63"/>
      <c r="L325" s="63"/>
      <c r="M325" s="42">
        <f ca="1">IFERROR(M311+M324,"")</f>
        <v>0.47988923610569656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2026-07-13T02:08:28Z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