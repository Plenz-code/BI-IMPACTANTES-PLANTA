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497" documentId="8_{AF585B22-221D-4780-BB9C-493D365A6A02}" xr6:coauthVersionLast="47" xr6:coauthVersionMax="47" xr10:uidLastSave="{8491F6CF-E1B4-43E4-8C7C-E5C23FF897E8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109" i="3" l="1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<sst xmlns="http://schemas.openxmlformats.org/spreadsheetml/2006/main" count="2687" uniqueCount="237">
  <si>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</si>
  <si>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</si>
  <si>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</si>
  <si>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</si>
  <si>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</si>
  <si>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</si>
  <si>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</si>
  <si>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</si>
  <si>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</si>
  <si>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</si>
  <si>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</si>
  <si>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</si>
  <si>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</si>
  <si>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</si>
  <si>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</si>
  <si>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</si>
  <si>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</si>
  <si>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</si>
  <si>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</si>
  <si>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</si>
  <si>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</si>
  <si>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</si>
  <si>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</si>
  <si>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</si>
  <si>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</si>
  <si>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</si>
  <si>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</si>
  <si>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</si>
  <si>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</si>
  <si>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</si>
  <si>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</si>
  <si>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</si>
  <si>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</si>
  <si>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</si>
  <si>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</si>
  <si>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</si>
  <si>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</si>
  <si>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</si>
  <si>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</si>
  <si>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</si>
  <si>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</si>
  <si>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</si>
  <si>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</si>
  <si>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</si>
  <si>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</si>
  <si>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</si>
  <si>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</si>
  <si>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</si>
  <si>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</si>
  <si>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</si>
  <si>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</si>
  <si>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</si>
  <si>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</si>
  <si>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</si>
  <si>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</si>
  <si>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</si>
  <si>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</si>
  <si>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</si>
  <si>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</si>
  <si>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</si>
  <si>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</si>
  <si>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</si>
  <si>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</si>
  <si>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</si>
  <si>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</si>
  <si>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</si>
  <si>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</si>
  <si>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</si>
  <si>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</si>
  <si>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</si>
  <si>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</si>
  <si>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</si>
  <si>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</si>
  <si>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</si>
  <si>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</si>
  <si>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</si>
  <si>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</si>
  <si>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</si>
  <si>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</si>
  <si>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</si>
  <si>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</si>
  <si>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</si>
  <si>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</si>
  <si>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</si>
  <si>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</si>
  <si>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</si>
  <si>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</si>
  <si>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</si>
  <si>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</si>
  <si>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</si>
  <si>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</si>
  <si>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</si>
  <si>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</si>
  <si>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</si>
  <si>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</si>
  <si>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</si>
  <si>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</si>
  <si>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</si>
  <si>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</si>
  <si>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</si>
  <si>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</si>
  <si>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</si>
  <si>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</si>
  <si>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</si>
  <si>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</si>
  <si>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</si>
  <si>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</si>
  <si>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</si>
  <si>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</si>
  <si>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</si>
  <si>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</si>
  <si>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</si>
  <si>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</si>
  <si>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</si>
  <si>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</si>
  <si>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</si>
  <si>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</si>
  <si>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</si>
  <si>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</si>
  <si>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</si>
  <si>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</si>
  <si>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</si>
  <si>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</si>
  <si>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</si>
  <si>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</si>
  <si>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</si>
  <si>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</si>
  <si>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</si>
  <si>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</si>
  <si>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</si>
  <si>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</si>
  <si>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</si>
  <si>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</si>
  <si>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</si>
  <si>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</si>
  <si>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</si>
  <si>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</si>
  <si>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</si>
  <si>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</si>
  <si>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</si>
  <si>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</si>
  <si>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</si>
  <si>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</si>
  <si>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</si>
  <si>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</si>
  <si>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</si>
  <si>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</si>
  <si>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</si>
  <si>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</si>
  <si>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</si>
  <si>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</si>
  <si>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</si>
  <si>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</si>
  <si>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</si>
  <si>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</si>
  <si>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</si>
  <si>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</si>
  <si>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</si>
  <si>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</si>
  <si>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</si>
  <si>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</si>
  <si>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</si>
  <si>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</si>
  <si>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</si>
  <si>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</si>
  <si>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</si>
  <si>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</si>
  <si>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</si>
  <si>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</si>
  <si>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</si>
  <si>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</si>
  <si>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</si>
  <si>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</si>
  <si>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</si>
  <si>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</si>
  <si>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</si>
  <si>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</si>
  <si>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</si>
  <si>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</si>
  <si>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</si>
  <si>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</si>
  <si>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</si>
  <si>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</si>
  <si>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</si>
  <si>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Borracha da correia alimentadora fora do lugar</t>
  </si>
  <si>
    <t>emenda da tc 02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</si>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</sst>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1625420</v>
      </c>
      <c r="D8" s="8">
        <f>IFERROR('Linha 1'!O136,"")</f>
        <v>869260</v>
      </c>
      <c r="E8" s="8">
        <f>IFERROR('Linha 2'!O136,"")</f>
        <v>51130</v>
      </c>
      <c r="F8" s="8">
        <f>IFERROR('Linha 3'!O136,"")</f>
        <v>274450</v>
      </c>
      <c r="G8" s="9">
        <f t="shared" si="0"/>
        <v>1194840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11601440</v>
      </c>
      <c r="D35" s="13">
        <f>IFERROR(SUM(D4:D34),"")</f>
        <v>4970370</v>
      </c>
      <c r="E35" s="13">
        <f>IFERROR(SUM(E4:E34),"")</f>
        <v>2397340</v>
      </c>
      <c r="F35" s="13">
        <f>IFERROR(SUM(F4:F34),"")</f>
        <v>4246640</v>
      </c>
      <c r="G35" s="13">
        <f>IFERROR(SUM(G4:G34),"")</f>
        <v>11614350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7" zoomScale="85" zoomScaleNormal="85" workbookViewId="0">
      <selection activeCell="K56" sqref="K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/>
    </row>
    <row r="49" spans="1:13" ht="18" customHeight="1">
      <c r="H49" s="96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180</v>
      </c>
      <c r="L50" s="16"/>
      <c r="M50" s="16"/>
    </row>
    <row r="51" spans="1:13" ht="24" customHeight="1">
      <c r="H51" s="96"/>
      <c r="I51" s="17"/>
      <c r="J51" s="17"/>
      <c r="K51" s="17" t="s">
        <v>181</v>
      </c>
      <c r="L51" s="17"/>
      <c r="M51" s="17"/>
    </row>
    <row r="52" spans="1:13" ht="24" customHeight="1">
      <c r="H52" s="96"/>
      <c r="I52" s="16"/>
      <c r="J52" s="16"/>
      <c r="K52" s="16" t="s">
        <v>182</v>
      </c>
      <c r="L52" s="16"/>
      <c r="M52" s="16"/>
    </row>
    <row r="53" spans="1:13" ht="36" customHeight="1">
      <c r="H53" s="96"/>
      <c r="I53" s="17"/>
      <c r="J53" s="17"/>
      <c r="K53" s="17" t="s">
        <v>183</v>
      </c>
      <c r="L53" s="17"/>
      <c r="M53" s="17"/>
    </row>
    <row r="54" spans="1:13" ht="15" customHeight="1">
      <c r="H54" s="96"/>
      <c r="I54" s="16"/>
      <c r="J54" s="16"/>
      <c r="K54" s="16" t="s">
        <v>184</v>
      </c>
      <c r="L54" s="16"/>
      <c r="M54" s="16"/>
    </row>
    <row r="55" spans="1:13" ht="15" customHeight="1">
      <c r="H55" s="96"/>
      <c r="I55" s="17"/>
      <c r="J55" s="17"/>
      <c r="K55" s="17" t="s">
        <v>185</v>
      </c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106" activePane="bottomLeft" state="frozen"/>
      <selection pane="bottomLeft" activeCell="E123" sqref="E123:E13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196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200</v>
      </c>
      <c r="O27" s="39">
        <v>1183060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200</v>
      </c>
      <c r="O54" s="39">
        <v>959290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200</v>
      </c>
      <c r="O81" s="39">
        <v>878050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197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200</v>
      </c>
      <c r="O108" s="39">
        <v>1700000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197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197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197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197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197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197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197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197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197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197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197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197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267</v>
      </c>
      <c r="G136" s="40">
        <f>G122+G135</f>
        <v>1335</v>
      </c>
      <c r="H136" s="41"/>
      <c r="I136" s="41"/>
      <c r="J136" s="41"/>
      <c r="K136" s="41"/>
      <c r="L136" s="41"/>
      <c r="M136" s="42">
        <f ca="1">IFERROR(M122+M135,"")</f>
        <v>1.3888888888888895E-2</v>
      </c>
      <c r="N136" s="40" t="s">
        <v>203</v>
      </c>
      <c r="O136" s="43">
        <f>IFERROR(O122+O135,"")</f>
        <v>1625420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44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45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39"/>
    </row>
    <row r="433" spans="1:15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01" activePane="bottomLeft" state="frozen"/>
      <selection pane="bottomLeft" activeCell="L124" sqref="L12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200</v>
      </c>
      <c r="O27" s="78">
        <v>393200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208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200</v>
      </c>
      <c r="O54" s="85">
        <v>276360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200</v>
      </c>
      <c r="O81" s="54">
        <v>787860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216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200</v>
      </c>
      <c r="O108" s="54">
        <v>1087080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217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208</v>
      </c>
      <c r="F123" s="27"/>
      <c r="G123" s="34" t="str">
        <f t="shared" ref="G123:G134" si="27">IF(F123="","",IF(E123="PC 17",F123*4.2,IF(E123="PC 19",F123*5,"")))</f>
        <v/>
      </c>
      <c r="H123" s="33" t="s">
        <v>18</v>
      </c>
      <c r="I123" s="33" t="s">
        <v>31</v>
      </c>
      <c r="J123" s="33" t="s">
        <v>156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218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208</v>
      </c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208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208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208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208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208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1.3888888888888951E-2</v>
      </c>
      <c r="N135" s="36" t="s">
        <v>200</v>
      </c>
      <c r="O135" s="54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135</v>
      </c>
      <c r="G136" s="40">
        <f>G122+G135</f>
        <v>567</v>
      </c>
      <c r="H136" s="41"/>
      <c r="I136" s="41"/>
      <c r="J136" s="41"/>
      <c r="K136" s="41"/>
      <c r="L136" s="41"/>
      <c r="M136" s="42">
        <f ca="1">IFERROR(M122+M135,"")</f>
        <v>0.15555555555555561</v>
      </c>
      <c r="N136" s="40" t="s">
        <v>203</v>
      </c>
      <c r="O136" s="83">
        <f>IFERROR(O122+O135,"")</f>
        <v>869260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54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78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78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78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78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78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78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78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78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78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78"/>
    </row>
    <row r="433" spans="1:15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78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78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78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78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78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78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78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78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78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78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78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00" activePane="bottomLeft" state="frozen"/>
      <selection pane="bottomLeft" activeCell="I119" sqref="I11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220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200</v>
      </c>
      <c r="O27" s="39">
        <v>308500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221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200</v>
      </c>
      <c r="O54" s="39">
        <v>124290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222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223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200</v>
      </c>
      <c r="O81" s="39">
        <v>396340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224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200</v>
      </c>
      <c r="O108" s="39">
        <v>41230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208</v>
      </c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208</v>
      </c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208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208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208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208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208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7</v>
      </c>
      <c r="G136" s="40">
        <f>G122+G135</f>
        <v>29.4</v>
      </c>
      <c r="H136" s="41"/>
      <c r="I136" s="41"/>
      <c r="J136" s="41"/>
      <c r="K136" s="41"/>
      <c r="L136" s="41"/>
      <c r="M136" s="42">
        <f ca="1">IFERROR(M122+M135,"")</f>
        <v>0.4513888888888889</v>
      </c>
      <c r="N136" s="40" t="s">
        <v>203</v>
      </c>
      <c r="O136" s="43">
        <f>IFERROR(O122+O135,"")</f>
        <v>51130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39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39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39"/>
    </row>
    <row r="433" spans="1:15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107" activePane="bottomLeft" state="frozen"/>
      <selection pane="bottomLeft" activeCell="N123" sqref="N12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225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223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226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200</v>
      </c>
      <c r="O27" s="39">
        <v>202230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200</v>
      </c>
      <c r="O54" s="39">
        <v>473910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229</v>
      </c>
      <c r="L58" s="29">
        <v>0.54097222222222219</v>
      </c>
      <c r="M58" s="30" t="str">
        <f t="shared" ca="1" si="13"/>
        <v/>
      </c>
      <c r="N58" s="27" t="s">
        <v>230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231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232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233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234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200</v>
      </c>
      <c r="O81" s="39">
        <v>565120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235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200</v>
      </c>
      <c r="O108" s="39">
        <v>558590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236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208</v>
      </c>
      <c r="F123" s="27"/>
      <c r="G123" s="34" t="str">
        <f t="shared" ref="G123:G134" si="27">IF(F123="","",IF(E123="PC 17",F123*4.2,IF(E123="PC 19",F123*5,"")))</f>
        <v/>
      </c>
      <c r="H123" s="33" t="s">
        <v>18</v>
      </c>
      <c r="I123" s="33" t="s">
        <v>75</v>
      </c>
      <c r="J123" s="33" t="s">
        <v>96</v>
      </c>
      <c r="K123" s="29">
        <v>0.79166666666666663</v>
      </c>
      <c r="L123" s="29"/>
      <c r="M123" s="35">
        <f t="shared" ref="M123:M134" ca="1" si="28">IFERROR(IF(K123="","",IF(L123="",MOD(NOW()-K123,1),IF(L123&gt;=K123,L123-K123,L123+1-K123))),"")</f>
        <v>2.4162615743989591E-2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208</v>
      </c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208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208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208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208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208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2.4162615743989591E-2</v>
      </c>
      <c r="N135" s="36" t="s">
        <v>200</v>
      </c>
      <c r="O135" s="39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54</v>
      </c>
      <c r="G136" s="40">
        <f>G122+G135</f>
        <v>226.8</v>
      </c>
      <c r="H136" s="41"/>
      <c r="I136" s="41"/>
      <c r="J136" s="41"/>
      <c r="K136" s="63"/>
      <c r="L136" s="63"/>
      <c r="M136" s="42">
        <f ca="1">IFERROR(M122+M135,"")</f>
        <v>0.39152372685510067</v>
      </c>
      <c r="N136" s="40" t="s">
        <v>203</v>
      </c>
      <c r="O136" s="48">
        <f>IFERROR(O122+O135,"")</f>
        <v>274450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200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200</v>
      </c>
      <c r="O162" s="39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200</v>
      </c>
      <c r="O216" s="45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200</v>
      </c>
      <c r="O432" s="39"/>
    </row>
    <row r="433" spans="1:17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2026-07-05T23:35:14Z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