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299" documentId="8_{AF585B22-221D-4780-BB9C-493D365A6A02}" xr6:coauthVersionLast="47" xr6:coauthVersionMax="47" xr10:uidLastSave="{390B85B9-B954-4997-8D9E-EF0199447E1B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" i="1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<sst xmlns="http://schemas.openxmlformats.org/spreadsheetml/2006/main" count="8955" uniqueCount="373">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</sst>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64593351</v>
      </c>
      <c r="D35" s="13">
        <f>IFERROR(SUM(D4:D34),"")</f>
        <v>25494250</v>
      </c>
      <c r="E35" s="13">
        <f>IFERROR(SUM(E4:E34),"")</f>
        <v>14327890</v>
      </c>
      <c r="F35" s="13">
        <f>IFERROR(SUM(F4:F34),"")</f>
        <v>28724440</v>
      </c>
      <c r="G35" s="13">
        <f>IFERROR(SUM(G4:G34),"")</f>
        <v>68546580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63" activePane="bottomLeft" state="frozen"/>
      <selection pane="bottomLeft" activeCell="D576" sqref="D57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231</v>
      </c>
      <c r="O567" s="39">
        <v>1482110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234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57" activePane="bottomLeft" state="frozen"/>
      <selection pane="bottomLeft" activeCell="F570" sqref="F57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9.8588888889935333E-2</v>
      </c>
      <c r="N377" s="46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0.25622777777882422</v>
      </c>
      <c r="N378" s="36" t="s">
        <v>231</v>
      </c>
      <c r="O378" s="77">
        <v>511980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0.36595000000104638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7.7061111114744563E-2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0.24789444444807793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0.39303333333696677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231</v>
      </c>
      <c r="O567" s="77">
        <v>722660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234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30</v>
      </c>
      <c r="G581" s="36">
        <f>SUM(G569:G580)</f>
        <v>126</v>
      </c>
      <c r="H581" s="37"/>
      <c r="I581" s="37"/>
      <c r="J581" s="37"/>
      <c r="K581" s="37"/>
      <c r="L581" s="37"/>
      <c r="M581" s="38">
        <f ca="1">IFERROR(SUM(M569:M580),"")</f>
        <v>4.8611111111110938E-3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30</v>
      </c>
      <c r="G595" s="40">
        <f>G581+G594</f>
        <v>126</v>
      </c>
      <c r="H595" s="41"/>
      <c r="I595" s="41"/>
      <c r="J595" s="41"/>
      <c r="K595" s="41"/>
      <c r="L595" s="41"/>
      <c r="M595" s="42">
        <f ca="1">IFERROR(M581+M594,"")</f>
        <v>4.8611111111110938E-3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563" zoomScale="50" zoomScaleNormal="50" workbookViewId="0">
      <selection activeCell="J570" sqref="J57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310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312</v>
      </c>
      <c r="N166" s="27" t="s">
        <v>313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329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231</v>
      </c>
      <c r="O567" s="39">
        <v>315860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234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/>
      <c r="M570" s="30">
        <f t="shared" ca="1" si="127"/>
        <v>3.4500000037951395E-3</v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6</v>
      </c>
      <c r="G581" s="36">
        <f>SUM(G569:G580)</f>
        <v>25.200000000000003</v>
      </c>
      <c r="H581" s="37"/>
      <c r="I581" s="37"/>
      <c r="J581" s="37"/>
      <c r="K581" s="37"/>
      <c r="L581" s="37"/>
      <c r="M581" s="38">
        <f ca="1">IFERROR(SUM(M569:M580),"")</f>
        <v>8.3111111149062333E-3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6</v>
      </c>
      <c r="G595" s="40">
        <f>G581+G594</f>
        <v>25.200000000000003</v>
      </c>
      <c r="H595" s="41"/>
      <c r="I595" s="41"/>
      <c r="J595" s="41"/>
      <c r="K595" s="41"/>
      <c r="L595" s="41"/>
      <c r="M595" s="42">
        <f ca="1">IFERROR(M581+M594,"")</f>
        <v>8.3111111149062333E-3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49" activePane="bottomLeft" state="frozen"/>
      <selection pane="bottomLeft" activeCell="J569" sqref="J56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334</v>
      </c>
      <c r="L58" s="29">
        <v>0.54097222222222219</v>
      </c>
      <c r="M58" s="30" t="str">
        <f t="shared" ca="1" si="13"/>
        <v/>
      </c>
      <c r="N58" s="27" t="s">
        <v>335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8.8866666672402062E-2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0.28817222222795769</v>
      </c>
      <c r="N135" s="36" t="s">
        <v>231</v>
      </c>
      <c r="O135" s="39">
        <v>729290</v>
      </c>
    </row>
    <row r="136" spans="1:18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0.65553333333906871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230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231</v>
      </c>
      <c r="O567" s="39">
        <v>499820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234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/>
      <c r="M569" s="35">
        <f t="shared" ref="M569:M574" ca="1" si="127">IFERROR(IF(K569="","",IF(L569="",MOD(NOW()-K569,1),IF(L569&gt;=K569,L569-K569,L569+1-K569))),"")</f>
        <v>4.6505555561452638E-2</v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4.6505555561452638E-2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4.6505555561452638E-2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2026-07-22T12:07:13Z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