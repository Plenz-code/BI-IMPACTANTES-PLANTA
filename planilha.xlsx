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760" documentId="8_{AF585B22-221D-4780-BB9C-493D365A6A02}" xr6:coauthVersionLast="47" xr6:coauthVersionMax="47" xr10:uidLastSave="{C520E6D7-15EE-4B6C-9471-C9A971395616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<sst xmlns="http://schemas.openxmlformats.org/spreadsheetml/2006/main" count="6765" uniqueCount="332">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</sst>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23" sqref="K23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1600690</v>
      </c>
      <c r="D19" s="11">
        <f>IFERROR('Linha 1'!O433,"")</f>
        <v>700000</v>
      </c>
      <c r="E19" s="11">
        <f>IFERROR('Linha 2'!O433,"")</f>
        <v>209000</v>
      </c>
      <c r="F19" s="11">
        <f>IFERROR('Linha 3'!O433,"")</f>
        <v>491520</v>
      </c>
      <c r="G19" s="12">
        <f t="shared" si="0"/>
        <v>1400520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46522052</v>
      </c>
      <c r="D35" s="13">
        <f>IFERROR(SUM(D4:D34),"")</f>
        <v>17280590</v>
      </c>
      <c r="E35" s="13">
        <f>IFERROR(SUM(E4:E34),"")</f>
        <v>11416280</v>
      </c>
      <c r="F35" s="13">
        <f>IFERROR(SUM(F4:F34),"")</f>
        <v>21432540</v>
      </c>
      <c r="G35" s="13">
        <f>IFERROR(SUM(G4:G34),"")</f>
        <v>50129410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1" activePane="bottomLeft" state="frozen"/>
      <selection pane="bottomLeft" activeCell="O420" sqref="O42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243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244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245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245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223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221</v>
      </c>
      <c r="G433" s="40">
        <f>G419+G432</f>
        <v>1105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226</v>
      </c>
      <c r="O433" s="48">
        <f>IFERROR(O419+O432,"")</f>
        <v>1600690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O420" sqref="O42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246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272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246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246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275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276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277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0.53720497684844304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0.69484386573733192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0.80456608795955409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246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246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246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246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261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246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278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246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246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246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246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246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279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246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246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246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246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246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246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246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246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246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223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139</v>
      </c>
      <c r="G433" s="40">
        <f>G419+G432</f>
        <v>596.60000000000014</v>
      </c>
      <c r="H433" s="41"/>
      <c r="I433" s="41"/>
      <c r="J433" s="41"/>
      <c r="K433" s="41"/>
      <c r="L433" s="41"/>
      <c r="M433" s="42">
        <f ca="1">IFERROR(M419+M432,"")</f>
        <v>0.14513888888888887</v>
      </c>
      <c r="N433" s="40" t="s">
        <v>226</v>
      </c>
      <c r="O433" s="84">
        <f>IFERROR(O419+O432,"")</f>
        <v>700000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6" zoomScale="50" zoomScaleNormal="50" workbookViewId="0">
      <selection activeCell="O421" sqref="O4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260</v>
      </c>
      <c r="K141" s="29">
        <v>0.71597222222222223</v>
      </c>
      <c r="L141" s="29" t="s">
        <v>287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289</v>
      </c>
      <c r="N166" s="27" t="s">
        <v>290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297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299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246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246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246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246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246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246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246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246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246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246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246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246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246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246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246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246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246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246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246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246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223</v>
      </c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39">
        <v>209000</v>
      </c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61</v>
      </c>
      <c r="G433" s="40">
        <f>G419+G432</f>
        <v>260.2</v>
      </c>
      <c r="H433" s="41"/>
      <c r="I433" s="41"/>
      <c r="J433" s="41"/>
      <c r="K433" s="41"/>
      <c r="L433" s="41"/>
      <c r="M433" s="42">
        <f ca="1">IFERROR(M419+M432,"")</f>
        <v>9.1666666666666674E-2</v>
      </c>
      <c r="N433" s="40" t="s">
        <v>226</v>
      </c>
      <c r="O433" s="48">
        <f>IFERROR(O420+O432,"")</f>
        <v>209000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88" activePane="bottomLeft" state="frozen"/>
      <selection pane="bottomLeft" activeCell="O420" sqref="O42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304</v>
      </c>
      <c r="L58" s="29">
        <v>0.54097222222222219</v>
      </c>
      <c r="M58" s="30" t="str">
        <f t="shared" ca="1" si="13"/>
        <v/>
      </c>
      <c r="N58" s="27" t="s">
        <v>305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0.52748275463090977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0.72678831018646539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1.0941494212975764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246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246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246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246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246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246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246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246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246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284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246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246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246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246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316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246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246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246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246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246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246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330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331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246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246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246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246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246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246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246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246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223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114</v>
      </c>
      <c r="G433" s="40">
        <f>G419+G432</f>
        <v>482</v>
      </c>
      <c r="H433" s="41"/>
      <c r="I433" s="41"/>
      <c r="J433" s="41"/>
      <c r="K433" s="63"/>
      <c r="L433" s="63"/>
      <c r="M433" s="42">
        <f ca="1">IFERROR(M419+M432,"")</f>
        <v>0.23402777777777778</v>
      </c>
      <c r="N433" s="40" t="s">
        <v>226</v>
      </c>
      <c r="O433" s="48">
        <f>IFERROR(O419+O432,"")</f>
        <v>491520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2026-07-16T22:39:08Z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