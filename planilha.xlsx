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650" documentId="8_{AF585B22-221D-4780-BB9C-493D365A6A02}" xr6:coauthVersionLast="47" xr6:coauthVersionMax="47" xr10:uidLastSave="{4AC31E89-A830-4042-8ADB-18D934BC241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<sst xmlns="http://schemas.openxmlformats.org/spreadsheetml/2006/main" count="2735" uniqueCount="247">
  <si>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</si>
  <si>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</si>
  <si>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</si>
  <si>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</si>
  <si>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</si>
  <si>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</si>
  <si>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</si>
  <si>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</si>
  <si>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</si>
  <si>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</si>
  <si>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</si>
  <si>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</si>
  <si>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</si>
  <si>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</si>
  <si>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</si>
  <si>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</si>
  <si>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</si>
  <si>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</si>
  <si>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</si>
  <si>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</si>
  <si>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</si>
  <si>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</si>
  <si>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</si>
  <si>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</si>
  <si>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</si>
  <si>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</si>
  <si>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</si>
  <si>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</si>
  <si>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</si>
  <si>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</si>
  <si>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</si>
  <si>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</si>
  <si>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</si>
  <si>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</si>
  <si>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</si>
  <si>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</si>
  <si>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</si>
  <si>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</si>
  <si>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</si>
  <si>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</si>
  <si>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</si>
  <si>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</si>
  <si>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</si>
  <si>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</si>
  <si>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</si>
  <si>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</si>
  <si>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</si>
  <si>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</si>
  <si>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</si>
  <si>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</si>
  <si>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</si>
  <si>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</si>
  <si>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</si>
  <si>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</si>
  <si>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</si>
  <si>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</si>
  <si>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</si>
  <si>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</si>
  <si>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</si>
  <si>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</si>
  <si>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</si>
  <si>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</si>
  <si>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</si>
  <si>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</si>
  <si>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</si>
  <si>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</si>
  <si>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</si>
  <si>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</si>
  <si>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</si>
  <si>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</si>
  <si>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</si>
  <si>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</si>
  <si>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</si>
  <si>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</si>
  <si>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</si>
  <si>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</si>
  <si>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</si>
  <si>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</si>
  <si>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</si>
  <si>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</si>
  <si>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</si>
  <si>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</si>
  <si>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</si>
  <si>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</si>
  <si>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</si>
  <si>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</si>
  <si>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</si>
  <si>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</si>
  <si>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</si>
  <si>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</si>
  <si>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</si>
  <si>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</si>
  <si>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</si>
  <si>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</si>
  <si>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</si>
  <si>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</si>
  <si>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</si>
  <si>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</si>
  <si>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</si>
  <si>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</si>
  <si>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</si>
  <si>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</si>
  <si>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</si>
  <si>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</si>
  <si>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</si>
  <si>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</si>
  <si>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</si>
  <si>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</si>
  <si>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</si>
  <si>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</si>
  <si>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</si>
  <si>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</si>
  <si>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</si>
  <si>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</si>
  <si>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</si>
  <si>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</si>
  <si>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</si>
  <si>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</si>
  <si>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</si>
  <si>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</si>
  <si>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</si>
  <si>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</si>
  <si>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</si>
  <si>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</si>
  <si>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</si>
  <si>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</si>
  <si>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</si>
  <si>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</si>
  <si>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</si>
  <si>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</si>
  <si>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</si>
  <si>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</si>
  <si>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</si>
  <si>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</si>
  <si>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</si>
  <si>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</si>
  <si>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</si>
  <si>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</si>
  <si>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</si>
  <si>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</si>
  <si>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</si>
  <si>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</si>
  <si>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</si>
  <si>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</si>
  <si>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</si>
  <si>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</si>
  <si>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</si>
  <si>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</si>
  <si>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</si>
  <si>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</si>
  <si>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</si>
  <si>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</si>
  <si>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</si>
  <si>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</si>
  <si>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</si>
  <si>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</si>
  <si>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</si>
  <si>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</si>
  <si>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</si>
  <si>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</si>
  <si>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</si>
  <si>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</si>
  <si>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</si>
  <si>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</si>
  <si>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</si>
  <si>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</si>
  <si>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</si>
  <si>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</si>
  <si>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</si>
  <si>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</si>
  <si>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</si>
  <si>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</si>
  <si>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</si>
  <si>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</si>
  <si>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</si>
  <si>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</si>
  <si>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</si>
  <si>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</si>
  <si>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</si>
  <si>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</si>
  <si>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</si>
  <si>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</si>
  <si>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</si>
  <si>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</si>
  <si>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</si>
  <si>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</si>
  <si>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</si>
  <si>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</si>
  <si>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</si>
  <si>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</si>
  <si>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</si>
  <si>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</si>
  <si>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</si>
  <si>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</si>
  <si>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</si>
  <si>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</si>
  <si>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</si>
  <si>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</si>
  <si>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</si>
  <si>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</si>
  <si>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</si>
  <si>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</si>
  <si>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</si>
  <si>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</si>
  <si>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</si>
  <si>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</si>
  <si>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</si>
  <si>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</si>
  <si>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</si>
  <si>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</si>
  <si>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</si>
  <si>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</si>
  <si>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</si>
  <si>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</si>
  <si>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</si>
  <si>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</si>
  <si>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</si>
  <si>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</si>
  <si>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</si>
  <si>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</si>
  <si>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</si>
  <si>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</si>
  <si>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</si>
  <si>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</si>
  <si>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</si>
  <si>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</si>
  <si>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</si>
  <si>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</si>
  <si>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</si>
  <si>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</si>
  <si>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</si>
  <si>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</si>
  <si>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02:00 PC 19 furou pneu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</si>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</sst>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1625420</v>
      </c>
      <c r="D8" s="8">
        <f>IFERROR('Linha 1'!O136,"")</f>
        <v>869260</v>
      </c>
      <c r="E8" s="8">
        <f>IFERROR('Linha 2'!O136,"")</f>
        <v>51130</v>
      </c>
      <c r="F8" s="8">
        <f>IFERROR('Linha 3'!O136,"")</f>
        <v>274450</v>
      </c>
      <c r="G8" s="9">
        <f t="shared" si="0"/>
        <v>1194840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11601440</v>
      </c>
      <c r="D35" s="13">
        <f>IFERROR(SUM(D4:D34),"")</f>
        <v>4970370</v>
      </c>
      <c r="E35" s="13">
        <f>IFERROR(SUM(E4:E34),"")</f>
        <v>2397340</v>
      </c>
      <c r="F35" s="13">
        <f>IFERROR(SUM(F4:F34),"")</f>
        <v>4246640</v>
      </c>
      <c r="G35" s="13">
        <f>IFERROR(SUM(G4:G34),"")</f>
        <v>11614350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1" sqref="M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/>
    </row>
    <row r="52" spans="1:13" ht="24" customHeight="1">
      <c r="H52" s="96"/>
      <c r="I52" s="16"/>
      <c r="J52" s="16"/>
      <c r="K52" s="16" t="s">
        <v>185</v>
      </c>
      <c r="L52" s="16"/>
      <c r="M52" s="16"/>
    </row>
    <row r="53" spans="1:13" ht="36" customHeight="1">
      <c r="H53" s="96"/>
      <c r="I53" s="17"/>
      <c r="J53" s="17"/>
      <c r="K53" s="17" t="s">
        <v>186</v>
      </c>
      <c r="L53" s="17"/>
      <c r="M53" s="17"/>
    </row>
    <row r="54" spans="1:13" ht="15" customHeight="1">
      <c r="H54" s="96"/>
      <c r="I54" s="16"/>
      <c r="J54" s="16"/>
      <c r="K54" s="16" t="s">
        <v>187</v>
      </c>
      <c r="L54" s="16"/>
      <c r="M54" s="16"/>
    </row>
    <row r="55" spans="1:13" ht="15" customHeight="1">
      <c r="H55" s="96"/>
      <c r="I55" s="17"/>
      <c r="J55" s="17"/>
      <c r="K55" s="17" t="s">
        <v>188</v>
      </c>
      <c r="L55" s="17"/>
      <c r="M55" s="17"/>
    </row>
    <row r="56" spans="1:13" ht="15" customHeight="1">
      <c r="H56" s="96"/>
      <c r="I56" s="16"/>
      <c r="J56" s="16"/>
      <c r="K56" s="16" t="s">
        <v>189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00" activePane="bottomLeft" state="frozen"/>
      <selection pane="bottomLeft" activeCell="J126" sqref="J12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200</v>
      </c>
      <c r="E2" s="59" t="s">
        <v>201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204</v>
      </c>
      <c r="O27" s="39">
        <v>1183060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204</v>
      </c>
      <c r="O54" s="39">
        <v>959290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209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204</v>
      </c>
      <c r="O81" s="39">
        <v>878050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207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204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204</v>
      </c>
      <c r="O108" s="39">
        <v>1700000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207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188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204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/>
      <c r="M124" s="30">
        <f t="shared" ca="1" si="28"/>
        <v>9.1641203689505346E-3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3.6941898146728325E-2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5.083078703561722E-2</v>
      </c>
      <c r="N136" s="40" t="s">
        <v>207</v>
      </c>
      <c r="O136" s="43">
        <f>IFERROR(O122+O135,"")</f>
        <v>1625420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4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L129" sqref="L12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204</v>
      </c>
      <c r="O27" s="78">
        <v>393200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207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204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212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85">
        <v>276360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207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204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204</v>
      </c>
      <c r="O81" s="54">
        <v>787860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207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204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219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204</v>
      </c>
      <c r="O108" s="54">
        <v>1087080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207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204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223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13</v>
      </c>
      <c r="G129" s="34">
        <f t="shared" si="27"/>
        <v>65</v>
      </c>
      <c r="H129" s="33"/>
      <c r="I129" s="33"/>
      <c r="J129" s="33"/>
      <c r="K129" s="29"/>
      <c r="L129" s="29"/>
      <c r="M129" s="30" t="str">
        <f t="shared" ca="1" si="28"/>
        <v/>
      </c>
      <c r="N129" s="46" t="s">
        <v>225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0.14652777777777798</v>
      </c>
      <c r="N135" s="36" t="s">
        <v>204</v>
      </c>
      <c r="O135" s="54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0.28819444444444464</v>
      </c>
      <c r="N136" s="40" t="s">
        <v>207</v>
      </c>
      <c r="O136" s="83">
        <f>IFERROR(O122+O135,"")</f>
        <v>869260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54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78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78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78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78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78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78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78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78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78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78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78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78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78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78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78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78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78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78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78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78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78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14" activePane="bottomLeft" state="frozen"/>
      <selection pane="bottomLeft" activeCell="L125" sqref="L12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204</v>
      </c>
      <c r="O27" s="39">
        <v>308500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204</v>
      </c>
      <c r="O54" s="39">
        <v>124290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229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204</v>
      </c>
      <c r="O81" s="39">
        <v>396340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207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204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204</v>
      </c>
      <c r="O108" s="39">
        <v>41230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207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204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232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207</v>
      </c>
      <c r="O136" s="43">
        <f>IFERROR(O122+O135,"")</f>
        <v>51130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204</v>
      </c>
      <c r="O216" s="39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204</v>
      </c>
      <c r="O432" s="39"/>
    </row>
    <row r="433" spans="1:15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107" activePane="bottomLeft" state="frozen"/>
      <selection pane="bottomLeft" activeCell="L128" sqref="L12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190</v>
      </c>
      <c r="C1" s="23" t="s">
        <v>12</v>
      </c>
      <c r="D1" s="22" t="s">
        <v>13</v>
      </c>
      <c r="E1" s="22" t="s">
        <v>191</v>
      </c>
      <c r="F1" s="23" t="s">
        <v>192</v>
      </c>
      <c r="G1" s="23" t="s">
        <v>193</v>
      </c>
      <c r="H1" s="23" t="s">
        <v>14</v>
      </c>
      <c r="I1" s="23" t="s">
        <v>15</v>
      </c>
      <c r="J1" s="23" t="s">
        <v>194</v>
      </c>
      <c r="K1" s="23" t="s">
        <v>195</v>
      </c>
      <c r="L1" s="23" t="s">
        <v>196</v>
      </c>
      <c r="M1" s="24" t="s">
        <v>197</v>
      </c>
      <c r="N1" s="23" t="s">
        <v>198</v>
      </c>
      <c r="O1" s="23" t="s">
        <v>199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203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205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204</v>
      </c>
      <c r="O27" s="39">
        <v>202230</v>
      </c>
    </row>
    <row r="28" spans="1:15" ht="18" customHeight="1">
      <c r="A28" s="89" t="s">
        <v>206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203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205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204</v>
      </c>
      <c r="O54" s="39">
        <v>473910</v>
      </c>
    </row>
    <row r="55" spans="1:15" ht="18" customHeight="1">
      <c r="A55" s="89" t="s">
        <v>206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203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205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204</v>
      </c>
      <c r="O81" s="39">
        <v>565120</v>
      </c>
    </row>
    <row r="82" spans="1:15" ht="18" customHeight="1">
      <c r="A82" s="89" t="s">
        <v>206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207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203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204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205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204</v>
      </c>
      <c r="O108" s="39">
        <v>558590</v>
      </c>
    </row>
    <row r="109" spans="1:15" ht="18" customHeight="1">
      <c r="A109" s="89" t="s">
        <v>206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207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203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204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201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189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201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8.1250000000000003E-2</v>
      </c>
      <c r="L126" s="29"/>
      <c r="M126" s="30">
        <f t="shared" ca="1" si="28"/>
        <v>5.9858564811293036E-2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201</v>
      </c>
      <c r="F128" s="27">
        <v>0</v>
      </c>
      <c r="G128" s="28">
        <f t="shared" si="27"/>
        <v>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225</v>
      </c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6" t="s">
        <v>205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0.24874745370018203</v>
      </c>
      <c r="N135" s="36" t="s">
        <v>204</v>
      </c>
      <c r="O135" s="39"/>
    </row>
    <row r="136" spans="1:15" ht="18" customHeight="1">
      <c r="A136" s="89" t="s">
        <v>206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0.61610856481129317</v>
      </c>
      <c r="N136" s="40" t="s">
        <v>207</v>
      </c>
      <c r="O136" s="48">
        <f>IFERROR(O122+O135,"")</f>
        <v>274450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203</v>
      </c>
      <c r="B149" s="87"/>
      <c r="C149" s="87"/>
      <c r="D149" s="87"/>
      <c r="E149" s="8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204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205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204</v>
      </c>
      <c r="O162" s="39"/>
    </row>
    <row r="163" spans="1:15" ht="18" customHeight="1">
      <c r="A163" s="89" t="s">
        <v>206</v>
      </c>
      <c r="B163" s="90"/>
      <c r="C163" s="90"/>
      <c r="D163" s="90"/>
      <c r="E163" s="91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203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205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204</v>
      </c>
      <c r="O189" s="39"/>
    </row>
    <row r="190" spans="1:15" ht="18" customHeight="1">
      <c r="A190" s="89" t="s">
        <v>206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203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205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204</v>
      </c>
      <c r="O216" s="45"/>
    </row>
    <row r="217" spans="1:15" ht="18" customHeight="1">
      <c r="A217" s="89" t="s">
        <v>206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203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205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204</v>
      </c>
      <c r="O243" s="39"/>
    </row>
    <row r="244" spans="1:15" ht="18" customHeight="1">
      <c r="A244" s="89" t="s">
        <v>206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203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205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204</v>
      </c>
      <c r="O270" s="39"/>
    </row>
    <row r="271" spans="1:15" ht="18" customHeight="1">
      <c r="A271" s="89" t="s">
        <v>206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203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205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204</v>
      </c>
      <c r="O297" s="39"/>
    </row>
    <row r="298" spans="1:15" ht="18" customHeight="1">
      <c r="A298" s="89" t="s">
        <v>206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203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205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204</v>
      </c>
      <c r="O324" s="39"/>
    </row>
    <row r="325" spans="1:15" ht="18" customHeight="1">
      <c r="A325" s="89" t="s">
        <v>206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203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205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204</v>
      </c>
      <c r="O351" s="39"/>
    </row>
    <row r="352" spans="1:15" ht="18" customHeight="1">
      <c r="A352" s="89" t="s">
        <v>206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203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205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204</v>
      </c>
      <c r="O378" s="39"/>
    </row>
    <row r="379" spans="1:15" ht="18" customHeight="1">
      <c r="A379" s="89" t="s">
        <v>206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203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205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204</v>
      </c>
      <c r="O405" s="39"/>
    </row>
    <row r="406" spans="1:15" ht="18" customHeight="1">
      <c r="A406" s="89" t="s">
        <v>206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203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205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204</v>
      </c>
      <c r="O432" s="39"/>
    </row>
    <row r="433" spans="1:17" ht="18" customHeight="1">
      <c r="A433" s="89" t="s">
        <v>206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203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205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204</v>
      </c>
      <c r="O459" s="39"/>
    </row>
    <row r="460" spans="1:15" ht="18" customHeight="1">
      <c r="A460" s="89" t="s">
        <v>206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203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205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204</v>
      </c>
      <c r="O486" s="39"/>
    </row>
    <row r="487" spans="1:15" ht="18" customHeight="1">
      <c r="A487" s="89" t="s">
        <v>206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203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205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204</v>
      </c>
      <c r="O513" s="39"/>
    </row>
    <row r="514" spans="1:15" ht="18" customHeight="1">
      <c r="A514" s="89" t="s">
        <v>206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203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205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204</v>
      </c>
      <c r="O540" s="39"/>
    </row>
    <row r="541" spans="1:15" ht="18" customHeight="1">
      <c r="A541" s="89" t="s">
        <v>206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203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205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204</v>
      </c>
      <c r="O567" s="39"/>
    </row>
    <row r="568" spans="1:15" ht="18" customHeight="1">
      <c r="A568" s="89" t="s">
        <v>206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203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205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204</v>
      </c>
      <c r="O594" s="39"/>
    </row>
    <row r="595" spans="1:15" ht="18" customHeight="1">
      <c r="A595" s="89" t="s">
        <v>206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203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205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204</v>
      </c>
      <c r="O621" s="39"/>
    </row>
    <row r="622" spans="1:15" ht="18" customHeight="1">
      <c r="A622" s="89" t="s">
        <v>206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203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205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204</v>
      </c>
      <c r="O648" s="39"/>
    </row>
    <row r="649" spans="1:15" ht="18" customHeight="1">
      <c r="A649" s="89" t="s">
        <v>206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203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205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204</v>
      </c>
      <c r="O675" s="39"/>
    </row>
    <row r="676" spans="1:15" ht="18" customHeight="1">
      <c r="A676" s="89" t="s">
        <v>206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203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205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204</v>
      </c>
      <c r="O702" s="39"/>
    </row>
    <row r="703" spans="1:15" ht="18" customHeight="1">
      <c r="A703" s="89" t="s">
        <v>206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203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205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204</v>
      </c>
      <c r="O729" s="39"/>
    </row>
    <row r="730" spans="1:15" ht="18" customHeight="1">
      <c r="A730" s="89" t="s">
        <v>206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203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205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204</v>
      </c>
      <c r="O756" s="39"/>
    </row>
    <row r="757" spans="1:15" ht="18" customHeight="1">
      <c r="A757" s="89" t="s">
        <v>206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203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205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204</v>
      </c>
      <c r="O783" s="39"/>
    </row>
    <row r="784" spans="1:15" ht="18" customHeight="1">
      <c r="A784" s="89" t="s">
        <v>206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203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205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204</v>
      </c>
      <c r="O810" s="39"/>
    </row>
    <row r="811" spans="1:15" ht="18" customHeight="1">
      <c r="A811" s="89" t="s">
        <v>206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207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2026-07-06T07:23:26Z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