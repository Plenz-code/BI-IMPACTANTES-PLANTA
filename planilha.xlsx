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085" documentId="8_{C51EB6CB-002B-4D6B-B68F-DDEBDB4460C0}" xr6:coauthVersionLast="47" xr6:coauthVersionMax="47" xr10:uidLastSave="{19867CB2-B39D-4872-9403-F5E72FA519E5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<sst xmlns="http://schemas.openxmlformats.org/spreadsheetml/2006/main" count="5863" uniqueCount="341">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</sst>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F316" sqref="F316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85</v>
      </c>
      <c r="G324" s="36">
        <f>SUM(G312:G323)</f>
        <v>425</v>
      </c>
      <c r="H324" s="37"/>
      <c r="I324" s="37"/>
      <c r="J324" s="37"/>
      <c r="K324" s="37"/>
      <c r="L324" s="37"/>
      <c r="M324" s="38">
        <f ca="1">IFERROR(SUM(M312:M323),"")</f>
        <v>0.10208333333333341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518</v>
      </c>
      <c r="G325" s="40">
        <f>G311+G324</f>
        <v>2590</v>
      </c>
      <c r="H325" s="41"/>
      <c r="I325" s="41"/>
      <c r="J325" s="41"/>
      <c r="K325" s="41"/>
      <c r="L325" s="41"/>
      <c r="M325" s="42">
        <f ca="1">IFERROR(M311+M324,"")</f>
        <v>0.19166666666666671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L316" sqref="L316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0.90876666666008532</v>
      </c>
      <c r="N53" s="46" t="s">
        <v>270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1.0476555555489742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1.1323777777711965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272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273</v>
      </c>
      <c r="M96" s="30" t="str">
        <f t="shared" ref="M96:M107" ca="1" si="22">IFERROR(IF(K96="","",IF(L96="",MOD(NOW()-K96,1),IF(L96&gt;=K96,L96-K96,L96+1-K96))),"")</f>
        <v/>
      </c>
      <c r="N96" s="46" t="s">
        <v>274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288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289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290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291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34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34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77</v>
      </c>
      <c r="G324" s="36">
        <f>SUM(G312:G323)</f>
        <v>333.8</v>
      </c>
      <c r="H324" s="37"/>
      <c r="I324" s="37"/>
      <c r="J324" s="37"/>
      <c r="K324" s="37"/>
      <c r="L324" s="37"/>
      <c r="M324" s="38">
        <f ca="1">IFERROR(SUM(M312:M323),"")</f>
        <v>4.44444444444443E-2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246</v>
      </c>
      <c r="G325" s="40">
        <f>G311+G324</f>
        <v>1043.5999999999999</v>
      </c>
      <c r="H325" s="41"/>
      <c r="I325" s="41"/>
      <c r="J325" s="41"/>
      <c r="K325" s="41"/>
      <c r="L325" s="41"/>
      <c r="M325" s="42">
        <f ca="1">IFERROR(M311+M324,"")</f>
        <v>9.7916666666666444E-2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F317" sqref="F317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294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295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296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297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298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299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300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301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302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303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305</v>
      </c>
      <c r="M222" s="30" t="str">
        <f t="shared" ca="1" si="49"/>
        <v/>
      </c>
      <c r="N222" s="27" t="s">
        <v>306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307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271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0.83584999999584397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0.89765555555139953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0.95876666666251076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308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271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34</v>
      </c>
      <c r="G324" s="36">
        <f>SUM(G312:G323)</f>
        <v>146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157</v>
      </c>
      <c r="G325" s="40">
        <f>G311+G324</f>
        <v>662.59999999999991</v>
      </c>
      <c r="H325" s="41"/>
      <c r="I325" s="41"/>
      <c r="J325" s="41"/>
      <c r="K325" s="41"/>
      <c r="L325" s="41"/>
      <c r="M325" s="42">
        <f ca="1">IFERROR(M311+M324,"")</f>
        <v>2.8472222222222288E-2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F314" sqref="F314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292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292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292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299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336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337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338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339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340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98</v>
      </c>
      <c r="G324" s="36">
        <f>SUM(G312:G323)</f>
        <v>425.20000000000005</v>
      </c>
      <c r="H324" s="37"/>
      <c r="I324" s="37"/>
      <c r="J324" s="37"/>
      <c r="K324" s="61"/>
      <c r="L324" s="61"/>
      <c r="M324" s="38">
        <f ca="1">IFERROR(SUM(M312:M323),"")</f>
        <v>2.777777777777779E-2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290</v>
      </c>
      <c r="G325" s="40">
        <f>G311+G324</f>
        <v>1231.5999999999999</v>
      </c>
      <c r="H325" s="41"/>
      <c r="I325" s="41"/>
      <c r="J325" s="41"/>
      <c r="K325" s="63"/>
      <c r="L325" s="63"/>
      <c r="M325" s="42">
        <f ca="1">IFERROR(M311+M324,"")</f>
        <v>0.10347222222222224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2026-08-13T04:44:07Z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