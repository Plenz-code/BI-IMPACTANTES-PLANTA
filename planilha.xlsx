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574" documentId="8_{C51EB6CB-002B-4D6B-B68F-DDEBDB4460C0}" xr6:coauthVersionLast="47" xr6:coauthVersionMax="47" xr10:uidLastSave="{A5DBBE89-14C2-4B94-9B17-3AD7B4D63714}"/>
  <bookViews>
    <workbookView xWindow="-108" yWindow="-108" windowWidth="23256" windowHeight="12456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<sst xmlns="http://schemas.openxmlformats.org/spreadsheetml/2006/main" count="2248" uniqueCount="265">
  <si>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</si>
  <si>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</si>
  <si>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</si>
  <si>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</si>
  <si>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</si>
  <si>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</si>
  <si>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</si>
  <si>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</si>
  <si>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</si>
  <si>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</si>
  <si>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</si>
  <si>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</si>
  <si>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</si>
  <si>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</si>
  <si>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</si>
  <si>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</si>
  <si>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</si>
  <si>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</si>
  <si>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</si>
  <si>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</si>
  <si>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</si>
  <si>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</si>
  <si>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</si>
  <si>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</si>
  <si>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</si>
  <si>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</si>
  <si>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</si>
  <si>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</si>
  <si>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</si>
  <si>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</si>
  <si>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</si>
  <si>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</si>
  <si>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</si>
  <si>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</si>
  <si>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</si>
  <si>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</si>
  <si>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</si>
  <si>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</si>
  <si>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</si>
  <si>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</si>
  <si>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</si>
  <si>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</si>
  <si>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</si>
  <si>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</si>
  <si>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</si>
  <si>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</si>
  <si>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</si>
  <si>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</si>
  <si>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</si>
  <si>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</si>
  <si>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</si>
  <si>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</si>
  <si>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</si>
  <si>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</si>
  <si>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</si>
  <si>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</si>
  <si>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</si>
  <si>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</si>
  <si>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</si>
  <si>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</si>
  <si>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</si>
  <si>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</si>
  <si>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</si>
  <si>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</si>
  <si>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</si>
  <si>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</si>
  <si>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</si>
  <si>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</si>
  <si>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</si>
  <si>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</si>
  <si>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</si>
  <si>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</si>
  <si>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</si>
  <si>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</si>
  <si>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</si>
  <si>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</si>
  <si>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</si>
  <si>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</si>
  <si>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</si>
  <si>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</si>
  <si>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</si>
  <si>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</si>
  <si>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</si>
  <si>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</si>
  <si>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</si>
  <si>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</si>
  <si>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</si>
  <si>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</si>
  <si>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</si>
  <si>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</si>
  <si>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</si>
  <si>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</si>
  <si>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</si>
  <si>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</si>
  <si>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</si>
  <si>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</si>
  <si>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</si>
  <si>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</si>
  <si>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</si>
  <si>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</si>
  <si>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</si>
  <si>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</si>
  <si>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</si>
  <si>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</si>
  <si>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</si>
  <si>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</si>
  <si>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</si>
  <si>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</si>
  <si>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</si>
  <si>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</si>
  <si>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</si>
  <si>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</si>
  <si>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</si>
  <si>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</si>
  <si>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</si>
  <si>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</si>
  <si>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</si>
  <si>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</si>
  <si>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</si>
  <si>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</si>
  <si>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</si>
  <si>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</si>
  <si>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</si>
  <si>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</si>
  <si>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</si>
  <si>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</si>
  <si>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</si>
  <si>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</si>
  <si>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</si>
  <si>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</si>
  <si>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</si>
  <si>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</si>
  <si>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</si>
  <si>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</si>
  <si>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</si>
  <si>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</si>
  <si>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</si>
  <si>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</si>
  <si>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</si>
  <si>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</si>
  <si>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</si>
  <si>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</si>
  <si>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</si>
  <si>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</si>
  <si>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</si>
  <si>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</si>
  <si>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</si>
  <si>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</si>
  <si>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</si>
  <si>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</si>
  <si>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</si>
  <si>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</si>
  <si>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</si>
  <si>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</si>
  <si>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</si>
  <si>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</si>
  <si>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</si>
  <si>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</si>
  <si>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</si>
  <si>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</si>
  <si>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</si>
  <si>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</si>
  <si>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</si>
  <si>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</si>
  <si>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</si>
  <si>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</si>
  <si>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</si>
  <si>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</si>
  <si>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</si>
  <si>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</si>
  <si>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</si>
  <si>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</si>
  <si>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</si>
  <si>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</si>
  <si>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</si>
  <si>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</si>
  <si>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</si>
  <si>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</si>
  <si>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</si>
  <si>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</si>
  <si>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</si>
  <si>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</si>
  <si>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</si>
  <si>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</si>
  <si>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</si>
  <si>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</si>
  <si>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</si>
  <si>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</si>
  <si>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</si>
  <si>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</si>
  <si>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</si>
  <si>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</si>
  <si>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</si>
  <si>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</si>
  <si>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</si>
  <si>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</si>
  <si>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</si>
  <si>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</si>
  <si>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</si>
  <si>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</si>
  <si>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</si>
  <si>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</si>
  <si>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</si>
  <si>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</si>
  <si>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</si>
  <si>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</si>
  <si>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</si>
  <si>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</si>
  <si>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</si>
  <si>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</si>
  <si>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</si>
  <si>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</si>
  <si>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</si>
  <si>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</si>
  <si>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</si>
  <si>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</si>
  <si>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</si>
  <si>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</si>
  <si>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</si>
  <si>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</si>
  <si>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</si>
  <si>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</si>
  <si>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</si>
  <si>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</si>
  <si>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</si>
  <si>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</si>
  <si>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</si>
  <si>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</si>
  <si>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</si>
  <si>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</si>
  <si>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</si>
  <si>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</si>
  <si>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</si>
  <si>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</si>
  <si>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</si>
  <si>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</si>
  <si>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</si>
  <si>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</si>
  <si>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</si>
  <si>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</si>
  <si>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</si>
  <si>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</si>
  <si>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</si>
  <si>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</si>
  <si>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</si>
  <si>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</si>
  <si>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</si>
  <si>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</si>
  <si>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</si>
  <si>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</si>
  <si>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</si>
  <si>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</si>
  <si>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</si>
  <si>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solda no queixo</t>
  </si>
  <si>
    <t>sem material no estoque</t>
  </si>
  <si>
    <t>troca de martelo</t>
  </si>
  <si>
    <t>bomba 01 parada pra  manutencao eletrica</t>
  </si>
  <si>
    <t>troca de martelo,adicinado 4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</si>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</sst>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2102950</v>
      </c>
      <c r="D6" s="8">
        <f>IFERROR('Linha 1'!O82,"")</f>
        <v>565230</v>
      </c>
      <c r="E6" s="8">
        <f>IFERROR('Linha 2'!O82,"")</f>
        <v>221380</v>
      </c>
      <c r="F6" s="8">
        <f>IFERROR('Linha 3'!O82,"")</f>
        <v>477090</v>
      </c>
      <c r="G6" s="9">
        <f t="shared" si="0"/>
        <v>1263700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6231495</v>
      </c>
      <c r="D35" s="13">
        <f>IFERROR(SUM(D4:D34),"")</f>
        <v>2259870</v>
      </c>
      <c r="E35" s="13">
        <f>IFERROR(SUM(E4:E34),"")</f>
        <v>1422960</v>
      </c>
      <c r="F35" s="13">
        <f>IFERROR(SUM(F4:F34),"")</f>
        <v>2649260</v>
      </c>
      <c r="G35" s="13">
        <f>IFERROR(SUM(G4:G34),"")</f>
        <v>6332090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204</v>
      </c>
      <c r="L58" s="16"/>
      <c r="M58" s="16"/>
    </row>
    <row r="59" spans="1:13" ht="15" customHeight="1">
      <c r="H59" s="113"/>
      <c r="I59" s="17"/>
      <c r="J59" s="17"/>
      <c r="K59" s="17" t="s">
        <v>205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206</v>
      </c>
      <c r="L61" s="17"/>
      <c r="M61" s="17"/>
    </row>
    <row r="62" spans="1:13" ht="15" customHeight="1">
      <c r="H62" s="113"/>
      <c r="I62" s="16"/>
      <c r="J62" s="16"/>
      <c r="K62" s="16" t="s">
        <v>207</v>
      </c>
      <c r="L62" s="16"/>
      <c r="M62" s="16"/>
    </row>
    <row r="63" spans="1:13" ht="15" customHeight="1">
      <c r="H63" s="113"/>
      <c r="I63" s="17"/>
      <c r="J63" s="17"/>
      <c r="K63" s="17" t="s">
        <v>208</v>
      </c>
      <c r="L63" s="17"/>
      <c r="M63" s="17"/>
    </row>
    <row r="64" spans="1:13" ht="15" customHeight="1">
      <c r="H64" s="113"/>
      <c r="I64" s="16"/>
      <c r="J64" s="16"/>
      <c r="K64" s="16" t="s">
        <v>209</v>
      </c>
      <c r="L64" s="16"/>
      <c r="M64" s="16"/>
    </row>
    <row r="65" spans="8:13" ht="15" customHeight="1">
      <c r="H65" s="113"/>
      <c r="I65" s="17"/>
      <c r="J65" s="17"/>
      <c r="K65" s="17" t="s">
        <v>210</v>
      </c>
      <c r="L65" s="17"/>
      <c r="M65" s="17"/>
    </row>
    <row r="66" spans="8:13" ht="15" customHeight="1">
      <c r="H66" s="113"/>
      <c r="I66" s="16"/>
      <c r="J66" s="16"/>
      <c r="K66" s="16" t="s">
        <v>211</v>
      </c>
      <c r="L66" s="16"/>
      <c r="M66" s="16"/>
    </row>
    <row r="67" spans="8:13" ht="15" customHeight="1">
      <c r="H67" s="113"/>
      <c r="I67" s="17"/>
      <c r="J67" s="17"/>
      <c r="K67" s="17" t="s">
        <v>212</v>
      </c>
      <c r="L67" s="17"/>
      <c r="M67" s="17"/>
    </row>
    <row r="68" spans="8:13" ht="15" customHeight="1">
      <c r="H68" s="113"/>
      <c r="I68" s="16"/>
      <c r="J68" s="16"/>
      <c r="K68" s="16" t="s">
        <v>213</v>
      </c>
      <c r="L68" s="16"/>
      <c r="M68" s="16"/>
    </row>
    <row r="69" spans="8:13" ht="15" customHeight="1">
      <c r="H69" s="113"/>
      <c r="I69" s="17"/>
      <c r="J69" s="17"/>
      <c r="K69" s="17" t="s">
        <v>214</v>
      </c>
      <c r="L69" s="17"/>
      <c r="M69" s="17"/>
    </row>
    <row r="70" spans="8:13" ht="15" customHeight="1">
      <c r="H70" s="113"/>
      <c r="I70" s="16"/>
      <c r="J70" s="16"/>
      <c r="K70" s="16" t="s">
        <v>215</v>
      </c>
      <c r="L70" s="16"/>
      <c r="M70" s="16"/>
    </row>
    <row r="71" spans="8:13" ht="15" customHeight="1">
      <c r="H71" s="113"/>
      <c r="I71" s="17"/>
      <c r="J71" s="17"/>
      <c r="K71" s="17" t="s">
        <v>216</v>
      </c>
      <c r="L71" s="17"/>
      <c r="M71" s="17"/>
    </row>
    <row r="72" spans="8:13" ht="15" customHeight="1">
      <c r="H72" s="113"/>
      <c r="I72" s="16"/>
      <c r="J72" s="16"/>
      <c r="K72" s="16" t="s">
        <v>217</v>
      </c>
      <c r="L72" s="16"/>
      <c r="M72" s="16"/>
    </row>
    <row r="73" spans="8:13" ht="15" customHeight="1">
      <c r="H73" s="113"/>
      <c r="I73" s="17"/>
      <c r="J73" s="17"/>
      <c r="K73" s="17"/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54" activePane="bottomLeft" state="frozen"/>
      <selection pane="bottomLeft" activeCell="F71" sqref="F7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229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232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236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237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238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240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229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232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1555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229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30</v>
      </c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232</v>
      </c>
      <c r="B81" s="107"/>
      <c r="C81" s="107"/>
      <c r="D81" s="107"/>
      <c r="E81" s="108">
        <f>SUM(E69:E80)</f>
        <v>0</v>
      </c>
      <c r="F81" s="36">
        <f>SUM(F69:F80)</f>
        <v>28</v>
      </c>
      <c r="G81" s="36">
        <f>SUM(G69:G80)</f>
        <v>140</v>
      </c>
      <c r="H81" s="37"/>
      <c r="I81" s="37"/>
      <c r="J81" s="37"/>
      <c r="K81" s="37"/>
      <c r="L81" s="37"/>
      <c r="M81" s="38">
        <f ca="1">IFERROR(SUM(M69:M80),"")</f>
        <v>1.6666666666666718E-2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403</v>
      </c>
      <c r="G82" s="40">
        <f>G68+G81</f>
        <v>2015</v>
      </c>
      <c r="H82" s="41"/>
      <c r="I82" s="41"/>
      <c r="J82" s="41"/>
      <c r="K82" s="41"/>
      <c r="L82" s="41"/>
      <c r="M82" s="42">
        <f ca="1">IFERROR(M68+M81,"")</f>
        <v>4.9305555555555713E-2</v>
      </c>
      <c r="N82" s="40" t="s">
        <v>234</v>
      </c>
      <c r="O82" s="43">
        <f>IFERROR(O68+O81,"")</f>
        <v>2102950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229</v>
      </c>
      <c r="B95" s="107"/>
      <c r="C95" s="107"/>
      <c r="D95" s="107"/>
      <c r="E95" s="108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232</v>
      </c>
      <c r="B108" s="107"/>
      <c r="C108" s="107"/>
      <c r="D108" s="107"/>
      <c r="E108" s="10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229</v>
      </c>
      <c r="B122" s="107"/>
      <c r="C122" s="107"/>
      <c r="D122" s="107"/>
      <c r="E122" s="10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232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229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232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229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232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229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232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229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232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229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232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229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232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229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232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229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232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229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232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229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232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229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232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229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232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229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232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229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232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229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232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229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232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229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232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229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232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229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232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229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232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229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232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229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232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229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232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229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232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229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232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0" t="s">
        <v>233</v>
      </c>
      <c r="B811" s="101"/>
      <c r="C811" s="101"/>
      <c r="D811" s="101"/>
      <c r="E811" s="102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229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232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53" activePane="bottomLeft" state="frozen"/>
      <selection pane="bottomLeft" activeCell="H72" sqref="H7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229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243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243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243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243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243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247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243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248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243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243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243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243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243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232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243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243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243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243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243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243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243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243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243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243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243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229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243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243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243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243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243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249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243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250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243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243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251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243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0.79125949073932134</v>
      </c>
      <c r="N53" s="46" t="s">
        <v>252</v>
      </c>
      <c r="O53" s="31"/>
    </row>
    <row r="54" spans="1:15" ht="15.75" customHeight="1">
      <c r="A54" s="106" t="s">
        <v>232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0.93014837962821018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1.0148706018504325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243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243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243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243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243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243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244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243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243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243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243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229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243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243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243</v>
      </c>
      <c r="F71" s="27"/>
      <c r="G71" s="34" t="str">
        <f t="shared" si="15"/>
        <v/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243</v>
      </c>
      <c r="F72" s="27"/>
      <c r="G72" s="28" t="str">
        <f t="shared" si="15"/>
        <v/>
      </c>
      <c r="H72" s="26" t="s">
        <v>20</v>
      </c>
      <c r="I72" s="26"/>
      <c r="J72" s="26"/>
      <c r="K72" s="29"/>
      <c r="L72" s="29"/>
      <c r="M72" s="35" t="str">
        <f t="shared" ca="1" si="17"/>
        <v/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243</v>
      </c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7"/>
        <v/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7"/>
        <v/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7"/>
        <v/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7"/>
        <v/>
      </c>
      <c r="N76" s="46"/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30</v>
      </c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232</v>
      </c>
      <c r="B81" s="107"/>
      <c r="C81" s="107"/>
      <c r="D81" s="107"/>
      <c r="E81" s="108">
        <f>SUM(E69:E80)</f>
        <v>0</v>
      </c>
      <c r="F81" s="36">
        <f>SUM(F69:F80)</f>
        <v>35</v>
      </c>
      <c r="G81" s="36">
        <f>SUM(G69:G80)</f>
        <v>147</v>
      </c>
      <c r="H81" s="37"/>
      <c r="I81" s="37"/>
      <c r="J81" s="37"/>
      <c r="K81" s="37"/>
      <c r="L81" s="37"/>
      <c r="M81" s="38">
        <f ca="1">IFERROR(SUM(M69:M80),"")</f>
        <v>1.4583333333333504E-2</v>
      </c>
      <c r="N81" s="36" t="s">
        <v>230</v>
      </c>
      <c r="O81" s="54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171</v>
      </c>
      <c r="G82" s="40">
        <f>G68+G81</f>
        <v>718.2</v>
      </c>
      <c r="H82" s="41"/>
      <c r="I82" s="41"/>
      <c r="J82" s="41"/>
      <c r="K82" s="41"/>
      <c r="L82" s="41"/>
      <c r="M82" s="42">
        <f ca="1">IFERROR(M68+M81,"")</f>
        <v>0.1305555555555557</v>
      </c>
      <c r="N82" s="40" t="s">
        <v>234</v>
      </c>
      <c r="O82" s="82">
        <f>IFERROR(O68+O81,"")</f>
        <v>565230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229</v>
      </c>
      <c r="B95" s="107"/>
      <c r="C95" s="107"/>
      <c r="D95" s="107"/>
      <c r="E95" s="108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232</v>
      </c>
      <c r="B108" s="107"/>
      <c r="C108" s="107"/>
      <c r="D108" s="107"/>
      <c r="E108" s="10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229</v>
      </c>
      <c r="B122" s="107"/>
      <c r="C122" s="107"/>
      <c r="D122" s="107"/>
      <c r="E122" s="10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232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6" t="s">
        <v>229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232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229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232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229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232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232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229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232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229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232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229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232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229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232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229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232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229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232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229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229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232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229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232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229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229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232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229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232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229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232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229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232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229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232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229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232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229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232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229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232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229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232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229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232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229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232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229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232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48" zoomScale="50" zoomScaleNormal="50" workbookViewId="0">
      <selection activeCell="J72" sqref="J7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229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243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243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243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243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247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243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243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243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243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243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243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243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243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232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243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243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243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243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243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243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243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243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243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243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243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229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255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243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243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243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243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243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243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243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243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243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232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243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243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243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243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243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243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243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243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243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243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229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243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257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243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243</v>
      </c>
      <c r="F71" s="27"/>
      <c r="G71" s="34" t="str">
        <f t="shared" si="15"/>
        <v/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243</v>
      </c>
      <c r="F72" s="27"/>
      <c r="G72" s="28" t="str">
        <f t="shared" si="15"/>
        <v/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/>
      <c r="M72" s="30">
        <f t="shared" ca="1" si="16"/>
        <v>9.8171296122018248E-4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243</v>
      </c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243</v>
      </c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243</v>
      </c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243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243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243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30</v>
      </c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232</v>
      </c>
      <c r="B81" s="107"/>
      <c r="C81" s="107"/>
      <c r="D81" s="107"/>
      <c r="E81" s="108">
        <f>SUM(E69:E80)</f>
        <v>0</v>
      </c>
      <c r="F81" s="36">
        <f>SUM(F69:F80)</f>
        <v>15</v>
      </c>
      <c r="G81" s="36">
        <f>SUM(G69:G80)</f>
        <v>63.000000000000007</v>
      </c>
      <c r="H81" s="37"/>
      <c r="I81" s="37"/>
      <c r="J81" s="37"/>
      <c r="K81" s="37"/>
      <c r="L81" s="37"/>
      <c r="M81" s="38">
        <f ca="1">IFERROR(SUM(M69:M80),"")</f>
        <v>2.7370601850109089E-2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65</v>
      </c>
      <c r="G82" s="40">
        <f>G68+G81</f>
        <v>273</v>
      </c>
      <c r="H82" s="41"/>
      <c r="I82" s="41"/>
      <c r="J82" s="41"/>
      <c r="K82" s="41"/>
      <c r="L82" s="41"/>
      <c r="M82" s="42">
        <f ca="1">IFERROR(M68+M81,"")</f>
        <v>0.11070393518344251</v>
      </c>
      <c r="N82" s="40" t="s">
        <v>234</v>
      </c>
      <c r="O82" s="43">
        <f>IFERROR(O68+O81,"")</f>
        <v>221380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229</v>
      </c>
      <c r="B95" s="107"/>
      <c r="C95" s="107"/>
      <c r="D95" s="107"/>
      <c r="E95" s="108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232</v>
      </c>
      <c r="B108" s="107"/>
      <c r="C108" s="107"/>
      <c r="D108" s="107"/>
      <c r="E108" s="10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229</v>
      </c>
      <c r="B122" s="107"/>
      <c r="C122" s="107"/>
      <c r="D122" s="107"/>
      <c r="E122" s="10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232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229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232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229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232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229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232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229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232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229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232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229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232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229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232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229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232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229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232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229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232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229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232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229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232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229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232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229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232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229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232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229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232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229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232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229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232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229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232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229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232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229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232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229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232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229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232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229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232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229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232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229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232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52" activePane="bottomLeft" state="frozen"/>
      <selection pane="bottomLeft" activeCell="F71" sqref="F7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229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243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243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258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243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250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243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243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259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243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243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243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260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243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243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243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232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243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243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243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243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243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243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243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243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243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243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229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243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243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261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243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243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243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243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243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243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243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232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243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243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262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243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263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243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243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243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243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243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243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229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243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264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243</v>
      </c>
      <c r="F70" s="27">
        <v>9</v>
      </c>
      <c r="G70" s="28">
        <f t="shared" si="15"/>
        <v>37.800000000000004</v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243</v>
      </c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243</v>
      </c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243</v>
      </c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243</v>
      </c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243</v>
      </c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243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243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243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30</v>
      </c>
      <c r="E79" s="62" t="s">
        <v>243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232</v>
      </c>
      <c r="B81" s="107"/>
      <c r="C81" s="107"/>
      <c r="D81" s="107"/>
      <c r="E81" s="108">
        <f>SUM(E69:E80)</f>
        <v>0</v>
      </c>
      <c r="F81" s="36">
        <f>SUM(F69:F80)</f>
        <v>16</v>
      </c>
      <c r="G81" s="36">
        <f>SUM(G69:G80)</f>
        <v>67.2</v>
      </c>
      <c r="H81" s="37"/>
      <c r="I81" s="37"/>
      <c r="J81" s="37"/>
      <c r="K81" s="61"/>
      <c r="L81" s="61"/>
      <c r="M81" s="38">
        <f ca="1">IFERROR(SUM(M69:M80),"")</f>
        <v>4.9305555555555602E-2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131</v>
      </c>
      <c r="G82" s="40">
        <f>G68+G81</f>
        <v>550.19999999999993</v>
      </c>
      <c r="H82" s="41"/>
      <c r="I82" s="41"/>
      <c r="J82" s="41"/>
      <c r="K82" s="63"/>
      <c r="L82" s="63"/>
      <c r="M82" s="42">
        <f ca="1">IFERROR(M68+M81,"")</f>
        <v>0.19444444444444459</v>
      </c>
      <c r="N82" s="40" t="s">
        <v>234</v>
      </c>
      <c r="O82" s="48">
        <f>IFERROR(O68+O81,"")</f>
        <v>477090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229</v>
      </c>
      <c r="B95" s="107"/>
      <c r="C95" s="107"/>
      <c r="D95" s="107"/>
      <c r="E95" s="108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232</v>
      </c>
      <c r="B108" s="107"/>
      <c r="C108" s="107"/>
      <c r="D108" s="107"/>
      <c r="E108" s="10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234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229</v>
      </c>
      <c r="B122" s="107"/>
      <c r="C122" s="107"/>
      <c r="D122" s="107"/>
      <c r="E122" s="10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232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229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232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229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232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229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232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229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232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229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232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229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232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229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232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229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232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232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229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232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229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232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229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232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229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232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229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232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229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232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229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232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229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232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229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232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229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232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229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232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229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232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229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232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229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232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229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232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229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232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229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232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2026-08-04T01:54:34Z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