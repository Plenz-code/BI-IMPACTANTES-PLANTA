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406" documentId="8_{AF585B22-221D-4780-BB9C-493D365A6A02}" xr6:coauthVersionLast="47" xr6:coauthVersionMax="47" xr10:uidLastSave="{68200285-6B0E-48D6-8DA3-3CA6E0B7342E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<sst xmlns="http://schemas.openxmlformats.org/spreadsheetml/2006/main" count="7330" uniqueCount="344">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</sst>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L28" sqref="L28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1241480</v>
      </c>
      <c r="D20" s="8">
        <f>IFERROR('Linha 1'!O460,"")</f>
        <v>739430</v>
      </c>
      <c r="E20" s="8">
        <f>IFERROR('Linha 2'!O460,"")</f>
        <v>141330</v>
      </c>
      <c r="F20" s="8">
        <f>IFERROR('Linha 3'!O460,"")</f>
        <v>738370</v>
      </c>
      <c r="G20" s="9">
        <f t="shared" si="0"/>
        <v>1619130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49565442</v>
      </c>
      <c r="D35" s="13">
        <f>IFERROR(SUM(D4:D34),"")</f>
        <v>18504560</v>
      </c>
      <c r="E35" s="13">
        <f>IFERROR(SUM(E4:E34),"")</f>
        <v>11786760</v>
      </c>
      <c r="F35" s="13">
        <f>IFERROR(SUM(F4:F34),"")</f>
        <v>22776130</v>
      </c>
      <c r="G35" s="13">
        <f>IFERROR(SUM(G4:G34),"")</f>
        <v>53067450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K71" sqref="K7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/>
    </row>
    <row r="56" spans="1:13" ht="15" customHeight="1">
      <c r="H56" s="109"/>
      <c r="I56" s="16"/>
      <c r="J56" s="16"/>
      <c r="K56" s="16" t="s">
        <v>201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202</v>
      </c>
      <c r="L58" s="16"/>
      <c r="M58" s="16"/>
    </row>
    <row r="59" spans="1:13" ht="15" customHeight="1">
      <c r="H59" s="109"/>
      <c r="I59" s="17"/>
      <c r="J59" s="17"/>
      <c r="K59" s="17" t="s">
        <v>203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204</v>
      </c>
      <c r="L61" s="17"/>
      <c r="M61" s="17"/>
    </row>
    <row r="62" spans="1:13" ht="15" customHeight="1">
      <c r="H62" s="109"/>
      <c r="I62" s="16"/>
      <c r="J62" s="16"/>
      <c r="K62" s="16" t="s">
        <v>205</v>
      </c>
      <c r="L62" s="16"/>
      <c r="M62" s="16"/>
    </row>
    <row r="63" spans="1:13" ht="15" customHeight="1">
      <c r="H63" s="109"/>
      <c r="I63" s="17"/>
      <c r="J63" s="17"/>
      <c r="K63" s="17" t="s">
        <v>206</v>
      </c>
      <c r="L63" s="17"/>
      <c r="M63" s="17"/>
    </row>
    <row r="64" spans="1:13" ht="15" customHeight="1">
      <c r="H64" s="109"/>
      <c r="I64" s="16"/>
      <c r="J64" s="16"/>
      <c r="K64" s="16" t="s">
        <v>207</v>
      </c>
      <c r="L64" s="16"/>
      <c r="M64" s="16"/>
    </row>
    <row r="65" spans="8:13" ht="15" customHeight="1">
      <c r="H65" s="109"/>
      <c r="I65" s="17"/>
      <c r="J65" s="17"/>
      <c r="K65" s="17" t="s">
        <v>208</v>
      </c>
      <c r="L65" s="17"/>
      <c r="M65" s="17"/>
    </row>
    <row r="66" spans="8:13" ht="15" customHeight="1">
      <c r="H66" s="109"/>
      <c r="I66" s="16"/>
      <c r="J66" s="16"/>
      <c r="K66" s="16" t="s">
        <v>209</v>
      </c>
      <c r="L66" s="16"/>
      <c r="M66" s="16"/>
    </row>
    <row r="67" spans="8:13" ht="15" customHeight="1">
      <c r="H67" s="109"/>
      <c r="I67" s="17"/>
      <c r="J67" s="17"/>
      <c r="K67" s="17" t="s">
        <v>210</v>
      </c>
      <c r="L67" s="17"/>
      <c r="M67" s="17"/>
    </row>
    <row r="68" spans="8:13" ht="15" customHeight="1">
      <c r="H68" s="109"/>
      <c r="I68" s="16"/>
      <c r="J68" s="16"/>
      <c r="K68" s="16" t="s">
        <v>211</v>
      </c>
      <c r="L68" s="16"/>
      <c r="M68" s="16"/>
    </row>
    <row r="69" spans="8:13" ht="15" customHeight="1">
      <c r="H69" s="109"/>
      <c r="I69" s="17"/>
      <c r="J69" s="17"/>
      <c r="K69" s="17" t="s">
        <v>212</v>
      </c>
      <c r="L69" s="17"/>
      <c r="M69" s="17"/>
    </row>
    <row r="70" spans="8:13" ht="15" customHeight="1">
      <c r="H70" s="109"/>
      <c r="I70" s="16"/>
      <c r="J70" s="16"/>
      <c r="K70" s="16" t="s">
        <v>213</v>
      </c>
      <c r="L70" s="16"/>
      <c r="M70" s="16"/>
    </row>
    <row r="71" spans="8:13" ht="15" customHeight="1">
      <c r="H71" s="109"/>
      <c r="I71" s="17"/>
      <c r="J71" s="17"/>
      <c r="K71" s="17"/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423" activePane="bottomLeft" state="frozen"/>
      <selection pane="bottomLeft" activeCell="F458" sqref="F458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214</v>
      </c>
      <c r="C1" s="23" t="s">
        <v>12</v>
      </c>
      <c r="D1" s="22" t="s">
        <v>13</v>
      </c>
      <c r="E1" s="22" t="s">
        <v>215</v>
      </c>
      <c r="F1" s="23" t="s">
        <v>216</v>
      </c>
      <c r="G1" s="23" t="s">
        <v>217</v>
      </c>
      <c r="H1" s="23" t="s">
        <v>14</v>
      </c>
      <c r="I1" s="23" t="s">
        <v>15</v>
      </c>
      <c r="J1" s="23" t="s">
        <v>218</v>
      </c>
      <c r="K1" s="23" t="s">
        <v>219</v>
      </c>
      <c r="L1" s="23" t="s">
        <v>220</v>
      </c>
      <c r="M1" s="24" t="s">
        <v>221</v>
      </c>
      <c r="N1" s="23" t="s">
        <v>222</v>
      </c>
      <c r="O1" s="23" t="s">
        <v>223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224</v>
      </c>
      <c r="E2" s="59" t="s">
        <v>225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227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229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228</v>
      </c>
      <c r="O27" s="39">
        <v>1183060</v>
      </c>
    </row>
    <row r="28" spans="1:15" ht="18" customHeight="1">
      <c r="A28" s="102" t="s">
        <v>230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227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229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228</v>
      </c>
      <c r="O54" s="39">
        <v>959290</v>
      </c>
    </row>
    <row r="55" spans="1:15" ht="18" customHeight="1">
      <c r="A55" s="102" t="s">
        <v>230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227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229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228</v>
      </c>
      <c r="O81" s="39">
        <v>878050</v>
      </c>
    </row>
    <row r="82" spans="1:15" ht="18" customHeight="1">
      <c r="A82" s="102" t="s">
        <v>230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225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227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229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228</v>
      </c>
      <c r="O108" s="39">
        <v>1700000</v>
      </c>
    </row>
    <row r="109" spans="1:15" ht="18" customHeight="1">
      <c r="A109" s="102" t="s">
        <v>230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227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229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228</v>
      </c>
      <c r="O135" s="39">
        <v>862330</v>
      </c>
    </row>
    <row r="136" spans="1:15" ht="18" customHeight="1">
      <c r="A136" s="102" t="s">
        <v>230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227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229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228</v>
      </c>
      <c r="O162" s="44">
        <v>1546080</v>
      </c>
    </row>
    <row r="163" spans="1:15" ht="18" customHeight="1">
      <c r="A163" s="102" t="s">
        <v>230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225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225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225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225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225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225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225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227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228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225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225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225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225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225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225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225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225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225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225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225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225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229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228</v>
      </c>
      <c r="O189" s="39">
        <v>2355810</v>
      </c>
    </row>
    <row r="190" spans="1:15" ht="18" customHeight="1">
      <c r="A190" s="102" t="s">
        <v>230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231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225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225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225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225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225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225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225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225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225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225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225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225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227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228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225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225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225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225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225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225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225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225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225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225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225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225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229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228</v>
      </c>
      <c r="O216" s="45">
        <v>2013260</v>
      </c>
    </row>
    <row r="217" spans="1:15" ht="18" customHeight="1">
      <c r="A217" s="102" t="s">
        <v>230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231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225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225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225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225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225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225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225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225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225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225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225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227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228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225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225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225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225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225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225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225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225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225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225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225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225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229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228</v>
      </c>
      <c r="O243" s="39">
        <v>1545480</v>
      </c>
    </row>
    <row r="244" spans="1:15" ht="18" customHeight="1">
      <c r="A244" s="102" t="s">
        <v>230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231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225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225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225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225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225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225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225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225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225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225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225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225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227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228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225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225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225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225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225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225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225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225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225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225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225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225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229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228</v>
      </c>
      <c r="O270" s="39">
        <v>1182690</v>
      </c>
    </row>
    <row r="271" spans="1:15" ht="18" customHeight="1">
      <c r="A271" s="102" t="s">
        <v>230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231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225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225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225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225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225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225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225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225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225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225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225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225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227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228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225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238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225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225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225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225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225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239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225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239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225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239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225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239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225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239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225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239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225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239</v>
      </c>
      <c r="O296" s="47"/>
    </row>
    <row r="297" spans="1:15" ht="15.75" customHeight="1">
      <c r="A297" s="99" t="s">
        <v>229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228</v>
      </c>
      <c r="O297" s="39">
        <v>1843460</v>
      </c>
    </row>
    <row r="298" spans="1:15" ht="18" customHeight="1">
      <c r="A298" s="102" t="s">
        <v>230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231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240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225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225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241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225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225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225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225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225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225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225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225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227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228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225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225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242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242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242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225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242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229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228</v>
      </c>
      <c r="O324" s="39">
        <v>1940000</v>
      </c>
    </row>
    <row r="325" spans="1:15" ht="18" customHeight="1">
      <c r="A325" s="102" t="s">
        <v>230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231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225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243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225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225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225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225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225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225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225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225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225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225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227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228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225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225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225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225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225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225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225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225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225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225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225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225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229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228</v>
      </c>
      <c r="O351" s="39">
        <v>701874</v>
      </c>
    </row>
    <row r="352" spans="1:15" ht="18" customHeight="1">
      <c r="A352" s="102" t="s">
        <v>230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231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244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225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225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225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225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225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225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225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225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225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225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225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227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228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225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225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225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225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225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225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225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225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225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225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225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229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228</v>
      </c>
      <c r="O378" s="39">
        <v>1088710</v>
      </c>
    </row>
    <row r="379" spans="1:15" ht="18" customHeight="1">
      <c r="A379" s="102" t="s">
        <v>230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231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225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225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245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225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246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225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225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225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225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225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225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225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225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227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228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225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225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225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247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225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225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225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225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225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225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225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225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225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229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228</v>
      </c>
      <c r="O405" s="39">
        <v>1202270</v>
      </c>
    </row>
    <row r="406" spans="1:15" ht="18" customHeight="1">
      <c r="A406" s="102" t="s">
        <v>230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231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225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248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225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225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249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225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225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225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225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225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225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250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250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225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225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227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228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225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225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225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225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225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225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225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225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225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225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225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225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229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228</v>
      </c>
      <c r="O432" s="39">
        <v>1801910</v>
      </c>
    </row>
    <row r="433" spans="1:15" ht="18" customHeight="1">
      <c r="A433" s="102" t="s">
        <v>230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231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225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212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251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225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225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225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225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225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225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225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225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227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228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252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213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252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252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252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252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252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252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252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252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252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252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252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229</v>
      </c>
      <c r="B459" s="100"/>
      <c r="C459" s="100"/>
      <c r="D459" s="100"/>
      <c r="E459" s="101">
        <f>SUM(E447:E458)</f>
        <v>0</v>
      </c>
      <c r="F459" s="36">
        <f>SUM(F447:F458)</f>
        <v>168</v>
      </c>
      <c r="G459" s="36">
        <f>SUM(G447:G458)</f>
        <v>721.59999999999991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228</v>
      </c>
      <c r="O459" s="39"/>
    </row>
    <row r="460" spans="1:15" ht="18" customHeight="1">
      <c r="A460" s="102" t="s">
        <v>230</v>
      </c>
      <c r="B460" s="103"/>
      <c r="C460" s="103"/>
      <c r="D460" s="103"/>
      <c r="E460" s="104">
        <f>E446+E459</f>
        <v>0</v>
      </c>
      <c r="F460" s="40">
        <f>F446+F459</f>
        <v>347</v>
      </c>
      <c r="G460" s="40">
        <f>G446+G459</f>
        <v>1616.6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231</v>
      </c>
      <c r="O460" s="48">
        <f>IFERROR(O446+O459,"")</f>
        <v>1241480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227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229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228</v>
      </c>
      <c r="O486" s="39"/>
    </row>
    <row r="487" spans="1:15" ht="18" customHeight="1">
      <c r="A487" s="102" t="s">
        <v>230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227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229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228</v>
      </c>
      <c r="O513" s="39"/>
    </row>
    <row r="514" spans="1:15" ht="18" customHeight="1">
      <c r="A514" s="102" t="s">
        <v>230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227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229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228</v>
      </c>
      <c r="O540" s="39"/>
    </row>
    <row r="541" spans="1:15" ht="18" customHeight="1">
      <c r="A541" s="102" t="s">
        <v>230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227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229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228</v>
      </c>
      <c r="O567" s="39"/>
    </row>
    <row r="568" spans="1:15" ht="18" customHeight="1">
      <c r="A568" s="102" t="s">
        <v>230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227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229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228</v>
      </c>
      <c r="O594" s="39"/>
    </row>
    <row r="595" spans="1:15" ht="18" customHeight="1">
      <c r="A595" s="102" t="s">
        <v>230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227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229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228</v>
      </c>
      <c r="O621" s="39"/>
    </row>
    <row r="622" spans="1:15" ht="18" customHeight="1">
      <c r="A622" s="102" t="s">
        <v>230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227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229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228</v>
      </c>
      <c r="O648" s="39"/>
    </row>
    <row r="649" spans="1:15" ht="18" customHeight="1">
      <c r="A649" s="102" t="s">
        <v>230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227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229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228</v>
      </c>
      <c r="O675" s="39"/>
    </row>
    <row r="676" spans="1:15" ht="18" customHeight="1">
      <c r="A676" s="102" t="s">
        <v>230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227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229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228</v>
      </c>
      <c r="O702" s="39"/>
    </row>
    <row r="703" spans="1:15" ht="18" customHeight="1">
      <c r="A703" s="102" t="s">
        <v>230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227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229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228</v>
      </c>
      <c r="O729" s="39"/>
    </row>
    <row r="730" spans="1:15" ht="18" customHeight="1">
      <c r="A730" s="102" t="s">
        <v>230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227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229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228</v>
      </c>
      <c r="O756" s="39"/>
    </row>
    <row r="757" spans="1:15" ht="18" customHeight="1">
      <c r="A757" s="102" t="s">
        <v>230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227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229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228</v>
      </c>
      <c r="O783" s="39"/>
    </row>
    <row r="784" spans="1:15" ht="18" customHeight="1">
      <c r="A784" s="102" t="s">
        <v>230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227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229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228</v>
      </c>
      <c r="O810" s="39"/>
    </row>
    <row r="811" spans="1:15" ht="18" customHeight="1">
      <c r="A811" s="59" t="s">
        <v>225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231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26" activePane="bottomLeft" state="frozen"/>
      <selection pane="bottomLeft" activeCell="F458" sqref="F45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214</v>
      </c>
      <c r="C1" s="23" t="s">
        <v>12</v>
      </c>
      <c r="D1" s="22" t="s">
        <v>13</v>
      </c>
      <c r="E1" s="22" t="s">
        <v>215</v>
      </c>
      <c r="F1" s="23" t="s">
        <v>216</v>
      </c>
      <c r="G1" s="23" t="s">
        <v>217</v>
      </c>
      <c r="H1" s="23" t="s">
        <v>14</v>
      </c>
      <c r="I1" s="23" t="s">
        <v>15</v>
      </c>
      <c r="J1" s="23" t="s">
        <v>218</v>
      </c>
      <c r="K1" s="23" t="s">
        <v>219</v>
      </c>
      <c r="L1" s="23" t="s">
        <v>220</v>
      </c>
      <c r="M1" s="24" t="s">
        <v>221</v>
      </c>
      <c r="N1" s="23" t="s">
        <v>222</v>
      </c>
      <c r="O1" s="23" t="s">
        <v>223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252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252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227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229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228</v>
      </c>
      <c r="O27" s="78">
        <v>393200</v>
      </c>
    </row>
    <row r="28" spans="1:15" ht="18" customHeight="1">
      <c r="A28" s="102" t="s">
        <v>230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227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252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229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228</v>
      </c>
      <c r="O54" s="85">
        <v>276360</v>
      </c>
    </row>
    <row r="55" spans="1:15" ht="18" customHeight="1">
      <c r="A55" s="102" t="s">
        <v>230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227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252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229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228</v>
      </c>
      <c r="O81" s="54">
        <v>787860</v>
      </c>
    </row>
    <row r="82" spans="1:15" ht="18" customHeight="1">
      <c r="A82" s="102" t="s">
        <v>230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227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229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228</v>
      </c>
      <c r="O108" s="54">
        <v>1087080</v>
      </c>
    </row>
    <row r="109" spans="1:15" ht="18" customHeight="1">
      <c r="A109" s="102" t="s">
        <v>230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227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243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225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229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228</v>
      </c>
      <c r="O135" s="54">
        <v>794480</v>
      </c>
    </row>
    <row r="136" spans="1:15" ht="18" customHeight="1">
      <c r="A136" s="102" t="s">
        <v>230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227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229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228</v>
      </c>
      <c r="O162" s="54">
        <v>882280</v>
      </c>
    </row>
    <row r="163" spans="1:15" ht="18" customHeight="1">
      <c r="A163" s="102" t="s">
        <v>230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227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228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229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228</v>
      </c>
      <c r="O189" s="78"/>
    </row>
    <row r="190" spans="1:15" ht="18" customHeight="1">
      <c r="A190" s="102" t="s">
        <v>230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227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228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225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229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228</v>
      </c>
      <c r="O216" s="78">
        <v>648410</v>
      </c>
    </row>
    <row r="217" spans="1:15" ht="18" customHeight="1">
      <c r="A217" s="102" t="s">
        <v>230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231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227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228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225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252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252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267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252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252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252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252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252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252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229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228</v>
      </c>
      <c r="O243" s="78">
        <v>849060</v>
      </c>
    </row>
    <row r="244" spans="1:15" ht="18" customHeight="1">
      <c r="A244" s="102" t="s">
        <v>230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231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252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252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252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252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252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252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252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252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252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252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227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228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225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252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252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252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252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252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252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252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252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252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252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229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228</v>
      </c>
      <c r="O270" s="78">
        <v>625070</v>
      </c>
    </row>
    <row r="271" spans="1:15" ht="18" customHeight="1">
      <c r="A271" s="102" t="s">
        <v>230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231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252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275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252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276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252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252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252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252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252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252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252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252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252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227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228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252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252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252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252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225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252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252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252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252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252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252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229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228</v>
      </c>
      <c r="O297" s="78">
        <v>761660</v>
      </c>
    </row>
    <row r="298" spans="1:15" ht="18" customHeight="1">
      <c r="A298" s="102" t="s">
        <v>230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231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252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252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278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252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278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252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252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252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252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252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227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228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252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252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279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252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280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252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252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252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252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252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252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252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225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229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228</v>
      </c>
      <c r="O324" s="78">
        <v>524410</v>
      </c>
    </row>
    <row r="325" spans="1:15" ht="18" customHeight="1">
      <c r="A325" s="102" t="s">
        <v>230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231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252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252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252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252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225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252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252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252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252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252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252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252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227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228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252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252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282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252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252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283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252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252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252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229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228</v>
      </c>
      <c r="O351" s="78">
        <v>598420</v>
      </c>
    </row>
    <row r="352" spans="1:15" ht="18" customHeight="1">
      <c r="A352" s="102" t="s">
        <v>230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231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252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252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252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252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252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252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252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252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252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252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227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228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252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252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252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252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252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252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252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252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1.1737268512661103E-2</v>
      </c>
      <c r="N377" s="46"/>
      <c r="O377" s="47"/>
    </row>
    <row r="378" spans="1:15" ht="15.75" customHeight="1">
      <c r="A378" s="99" t="s">
        <v>229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0.16937615740154999</v>
      </c>
      <c r="N378" s="36" t="s">
        <v>228</v>
      </c>
      <c r="O378" s="78">
        <v>511980</v>
      </c>
    </row>
    <row r="379" spans="1:15" ht="18" customHeight="1">
      <c r="A379" s="102" t="s">
        <v>230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0.27909837962377215</v>
      </c>
      <c r="N379" s="40" t="s">
        <v>231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252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252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252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252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267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252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284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252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252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252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252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252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252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227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228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252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285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252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243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252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252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252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252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252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252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252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252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252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252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229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228</v>
      </c>
      <c r="O405" s="78">
        <v>552440</v>
      </c>
    </row>
    <row r="406" spans="1:15" ht="18" customHeight="1">
      <c r="A406" s="102" t="s">
        <v>230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231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252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252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252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252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252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252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252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252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225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225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252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252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227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228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252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252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286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252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252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0.99020949073747033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252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252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252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252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252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252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252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252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229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1.1610428240708037</v>
      </c>
      <c r="N432" s="36" t="s">
        <v>228</v>
      </c>
      <c r="O432" s="78">
        <v>484540</v>
      </c>
    </row>
    <row r="433" spans="1:15" ht="18" customHeight="1">
      <c r="A433" s="94" t="s">
        <v>230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1.3061817129596927</v>
      </c>
      <c r="N433" s="40" t="s">
        <v>231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252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287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252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252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288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252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252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252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252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252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252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252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252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252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227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228</v>
      </c>
      <c r="O446" s="78">
        <v>739430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225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225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289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225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/>
      <c r="M449" s="35">
        <f t="shared" ca="1" si="100"/>
        <v>4.792824067408219E-3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225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225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225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225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225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225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225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225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225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229</v>
      </c>
      <c r="B459" s="100"/>
      <c r="C459" s="100"/>
      <c r="D459" s="100"/>
      <c r="E459" s="101">
        <f>SUM(E447:E458)</f>
        <v>0</v>
      </c>
      <c r="F459" s="36">
        <f>SUM(F447:F458)</f>
        <v>108</v>
      </c>
      <c r="G459" s="36">
        <f>SUM(G447:G458)</f>
        <v>540</v>
      </c>
      <c r="H459" s="37"/>
      <c r="I459" s="37"/>
      <c r="J459" s="37"/>
      <c r="K459" s="37"/>
      <c r="L459" s="37"/>
      <c r="M459" s="38">
        <f ca="1">IFERROR(SUM(M447:M458),"")</f>
        <v>6.5209490734074879E-2</v>
      </c>
      <c r="N459" s="36" t="s">
        <v>228</v>
      </c>
      <c r="O459" s="78"/>
    </row>
    <row r="460" spans="1:15" ht="18" customHeight="1">
      <c r="A460" s="102" t="s">
        <v>230</v>
      </c>
      <c r="B460" s="103"/>
      <c r="C460" s="103"/>
      <c r="D460" s="103"/>
      <c r="E460" s="104">
        <f>E446+E459</f>
        <v>0</v>
      </c>
      <c r="F460" s="40">
        <f>F446+F459</f>
        <v>306</v>
      </c>
      <c r="G460" s="40">
        <f>G446+G459</f>
        <v>1371.6000000000001</v>
      </c>
      <c r="H460" s="41"/>
      <c r="I460" s="41"/>
      <c r="J460" s="41"/>
      <c r="K460" s="41"/>
      <c r="L460" s="41"/>
      <c r="M460" s="42">
        <f ca="1">IFERROR(M446+M459,"")</f>
        <v>0.13465393517851937</v>
      </c>
      <c r="N460" s="40" t="s">
        <v>231</v>
      </c>
      <c r="O460" s="84">
        <f>IFERROR(O446+O459,"")</f>
        <v>739430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227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229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228</v>
      </c>
      <c r="O486" s="78"/>
    </row>
    <row r="487" spans="1:15" ht="18" customHeight="1">
      <c r="A487" s="102" t="s">
        <v>230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227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229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228</v>
      </c>
      <c r="O513" s="78"/>
    </row>
    <row r="514" spans="1:15" ht="18" customHeight="1">
      <c r="A514" s="102" t="s">
        <v>230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227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229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228</v>
      </c>
      <c r="O540" s="78"/>
    </row>
    <row r="541" spans="1:15" ht="18" customHeight="1">
      <c r="A541" s="102" t="s">
        <v>230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227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229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228</v>
      </c>
      <c r="O567" s="78"/>
    </row>
    <row r="568" spans="1:15" ht="18" customHeight="1">
      <c r="A568" s="102" t="s">
        <v>230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227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229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228</v>
      </c>
      <c r="O594" s="78"/>
    </row>
    <row r="595" spans="1:15" ht="18" customHeight="1">
      <c r="A595" s="102" t="s">
        <v>230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227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229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228</v>
      </c>
      <c r="O621" s="78"/>
    </row>
    <row r="622" spans="1:15" ht="18" customHeight="1">
      <c r="A622" s="102" t="s">
        <v>230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227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229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228</v>
      </c>
      <c r="O648" s="78"/>
    </row>
    <row r="649" spans="1:15" ht="18" customHeight="1">
      <c r="A649" s="102" t="s">
        <v>230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227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229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228</v>
      </c>
      <c r="O675" s="78"/>
    </row>
    <row r="676" spans="1:15" ht="18" customHeight="1">
      <c r="A676" s="102" t="s">
        <v>230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227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229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228</v>
      </c>
      <c r="O702" s="78"/>
    </row>
    <row r="703" spans="1:15" ht="18" customHeight="1">
      <c r="A703" s="102" t="s">
        <v>230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227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229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228</v>
      </c>
      <c r="O729" s="78"/>
    </row>
    <row r="730" spans="1:15" ht="18" customHeight="1">
      <c r="A730" s="102" t="s">
        <v>230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227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229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228</v>
      </c>
      <c r="O756" s="39"/>
    </row>
    <row r="757" spans="1:15" ht="18" customHeight="1">
      <c r="A757" s="102" t="s">
        <v>230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227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229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228</v>
      </c>
      <c r="O783" s="39"/>
    </row>
    <row r="784" spans="1:15" ht="18" customHeight="1">
      <c r="A784" s="102" t="s">
        <v>230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227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229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228</v>
      </c>
      <c r="O810" s="39"/>
    </row>
    <row r="811" spans="1:15" ht="18" customHeight="1">
      <c r="A811" s="102" t="s">
        <v>230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231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32" zoomScale="50" zoomScaleNormal="50" workbookViewId="0">
      <selection activeCell="F458" sqref="F45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5.5703125" style="20" customWidth="1"/>
    <col min="15" max="15" width="14" customWidth="1"/>
  </cols>
  <sheetData>
    <row r="1" spans="1:15" ht="37.5" customHeight="1">
      <c r="A1" s="68" t="s">
        <v>7</v>
      </c>
      <c r="B1" s="23" t="s">
        <v>214</v>
      </c>
      <c r="C1" s="23" t="s">
        <v>12</v>
      </c>
      <c r="D1" s="22" t="s">
        <v>13</v>
      </c>
      <c r="E1" s="22" t="s">
        <v>215</v>
      </c>
      <c r="F1" s="23" t="s">
        <v>216</v>
      </c>
      <c r="G1" s="23" t="s">
        <v>217</v>
      </c>
      <c r="H1" s="23" t="s">
        <v>14</v>
      </c>
      <c r="I1" s="23" t="s">
        <v>15</v>
      </c>
      <c r="J1" s="23" t="s">
        <v>218</v>
      </c>
      <c r="K1" s="23" t="s">
        <v>219</v>
      </c>
      <c r="L1" s="23" t="s">
        <v>220</v>
      </c>
      <c r="M1" s="24" t="s">
        <v>221</v>
      </c>
      <c r="N1" s="23" t="s">
        <v>222</v>
      </c>
      <c r="O1" s="23" t="s">
        <v>223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290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291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227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229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228</v>
      </c>
      <c r="O27" s="39">
        <v>308500</v>
      </c>
    </row>
    <row r="28" spans="1:15" ht="18" customHeight="1">
      <c r="A28" s="102" t="s">
        <v>230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227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229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228</v>
      </c>
      <c r="O54" s="39">
        <v>124290</v>
      </c>
    </row>
    <row r="55" spans="1:15" ht="18" customHeight="1">
      <c r="A55" s="102" t="s">
        <v>230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293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227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289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229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228</v>
      </c>
      <c r="O81" s="39">
        <v>396340</v>
      </c>
    </row>
    <row r="82" spans="1:15" ht="18" customHeight="1">
      <c r="A82" s="102" t="s">
        <v>230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294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227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229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228</v>
      </c>
      <c r="O108" s="39">
        <v>41230</v>
      </c>
    </row>
    <row r="109" spans="1:15" ht="18" customHeight="1">
      <c r="A109" s="102" t="s">
        <v>230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227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229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228</v>
      </c>
      <c r="O135" s="39">
        <v>381250</v>
      </c>
    </row>
    <row r="136" spans="1:15" ht="18" customHeight="1">
      <c r="A136" s="102" t="s">
        <v>230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295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266</v>
      </c>
      <c r="K141" s="29">
        <v>0.71597222222222223</v>
      </c>
      <c r="L141" s="29" t="s">
        <v>296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227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297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229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228</v>
      </c>
      <c r="O162" s="39">
        <v>337120</v>
      </c>
    </row>
    <row r="163" spans="1:15" ht="18" customHeight="1">
      <c r="A163" s="102" t="s">
        <v>230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298</v>
      </c>
      <c r="N166" s="27" t="s">
        <v>299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227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228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229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228</v>
      </c>
      <c r="O189" s="39">
        <v>747210</v>
      </c>
    </row>
    <row r="190" spans="1:15" ht="18" customHeight="1">
      <c r="A190" s="102" t="s">
        <v>230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231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300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227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228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225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229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228</v>
      </c>
      <c r="O216" s="39">
        <v>468430</v>
      </c>
    </row>
    <row r="217" spans="1:15" ht="18" customHeight="1">
      <c r="A217" s="102" t="s">
        <v>230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231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227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228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225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252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252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252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252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252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252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225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252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229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228</v>
      </c>
      <c r="O243" s="39">
        <v>575930</v>
      </c>
    </row>
    <row r="244" spans="1:15" ht="18" customHeight="1">
      <c r="A244" s="102" t="s">
        <v>230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231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252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252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252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252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252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252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252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252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252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227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228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252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252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301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252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252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252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252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302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252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252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252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252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252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252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229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228</v>
      </c>
      <c r="O270" s="39">
        <v>483510</v>
      </c>
    </row>
    <row r="271" spans="1:15" ht="18" customHeight="1">
      <c r="A271" s="102" t="s">
        <v>230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231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252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252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252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252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252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252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252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252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252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252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252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227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228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252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303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252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252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252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304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252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252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252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252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252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252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229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228</v>
      </c>
      <c r="O297" s="39">
        <v>487980</v>
      </c>
    </row>
    <row r="298" spans="1:15" ht="18" customHeight="1">
      <c r="A298" s="102" t="s">
        <v>230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231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252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252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305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252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252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252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252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225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227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228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252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306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252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252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252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307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252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252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252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252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252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252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225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229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228</v>
      </c>
      <c r="O324" s="39">
        <v>609460</v>
      </c>
    </row>
    <row r="325" spans="1:15" ht="18" customHeight="1">
      <c r="A325" s="102" t="s">
        <v>230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231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252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308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252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252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252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289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225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252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295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252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252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252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252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252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227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228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252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252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252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252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252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252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229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228</v>
      </c>
      <c r="O351" s="39">
        <v>437940</v>
      </c>
    </row>
    <row r="352" spans="1:15" ht="18" customHeight="1">
      <c r="A352" s="102" t="s">
        <v>230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231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252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252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252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252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252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252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252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252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252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252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227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228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252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252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252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252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252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252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252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252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252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252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252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229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228</v>
      </c>
      <c r="O378" s="39">
        <v>473310</v>
      </c>
    </row>
    <row r="379" spans="1:15" ht="18" customHeight="1">
      <c r="A379" s="102" t="s">
        <v>230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231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252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252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252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252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252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252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252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252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252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252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252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252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227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228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225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252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252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252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252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252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252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252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252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252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252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252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229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228</v>
      </c>
      <c r="O405" s="39">
        <v>507450</v>
      </c>
    </row>
    <row r="406" spans="1:15" ht="18" customHeight="1">
      <c r="A406" s="102" t="s">
        <v>230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231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252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252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252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252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252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252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252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252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225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225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252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252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227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228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225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252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286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252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252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252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252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252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252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252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252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252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252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229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228</v>
      </c>
      <c r="O432" s="39">
        <v>229150</v>
      </c>
    </row>
    <row r="433" spans="1:15" ht="18" customHeight="1">
      <c r="A433" s="102" t="s">
        <v>230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231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252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309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252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252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252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252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252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252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252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252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227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228</v>
      </c>
      <c r="O446" s="39">
        <v>141330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225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225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225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225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225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225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225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225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225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225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225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225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229</v>
      </c>
      <c r="B459" s="100"/>
      <c r="C459" s="100"/>
      <c r="D459" s="100"/>
      <c r="E459" s="101">
        <f>SUM(E447:E458)</f>
        <v>0</v>
      </c>
      <c r="F459" s="36">
        <f>SUM(F447:F458)</f>
        <v>59</v>
      </c>
      <c r="G459" s="36">
        <f>SUM(G447:G458)</f>
        <v>295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228</v>
      </c>
      <c r="O459" s="39"/>
    </row>
    <row r="460" spans="1:15" ht="18" customHeight="1">
      <c r="A460" s="102" t="s">
        <v>230</v>
      </c>
      <c r="B460" s="103"/>
      <c r="C460" s="103"/>
      <c r="D460" s="103"/>
      <c r="E460" s="104">
        <f>E446+E459</f>
        <v>0</v>
      </c>
      <c r="F460" s="40">
        <f>F446+F459</f>
        <v>94</v>
      </c>
      <c r="G460" s="40">
        <f>G446+G459</f>
        <v>442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231</v>
      </c>
      <c r="O460" s="48">
        <f>IFERROR(O446+O459,"")</f>
        <v>141330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227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229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228</v>
      </c>
      <c r="O486" s="39"/>
    </row>
    <row r="487" spans="1:15" ht="18" customHeight="1">
      <c r="A487" s="102" t="s">
        <v>230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227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229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228</v>
      </c>
      <c r="O513" s="39"/>
    </row>
    <row r="514" spans="1:15" ht="18" customHeight="1">
      <c r="A514" s="102" t="s">
        <v>230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227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229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228</v>
      </c>
      <c r="O540" s="39"/>
    </row>
    <row r="541" spans="1:15" ht="18" customHeight="1">
      <c r="A541" s="102" t="s">
        <v>230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227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229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228</v>
      </c>
      <c r="O567" s="39"/>
    </row>
    <row r="568" spans="1:15" ht="18" customHeight="1">
      <c r="A568" s="102" t="s">
        <v>230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227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229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228</v>
      </c>
      <c r="O594" s="39"/>
    </row>
    <row r="595" spans="1:15" ht="18" customHeight="1">
      <c r="A595" s="102" t="s">
        <v>230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227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229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228</v>
      </c>
      <c r="O621" s="39"/>
    </row>
    <row r="622" spans="1:15" ht="18" customHeight="1">
      <c r="A622" s="102" t="s">
        <v>230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227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229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228</v>
      </c>
      <c r="O648" s="39"/>
    </row>
    <row r="649" spans="1:15" ht="18" customHeight="1">
      <c r="A649" s="102" t="s">
        <v>230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227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229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228</v>
      </c>
      <c r="O675" s="39"/>
    </row>
    <row r="676" spans="1:15" ht="18" customHeight="1">
      <c r="A676" s="102" t="s">
        <v>230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227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229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228</v>
      </c>
      <c r="O702" s="39"/>
    </row>
    <row r="703" spans="1:15" ht="18" customHeight="1">
      <c r="A703" s="102" t="s">
        <v>230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227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229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228</v>
      </c>
      <c r="O729" s="39"/>
    </row>
    <row r="730" spans="1:15" ht="18" customHeight="1">
      <c r="A730" s="102" t="s">
        <v>230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227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229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228</v>
      </c>
      <c r="O756" s="39"/>
    </row>
    <row r="757" spans="1:15" ht="18" customHeight="1">
      <c r="A757" s="102" t="s">
        <v>230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227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229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228</v>
      </c>
      <c r="O783" s="39"/>
    </row>
    <row r="784" spans="1:15" ht="18" customHeight="1">
      <c r="A784" s="102" t="s">
        <v>230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227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229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228</v>
      </c>
      <c r="O810" s="39"/>
    </row>
    <row r="811" spans="1:15" ht="18" customHeight="1">
      <c r="A811" s="102" t="s">
        <v>230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33" activePane="bottomLeft" state="frozen"/>
      <selection pane="bottomLeft" activeCell="F458" sqref="F45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214</v>
      </c>
      <c r="C1" s="23" t="s">
        <v>12</v>
      </c>
      <c r="D1" s="22" t="s">
        <v>13</v>
      </c>
      <c r="E1" s="22" t="s">
        <v>215</v>
      </c>
      <c r="F1" s="23" t="s">
        <v>216</v>
      </c>
      <c r="G1" s="23" t="s">
        <v>217</v>
      </c>
      <c r="H1" s="23" t="s">
        <v>14</v>
      </c>
      <c r="I1" s="23" t="s">
        <v>15</v>
      </c>
      <c r="J1" s="23" t="s">
        <v>218</v>
      </c>
      <c r="K1" s="23" t="s">
        <v>219</v>
      </c>
      <c r="L1" s="23" t="s">
        <v>220</v>
      </c>
      <c r="M1" s="24" t="s">
        <v>221</v>
      </c>
      <c r="N1" s="23" t="s">
        <v>222</v>
      </c>
      <c r="O1" s="23" t="s">
        <v>223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310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252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289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227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311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229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228</v>
      </c>
      <c r="O27" s="39">
        <v>202230</v>
      </c>
    </row>
    <row r="28" spans="1:15" ht="18" customHeight="1">
      <c r="A28" s="102" t="s">
        <v>230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312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313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252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252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227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229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228</v>
      </c>
      <c r="O54" s="39">
        <v>473910</v>
      </c>
    </row>
    <row r="55" spans="1:15" ht="18" customHeight="1">
      <c r="A55" s="102" t="s">
        <v>230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314</v>
      </c>
      <c r="L58" s="29">
        <v>0.54097222222222219</v>
      </c>
      <c r="M58" s="30" t="str">
        <f t="shared" ca="1" si="13"/>
        <v/>
      </c>
      <c r="N58" s="27" t="s">
        <v>315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227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290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252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316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317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318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319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252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229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228</v>
      </c>
      <c r="O81" s="39">
        <v>565120</v>
      </c>
    </row>
    <row r="82" spans="1:15" ht="18" customHeight="1">
      <c r="A82" s="102" t="s">
        <v>230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320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227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229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228</v>
      </c>
      <c r="O108" s="39">
        <v>558590</v>
      </c>
    </row>
    <row r="109" spans="1:15" ht="18" customHeight="1">
      <c r="A109" s="102" t="s">
        <v>230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321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227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322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225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323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225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2.0150462951278314E-3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229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0.20132060185068346</v>
      </c>
      <c r="N135" s="36" t="s">
        <v>228</v>
      </c>
      <c r="O135" s="39">
        <v>729290</v>
      </c>
    </row>
    <row r="136" spans="1:18" ht="18" customHeight="1">
      <c r="A136" s="102" t="s">
        <v>230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0.56868171296179448</v>
      </c>
      <c r="N136" s="40" t="s">
        <v>231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225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324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227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295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325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229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228</v>
      </c>
      <c r="O162" s="39">
        <v>697320</v>
      </c>
    </row>
    <row r="163" spans="1:15" ht="18" customHeight="1">
      <c r="A163" s="102" t="s">
        <v>230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252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252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326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227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228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252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252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229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228</v>
      </c>
      <c r="O189" s="39">
        <v>973580</v>
      </c>
    </row>
    <row r="190" spans="1:15" ht="18" customHeight="1">
      <c r="A190" s="102" t="s">
        <v>230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231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252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252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327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252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328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227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228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225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329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229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228</v>
      </c>
      <c r="O216" s="45">
        <v>1060630</v>
      </c>
    </row>
    <row r="217" spans="1:15" ht="18" customHeight="1">
      <c r="A217" s="102" t="s">
        <v>230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231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330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331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252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252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227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228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225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333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252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252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252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252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225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252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225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229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228</v>
      </c>
      <c r="O243" s="39">
        <v>982340</v>
      </c>
    </row>
    <row r="244" spans="1:15" ht="18" customHeight="1">
      <c r="A244" s="102" t="s">
        <v>230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231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252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334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252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252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252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252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252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252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252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252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252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252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227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228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252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252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252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252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252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252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252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252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252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252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252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229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228</v>
      </c>
      <c r="O270" s="39">
        <v>1208450</v>
      </c>
    </row>
    <row r="271" spans="1:15" ht="18" customHeight="1">
      <c r="A271" s="102" t="s">
        <v>230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231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252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252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252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252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252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252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252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252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252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252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227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228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252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252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252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225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252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252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252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252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252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252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252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229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228</v>
      </c>
      <c r="O297" s="39">
        <v>1049090</v>
      </c>
    </row>
    <row r="298" spans="1:15" ht="18" customHeight="1">
      <c r="A298" s="102" t="s">
        <v>230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231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335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252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252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252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252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252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252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252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252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252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227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228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225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252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252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252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252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252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252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261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252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252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252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252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225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229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228</v>
      </c>
      <c r="O324" s="39">
        <v>1063720</v>
      </c>
    </row>
    <row r="325" spans="1:15" ht="18" customHeight="1">
      <c r="A325" s="102" t="s">
        <v>230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231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252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252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289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252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252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225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252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252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252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252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252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252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252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227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228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252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252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252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252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252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252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336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252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252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252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337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252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252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229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228</v>
      </c>
      <c r="O351" s="39">
        <v>696140</v>
      </c>
    </row>
    <row r="352" spans="1:15" ht="18" customHeight="1">
      <c r="A352" s="102" t="s">
        <v>230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231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252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252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295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252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252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252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252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252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252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252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252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227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228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252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252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252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338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252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252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252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252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252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252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252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252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252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229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228</v>
      </c>
      <c r="O378" s="39">
        <v>704750</v>
      </c>
    </row>
    <row r="379" spans="1:15" ht="18" customHeight="1">
      <c r="A379" s="102" t="s">
        <v>230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231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252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339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252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252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326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252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252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252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252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252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252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252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252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252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227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228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225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252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340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252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252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252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252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341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252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252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252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252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252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252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229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228</v>
      </c>
      <c r="O405" s="39">
        <v>958130</v>
      </c>
    </row>
    <row r="406" spans="1:15" ht="18" customHeight="1">
      <c r="A406" s="102" t="s">
        <v>230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231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252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252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252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252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252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252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252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252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225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252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225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227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228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252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252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252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252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252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252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342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252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252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252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252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252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252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229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228</v>
      </c>
      <c r="O432" s="39">
        <v>605220</v>
      </c>
    </row>
    <row r="433" spans="1:17" ht="18" customHeight="1">
      <c r="A433" s="102" t="s">
        <v>230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231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252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211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252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252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252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252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252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252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252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252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252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252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252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227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228</v>
      </c>
      <c r="O446" s="39">
        <v>738370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225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225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225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343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225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225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225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225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225</v>
      </c>
      <c r="F455" s="27">
        <v>19</v>
      </c>
      <c r="G455" s="34">
        <f t="shared" si="99"/>
        <v>95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225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225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225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229</v>
      </c>
      <c r="B459" s="100"/>
      <c r="C459" s="100"/>
      <c r="D459" s="100"/>
      <c r="E459" s="101">
        <f>SUM(E447:E458)</f>
        <v>0</v>
      </c>
      <c r="F459" s="36">
        <f>SUM(F447:F458)</f>
        <v>107</v>
      </c>
      <c r="G459" s="36">
        <f>SUM(G447:G458)</f>
        <v>524</v>
      </c>
      <c r="H459" s="37"/>
      <c r="I459" s="37"/>
      <c r="J459" s="37"/>
      <c r="K459" s="61"/>
      <c r="L459" s="61"/>
      <c r="M459" s="38">
        <f ca="1">IFERROR(SUM(M447:M458),"")</f>
        <v>0.16597222222222233</v>
      </c>
      <c r="N459" s="36" t="s">
        <v>228</v>
      </c>
      <c r="O459" s="39"/>
    </row>
    <row r="460" spans="1:15" ht="18" customHeight="1">
      <c r="A460" s="102" t="s">
        <v>230</v>
      </c>
      <c r="B460" s="103"/>
      <c r="C460" s="103"/>
      <c r="D460" s="103"/>
      <c r="E460" s="104">
        <f>E446+E459</f>
        <v>0</v>
      </c>
      <c r="F460" s="40">
        <f>F446+F459</f>
        <v>302</v>
      </c>
      <c r="G460" s="40">
        <f>G446+G459</f>
        <v>1343</v>
      </c>
      <c r="H460" s="41"/>
      <c r="I460" s="41"/>
      <c r="J460" s="41"/>
      <c r="K460" s="63"/>
      <c r="L460" s="63"/>
      <c r="M460" s="42">
        <f ca="1">IFERROR(M446+M459,"")</f>
        <v>0.21666666666666692</v>
      </c>
      <c r="N460" s="40" t="s">
        <v>231</v>
      </c>
      <c r="O460" s="48">
        <f>IFERROR(O446+O459,"")</f>
        <v>738370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227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229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228</v>
      </c>
      <c r="O486" s="39"/>
    </row>
    <row r="487" spans="1:15" ht="18" customHeight="1">
      <c r="A487" s="102" t="s">
        <v>230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227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229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228</v>
      </c>
      <c r="O513" s="39"/>
    </row>
    <row r="514" spans="1:15" ht="18" customHeight="1">
      <c r="A514" s="102" t="s">
        <v>230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227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229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228</v>
      </c>
      <c r="O540" s="39"/>
    </row>
    <row r="541" spans="1:15" ht="18" customHeight="1">
      <c r="A541" s="102" t="s">
        <v>230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227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229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228</v>
      </c>
      <c r="O567" s="39"/>
    </row>
    <row r="568" spans="1:15" ht="18" customHeight="1">
      <c r="A568" s="102" t="s">
        <v>230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227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229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228</v>
      </c>
      <c r="O594" s="39"/>
    </row>
    <row r="595" spans="1:15" ht="18" customHeight="1">
      <c r="A595" s="102" t="s">
        <v>230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227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229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228</v>
      </c>
      <c r="O621" s="39"/>
    </row>
    <row r="622" spans="1:15" ht="18" customHeight="1">
      <c r="A622" s="102" t="s">
        <v>230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227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229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228</v>
      </c>
      <c r="O648" s="39"/>
    </row>
    <row r="649" spans="1:15" ht="18" customHeight="1">
      <c r="A649" s="102" t="s">
        <v>230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227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229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228</v>
      </c>
      <c r="O675" s="39"/>
    </row>
    <row r="676" spans="1:15" ht="18" customHeight="1">
      <c r="A676" s="102" t="s">
        <v>230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227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229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228</v>
      </c>
      <c r="O702" s="39"/>
    </row>
    <row r="703" spans="1:15" ht="18" customHeight="1">
      <c r="A703" s="102" t="s">
        <v>230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227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229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228</v>
      </c>
      <c r="O729" s="39"/>
    </row>
    <row r="730" spans="1:15" ht="18" customHeight="1">
      <c r="A730" s="102" t="s">
        <v>230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227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229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228</v>
      </c>
      <c r="O756" s="39"/>
    </row>
    <row r="757" spans="1:15" ht="18" customHeight="1">
      <c r="A757" s="102" t="s">
        <v>230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227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229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228</v>
      </c>
      <c r="O783" s="39"/>
    </row>
    <row r="784" spans="1:15" ht="18" customHeight="1">
      <c r="A784" s="102" t="s">
        <v>230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227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229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228</v>
      </c>
      <c r="O810" s="39"/>
    </row>
    <row r="811" spans="1:15" ht="18" customHeight="1">
      <c r="A811" s="102" t="s">
        <v>230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231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2026-07-18T10:02:24Z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