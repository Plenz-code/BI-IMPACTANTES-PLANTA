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30" documentId="8_{AF585B22-221D-4780-BB9C-493D365A6A02}" xr6:coauthVersionLast="47" xr6:coauthVersionMax="47" xr10:uidLastSave="{FE15E8E8-478F-4AEF-B8C6-BF7ADAE029B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<sst xmlns="http://schemas.openxmlformats.org/spreadsheetml/2006/main" count="6106" uniqueCount="315">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</sst>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69" sqref="F3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47</v>
      </c>
      <c r="G378" s="36">
        <f>SUM(G366:G377)</f>
        <v>235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322</v>
      </c>
      <c r="G379" s="40">
        <f>G365+G378</f>
        <v>1610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L369" sqref="L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/>
      <c r="M369" s="35">
        <f t="shared" ca="1" si="82"/>
        <v>6.2980324073578231E-3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33</v>
      </c>
      <c r="G378" s="36">
        <f>SUM(G366:G377)</f>
        <v>138.60000000000002</v>
      </c>
      <c r="H378" s="37"/>
      <c r="I378" s="37"/>
      <c r="J378" s="37"/>
      <c r="K378" s="37"/>
      <c r="L378" s="37"/>
      <c r="M378" s="38">
        <f ca="1">IFERROR(SUM(M366:M377),"")</f>
        <v>4.9353587962913337E-2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191</v>
      </c>
      <c r="G379" s="40">
        <f>G365+G378</f>
        <v>802.2</v>
      </c>
      <c r="H379" s="41"/>
      <c r="I379" s="41"/>
      <c r="J379" s="41"/>
      <c r="K379" s="41"/>
      <c r="L379" s="41"/>
      <c r="M379" s="42">
        <f ca="1">IFERROR(M365+M378,"")</f>
        <v>0.1590758101851355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F369" sqref="F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31</v>
      </c>
      <c r="G378" s="36">
        <f>SUM(G366:G377)</f>
        <v>130.20000000000002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</v>
      </c>
      <c r="G379" s="40">
        <f>G365+G378</f>
        <v>168.00000000000003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J370" sqref="J3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0.67227025463216705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0.87157581018772268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1.2389369212988337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 t="s">
        <v>236</v>
      </c>
      <c r="F369" s="27"/>
      <c r="G369" s="34" t="str">
        <f t="shared" si="81"/>
        <v/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 t="s">
        <v>236</v>
      </c>
      <c r="F370" s="27"/>
      <c r="G370" s="28" t="str">
        <f t="shared" si="81"/>
        <v/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/>
      <c r="M370" s="30">
        <f t="shared" ca="1" si="82"/>
        <v>1.4369212949532084E-3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50</v>
      </c>
      <c r="G378" s="36">
        <f>SUM(G366:G377)</f>
        <v>210</v>
      </c>
      <c r="H378" s="37"/>
      <c r="I378" s="37"/>
      <c r="J378" s="37"/>
      <c r="K378" s="61"/>
      <c r="L378" s="61"/>
      <c r="M378" s="38">
        <f ca="1">IFERROR(SUM(M366:M377),"")</f>
        <v>2.2270254628286468E-2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175</v>
      </c>
      <c r="G379" s="40">
        <f>G365+G378</f>
        <v>735</v>
      </c>
      <c r="H379" s="41"/>
      <c r="I379" s="41"/>
      <c r="J379" s="41"/>
      <c r="K379" s="63"/>
      <c r="L379" s="63"/>
      <c r="M379" s="42">
        <f ca="1">IFERROR(M365+M378,"")</f>
        <v>0.12713136573939765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2026-07-15T02:07:22Z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