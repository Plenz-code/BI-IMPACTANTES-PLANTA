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73" documentId="8_{AF585B22-221D-4780-BB9C-493D365A6A02}" xr6:coauthVersionLast="47" xr6:coauthVersionMax="47" xr10:uidLastSave="{C95AA801-187D-4501-9011-3B8671B3673F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<sst xmlns="http://schemas.openxmlformats.org/spreadsheetml/2006/main" count="6302" uniqueCount="317">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</sst>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/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D390" sqref="D390:D3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59" t="s">
        <v>216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0" sqref="J3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7.8300231478351634E-2</v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0.23593912036724052</v>
      </c>
      <c r="N378" s="36" t="s">
        <v>219</v>
      </c>
      <c r="O378" s="78">
        <v>511980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0.34566134258946268</v>
      </c>
      <c r="N379" s="40" t="s">
        <v>222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236</v>
      </c>
      <c r="F380" s="27"/>
      <c r="G380" s="28" t="str">
        <f t="shared" ref="G380:G391" si="84">IF(F380="","",IF(E380="PC 17",F380*4.2,IF(E380="PC 19",F380*5,"")))</f>
        <v/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/>
      <c r="M380" s="30">
        <f t="shared" ref="M380:M391" ca="1" si="85">IFERROR(IF(K380="","",IF(L380="",MOD(NOW()-K380,1),IF(L380&gt;=K380,L380-K380,L380+1-K380))),"")</f>
        <v>1.9272453704616055E-2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1.9272453704616055E-2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1.9272453704616055E-2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J380" sqref="J3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236</v>
      </c>
      <c r="F380" s="27"/>
      <c r="G380" s="28" t="str">
        <f t="shared" ref="G380:G391" si="84">IF(F380="","",IF(E380="PC 17",F380*4.2,IF(E380="PC 19",F380*5,"")))</f>
        <v/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/>
      <c r="M380" s="30">
        <f t="shared" ref="M380:M391" ca="1" si="85">IFERROR(IF(K380="","",IF(L380="",MOD(NOW()-K380,1),IF(L380&gt;=K380,L380-K380,L380+1-K380))),"")</f>
        <v>3.9946759279700927E-3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20" t="s">
        <v>236</v>
      </c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236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3.9946759279700927E-3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3.9946759279700927E-3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N381" sqref="N3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6.8578009260818362E-2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0.26788356481637399</v>
      </c>
      <c r="N135" s="36" t="s">
        <v>219</v>
      </c>
      <c r="O135" s="39">
        <v>729290</v>
      </c>
    </row>
    <row r="136" spans="1:18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0.63524467592748501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218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219</v>
      </c>
      <c r="O378" s="39">
        <v>704750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 t="s">
        <v>316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2026-07-15T11:39:34Z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