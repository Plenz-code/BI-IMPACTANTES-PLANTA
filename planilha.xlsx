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00" documentId="13_ncr:1_{0A10D8D4-8450-4366-8075-B53B08E6B7EA}" xr6:coauthVersionLast="47" xr6:coauthVersionMax="47" xr10:uidLastSave="{5ED34AE3-F032-4CB9-8B26-64E56458E66E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<sst xmlns="http://schemas.openxmlformats.org/spreadsheetml/2006/main" count="7688" uniqueCount="363">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</sst>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2" activePane="bottomLeft" state="frozen"/>
      <selection pane="bottomLeft" activeCell="E458" sqref="E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168</v>
      </c>
      <c r="G460" s="40">
        <f>G446+G459</f>
        <v>840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E458" sqref="E45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0.68262858795787906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0.8215174768467679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0.90623969906899027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34" t="e">
        <f>IF(G445="","",IF(#REF!="PC 17",G445*4.2,IF(#REF!="PC 19",G445*5,IF(#REF!="CB",G445*24,""))))</f>
        <v>#REF!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 t="e">
        <f>SUM(K434:K445)</f>
        <v>#REF!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449.02</v>
      </c>
      <c r="I460" s="116"/>
      <c r="J460" s="125">
        <f>IFERROR(J446+J459,"")</f>
        <v>94.294199999999989</v>
      </c>
      <c r="K460" s="40" t="e">
        <f>K446+K459</f>
        <v>#REF!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E458" sqref="E4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329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E457" sqref="E45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/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2026-08-17T23:17:59Z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