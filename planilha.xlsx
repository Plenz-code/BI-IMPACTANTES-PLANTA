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35" documentId="8_{AF585B22-221D-4780-BB9C-493D365A6A02}" xr6:coauthVersionLast="47" xr6:coauthVersionMax="47" xr10:uidLastSave="{5424D9D4-60CA-449B-ADFB-ECD28F5AF8A6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<sst xmlns="http://schemas.openxmlformats.org/spreadsheetml/2006/main" count="6106" uniqueCount="315">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</sst>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69" sqref="F3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47</v>
      </c>
      <c r="G378" s="36">
        <f>SUM(G366:G377)</f>
        <v>235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322</v>
      </c>
      <c r="G379" s="40">
        <f>G365+G378</f>
        <v>1610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64" activePane="bottomLeft" state="frozen"/>
      <selection pane="bottomLeft" activeCell="L370" sqref="L3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33</v>
      </c>
      <c r="G378" s="36">
        <f>SUM(G366:G377)</f>
        <v>138.60000000000002</v>
      </c>
      <c r="H378" s="37"/>
      <c r="I378" s="37"/>
      <c r="J378" s="37"/>
      <c r="K378" s="37"/>
      <c r="L378" s="37"/>
      <c r="M378" s="38">
        <f ca="1">IFERROR(SUM(M366:M377),"")</f>
        <v>5.9722222222222232E-2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191</v>
      </c>
      <c r="G379" s="40">
        <f>G365+G378</f>
        <v>802.2</v>
      </c>
      <c r="H379" s="41"/>
      <c r="I379" s="41"/>
      <c r="J379" s="41"/>
      <c r="K379" s="41"/>
      <c r="L379" s="41"/>
      <c r="M379" s="42">
        <f ca="1">IFERROR(M365+M378,"")</f>
        <v>0.1694444444444444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8" zoomScale="50" zoomScaleNormal="50" workbookViewId="0">
      <selection activeCell="F369" sqref="F3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31</v>
      </c>
      <c r="G378" s="36">
        <f>SUM(G366:G377)</f>
        <v>130.20000000000002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40</v>
      </c>
      <c r="G379" s="40">
        <f>G365+G378</f>
        <v>168.00000000000003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D369" sqref="D369:D3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0.68331006944936235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0.88261562500491797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1.249976736116029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50</v>
      </c>
      <c r="G378" s="36">
        <f>SUM(G366:G377)</f>
        <v>210</v>
      </c>
      <c r="H378" s="37"/>
      <c r="I378" s="37"/>
      <c r="J378" s="37"/>
      <c r="K378" s="61"/>
      <c r="L378" s="61"/>
      <c r="M378" s="38">
        <f ca="1">IFERROR(SUM(M366:M377),"")</f>
        <v>2.430555555555558E-2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175</v>
      </c>
      <c r="G379" s="40">
        <f>G365+G378</f>
        <v>735</v>
      </c>
      <c r="H379" s="41"/>
      <c r="I379" s="41"/>
      <c r="J379" s="41"/>
      <c r="K379" s="63"/>
      <c r="L379" s="63"/>
      <c r="M379" s="42">
        <f ca="1">IFERROR(M365+M378,"")</f>
        <v>0.12916666666666676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2026-07-15T02:23:30Z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