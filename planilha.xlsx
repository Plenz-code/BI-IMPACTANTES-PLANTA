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945" documentId="8_{C51EB6CB-002B-4D6B-B68F-DDEBDB4460C0}" xr6:coauthVersionLast="47" xr6:coauthVersionMax="47" xr10:uidLastSave="{BB28BEFF-0A70-44D5-A4FA-2D3DC2A3E9E7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<sst xmlns="http://schemas.openxmlformats.org/spreadsheetml/2006/main" count="5700" uniqueCount="340">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</sst>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N302" sqref="N302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/>
      <c r="M301" s="35">
        <f t="shared" ca="1" si="67"/>
        <v>5.8093981475394685E-2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260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7.3371759253172464E-2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433</v>
      </c>
      <c r="G325" s="40">
        <f>G311+G324</f>
        <v>2165</v>
      </c>
      <c r="H325" s="41"/>
      <c r="I325" s="41"/>
      <c r="J325" s="41"/>
      <c r="K325" s="41"/>
      <c r="L325" s="41"/>
      <c r="M325" s="42">
        <f ca="1">IFERROR(M311+M324,"")</f>
        <v>7.3371759253172464E-2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87" activePane="bottomLeft" state="frozen"/>
      <selection pane="bottomLeft" activeCell="L305" sqref="L30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0.65392731480824295</v>
      </c>
      <c r="N53" s="46" t="s">
        <v>269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0.79281620369713179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0.87753842591935416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271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272</v>
      </c>
      <c r="M96" s="30" t="str">
        <f t="shared" ref="M96:M107" ca="1" si="22">IFERROR(IF(K96="","",IF(L96="",MOD(NOW()-K96,1),IF(L96&gt;=K96,L96-K96,L96+1-K96))),"")</f>
        <v/>
      </c>
      <c r="N96" s="46" t="s">
        <v>273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285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286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287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288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289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290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164</v>
      </c>
      <c r="G311" s="36">
        <f>SUM(G299:G310)</f>
        <v>688.8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164</v>
      </c>
      <c r="G325" s="40">
        <f>G311+G324</f>
        <v>688.8</v>
      </c>
      <c r="H325" s="41"/>
      <c r="I325" s="41"/>
      <c r="J325" s="41"/>
      <c r="K325" s="41"/>
      <c r="L325" s="41"/>
      <c r="M325" s="42">
        <f ca="1">IFERROR(M311+M324,"")</f>
        <v>5.3472222222222143E-2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72" zoomScale="68" zoomScaleNormal="68" workbookViewId="0">
      <selection activeCell="L303" sqref="L303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298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299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300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301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302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303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304</v>
      </c>
      <c r="M222" s="30" t="str">
        <f t="shared" ca="1" si="49"/>
        <v/>
      </c>
      <c r="N222" s="27" t="s">
        <v>305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306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270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0.58101064814400161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0.64281620369955716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0.70392731481066839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307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270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118</v>
      </c>
      <c r="G311" s="36">
        <f>SUM(G299:G310)</f>
        <v>495.59999999999997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118</v>
      </c>
      <c r="G325" s="40">
        <f>G311+G324</f>
        <v>495.59999999999997</v>
      </c>
      <c r="H325" s="41"/>
      <c r="I325" s="41"/>
      <c r="J325" s="41"/>
      <c r="K325" s="41"/>
      <c r="L325" s="41"/>
      <c r="M325" s="42">
        <f ca="1">IFERROR(M311+M324,"")</f>
        <v>2.8472222222222288E-2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78" activePane="bottomLeft" state="frozen"/>
      <selection pane="bottomLeft" activeCell="L303" sqref="L303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291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291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321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322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323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324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325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326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327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328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329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330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331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332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298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333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334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335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336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337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338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339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182</v>
      </c>
      <c r="G311" s="36">
        <f>SUM(G299:G310)</f>
        <v>764.4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182</v>
      </c>
      <c r="G325" s="40">
        <f>G311+G324</f>
        <v>764.4</v>
      </c>
      <c r="H325" s="41"/>
      <c r="I325" s="41"/>
      <c r="J325" s="41"/>
      <c r="K325" s="63"/>
      <c r="L325" s="63"/>
      <c r="M325" s="42">
        <f ca="1">IFERROR(M311+M324,"")</f>
        <v>7.5694444444444453E-2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2026-08-12T22:36:43Z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