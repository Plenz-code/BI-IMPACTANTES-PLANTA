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04" documentId="13_ncr:1_{0A10D8D4-8450-4366-8075-B53B08E6B7EA}" xr6:coauthVersionLast="47" xr6:coauthVersionMax="47" xr10:uidLastSave="{36F69C27-D0A8-4186-9000-E84ED51E23B7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J474" i="5" s="1"/>
  <c r="H476" i="5"/>
  <c r="J476" i="5" s="1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5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4" i="6" l="1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<sst xmlns="http://schemas.openxmlformats.org/spreadsheetml/2006/main" count="8086" uniqueCount="377">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</sst>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6" sqref="F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82</v>
      </c>
      <c r="G486" s="36">
        <f>SUM(G474:G485)</f>
        <v>410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429</v>
      </c>
      <c r="G487" s="40">
        <f>G473+G486</f>
        <v>2145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53" activePane="bottomLeft" state="frozen"/>
      <selection pane="bottomLeft" activeCell="P477" sqref="P47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0.79495486110681668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0.93384374999570552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1.0185659722179279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320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151.19999999999999</v>
      </c>
      <c r="L486" s="37"/>
      <c r="M486" s="37"/>
      <c r="N486" s="37"/>
      <c r="O486" s="37"/>
      <c r="P486" s="37"/>
      <c r="Q486" s="38">
        <f ca="1">IFERROR(SUM(Q474:Q485),"")</f>
        <v>4.2361111111111072E-2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229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961.8</v>
      </c>
      <c r="L487" s="41"/>
      <c r="M487" s="41"/>
      <c r="N487" s="41"/>
      <c r="O487" s="41"/>
      <c r="P487" s="41"/>
      <c r="Q487" s="42">
        <f ca="1">IFERROR(Q473+Q486,"")</f>
        <v>0.16180555555555542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9" activePane="bottomLeft" state="frozen"/>
      <selection pane="bottomLeft" activeCell="G476" sqref="G47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16.8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294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N476" sqref="N47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 t="s">
        <v>25</v>
      </c>
      <c r="M476" s="26" t="s">
        <v>137</v>
      </c>
      <c r="N476" s="26"/>
      <c r="O476" s="29">
        <v>0.88263888888888886</v>
      </c>
      <c r="P476" s="29"/>
      <c r="Q476" s="30">
        <f t="shared" ca="1" si="120"/>
        <v>3.3843749995867256E-2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4.8427083329200538E-2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0.34148263888475588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