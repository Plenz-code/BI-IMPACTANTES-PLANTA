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78" documentId="13_ncr:1_{A6DBCFB4-28D9-4249-9038-216934055CA6}" xr6:coauthVersionLast="47" xr6:coauthVersionMax="47" xr10:uidLastSave="{BB097B10-71F9-48B4-A1AC-666E2EC80742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<sst xmlns="http://schemas.openxmlformats.org/spreadsheetml/2006/main" count="9517" uniqueCount="419">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</sst>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65" sqref="F56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138</v>
      </c>
      <c r="G567" s="2">
        <f>SUM(G555:G566)</f>
        <v>690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138</v>
      </c>
      <c r="G568" s="1">
        <f>G554+G567</f>
        <v>690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41" activePane="bottomLeft" state="frozen"/>
      <selection pane="bottomLeft" activeCell="G564" sqref="G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0.13437349536980037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0.2732623842586881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0.35798460648091091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0.46423460648657056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0.46423460648657056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0.78576238426434819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G565" sqref="G56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39"/>
        <v>0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0</v>
      </c>
      <c r="H565" s="88">
        <f>IFERROR(IF($G565="","",$G565*$S$567/$G$567/Cadastro!$E$33),"")</f>
        <v>0</v>
      </c>
      <c r="I565" s="90">
        <f>IFERROR(IF($D565="","",VLOOKUP($D565,Cadastro!$C$4:$G$7,5,FALSE())),"")</f>
        <v>0.6</v>
      </c>
      <c r="J565" s="91">
        <f t="shared" si="139"/>
        <v>0</v>
      </c>
      <c r="K565" s="69">
        <f t="shared" si="140"/>
        <v>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 t="s">
        <v>29</v>
      </c>
      <c r="M566" s="61" t="s">
        <v>56</v>
      </c>
      <c r="N566" s="61"/>
      <c r="O566" s="65">
        <v>0.23749999999999999</v>
      </c>
      <c r="P566" s="65"/>
      <c r="Q566" s="66">
        <f t="shared" ca="1" si="141"/>
        <v>1.840127314790152E-2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460.4</v>
      </c>
      <c r="L567" s="72"/>
      <c r="M567" s="72"/>
      <c r="N567" s="72"/>
      <c r="O567" s="72"/>
      <c r="P567" s="72"/>
      <c r="Q567" s="73">
        <f ca="1">IFERROR(SUM(Q555:Q566),"")</f>
        <v>9.756793981456835E-2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115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498.2</v>
      </c>
      <c r="L568" s="76"/>
      <c r="M568" s="76"/>
      <c r="N568" s="76"/>
      <c r="O568" s="76"/>
      <c r="P568" s="76"/>
      <c r="Q568" s="77">
        <f ca="1">IFERROR(Q554+Q567,"")</f>
        <v>0.507984606481235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G565" sqref="G56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42"/>
        <v>0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>
        <f>IFERROR(IF($G565="","",$G565*$S$567/$G$567/Cadastro!$E$33),"")</f>
        <v>0</v>
      </c>
      <c r="I565" s="90">
        <f>IFERROR(IF($D565="","",VLOOKUP($D565,Cadastro!$C$4:$G$7,5,FALSE())),"")</f>
        <v>0.6</v>
      </c>
      <c r="J565" s="91">
        <f t="shared" si="142"/>
        <v>0</v>
      </c>
      <c r="K565" s="69">
        <f t="shared" si="143"/>
        <v>0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 t="s">
        <v>29</v>
      </c>
      <c r="M566" s="61" t="s">
        <v>61</v>
      </c>
      <c r="N566" s="61"/>
      <c r="O566" s="65">
        <v>0.2388888888888889</v>
      </c>
      <c r="P566" s="65"/>
      <c r="Q566" s="66">
        <f t="shared" ca="1" si="145"/>
        <v>1.7012384261761326E-2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99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418.20000000000005</v>
      </c>
      <c r="L567" s="72"/>
      <c r="M567" s="72"/>
      <c r="N567" s="72"/>
      <c r="O567" s="134"/>
      <c r="P567" s="134"/>
      <c r="Q567" s="73">
        <f ca="1">IFERROR(SUM(Q555:Q566),"")</f>
        <v>0.19340127315065009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968.40000000000009</v>
      </c>
      <c r="L568" s="76"/>
      <c r="M568" s="76"/>
      <c r="N568" s="76"/>
      <c r="O568" s="135"/>
      <c r="P568" s="135"/>
      <c r="Q568" s="77">
        <f ca="1">IFERROR(Q554+Q567,"")</f>
        <v>0.34965127315065014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2026-08-22T10:08:51Z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