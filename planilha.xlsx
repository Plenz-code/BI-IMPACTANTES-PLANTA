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933" documentId="8_{C51EB6CB-002B-4D6B-B68F-DDEBDB4460C0}" xr6:coauthVersionLast="47" xr6:coauthVersionMax="47" xr10:uidLastSave="{A62FF1FF-F1D3-4526-AACA-24674EC56D07}"/>
  <bookViews>
    <workbookView xWindow="-108" yWindow="-108" windowWidth="23256" windowHeight="12456" tabRatio="500" firstSheet="4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176" i="6" l="1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<sst xmlns="http://schemas.openxmlformats.org/spreadsheetml/2006/main" count="4117" uniqueCount="301">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</sst>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1" sqref="G11:G34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7" t="s">
        <v>0</v>
      </c>
      <c r="B1" s="107"/>
      <c r="C1" s="107"/>
      <c r="D1" s="107"/>
      <c r="E1" s="107"/>
      <c r="F1" s="107"/>
      <c r="G1" s="107"/>
    </row>
    <row r="2" spans="1:7" ht="24.75" customHeight="1">
      <c r="A2" s="108"/>
      <c r="B2" s="10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9" t="s">
        <v>9</v>
      </c>
      <c r="B35" s="109"/>
      <c r="C35" s="13">
        <f>IFERROR(SUM(C4:C34),"")</f>
        <v>24036285</v>
      </c>
      <c r="D35" s="13">
        <f>IFERROR(SUM(D4:D34),"")</f>
        <v>7112730</v>
      </c>
      <c r="E35" s="13">
        <f>IFERROR(SUM(E4:E34),"")</f>
        <v>3636350</v>
      </c>
      <c r="F35" s="13">
        <f>IFERROR(SUM(F4:F34),"")</f>
        <v>9451500</v>
      </c>
      <c r="G35" s="13">
        <f>IFERROR(SUM(G4:G34),"")</f>
        <v>20200580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0" t="s">
        <v>10</v>
      </c>
      <c r="B1" s="110"/>
      <c r="C1" s="110"/>
      <c r="D1" s="110"/>
      <c r="E1" s="110"/>
      <c r="F1" s="110"/>
      <c r="G1" s="110"/>
      <c r="H1" s="111"/>
      <c r="I1" s="112" t="s">
        <v>11</v>
      </c>
      <c r="J1" s="112"/>
      <c r="K1" s="112"/>
      <c r="L1" s="112"/>
      <c r="M1" s="112"/>
    </row>
    <row r="2" spans="1:13" ht="4.5" customHeight="1">
      <c r="H2" s="11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1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1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1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1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1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1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1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1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1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1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1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1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1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1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1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1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1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1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1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1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1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1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1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1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1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1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1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1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1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1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1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1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1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1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1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1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1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1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1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1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1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1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1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1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1"/>
      <c r="I57" s="17"/>
      <c r="J57" s="17"/>
      <c r="K57" s="17" t="s">
        <v>50</v>
      </c>
      <c r="L57" s="17"/>
      <c r="M57" s="17"/>
    </row>
    <row r="58" spans="1:13" ht="15" customHeight="1">
      <c r="H58" s="111"/>
      <c r="I58" s="16"/>
      <c r="J58" s="16"/>
      <c r="K58" s="16" t="s">
        <v>207</v>
      </c>
      <c r="L58" s="16"/>
      <c r="M58" s="16"/>
    </row>
    <row r="59" spans="1:13" ht="15" customHeight="1">
      <c r="H59" s="111"/>
      <c r="I59" s="17"/>
      <c r="J59" s="17"/>
      <c r="K59" s="17" t="s">
        <v>208</v>
      </c>
      <c r="L59" s="17"/>
      <c r="M59" s="17"/>
    </row>
    <row r="60" spans="1:13" ht="15" customHeight="1">
      <c r="H60" s="111"/>
      <c r="I60" s="16"/>
      <c r="J60" s="16"/>
      <c r="K60" s="86" t="s">
        <v>105</v>
      </c>
      <c r="L60" s="16"/>
      <c r="M60" s="16"/>
    </row>
    <row r="61" spans="1:13" ht="15" customHeight="1">
      <c r="H61" s="111"/>
      <c r="I61" s="17"/>
      <c r="J61" s="17"/>
      <c r="K61" s="17" t="s">
        <v>209</v>
      </c>
      <c r="L61" s="17"/>
      <c r="M61" s="17"/>
    </row>
    <row r="62" spans="1:13" ht="15" customHeight="1">
      <c r="H62" s="111"/>
      <c r="I62" s="16"/>
      <c r="J62" s="16"/>
      <c r="K62" s="16" t="s">
        <v>210</v>
      </c>
      <c r="L62" s="16"/>
      <c r="M62" s="16"/>
    </row>
    <row r="63" spans="1:13" ht="15" customHeight="1">
      <c r="H63" s="111"/>
      <c r="I63" s="17"/>
      <c r="J63" s="17"/>
      <c r="K63" s="17" t="s">
        <v>211</v>
      </c>
      <c r="L63" s="17"/>
      <c r="M63" s="17"/>
    </row>
    <row r="64" spans="1:13" ht="15" customHeight="1">
      <c r="H64" s="111"/>
      <c r="I64" s="16"/>
      <c r="J64" s="16"/>
      <c r="K64" s="16" t="s">
        <v>212</v>
      </c>
      <c r="L64" s="16"/>
      <c r="M64" s="16"/>
    </row>
    <row r="65" spans="8:13" ht="15" customHeight="1">
      <c r="H65" s="111"/>
      <c r="I65" s="17"/>
      <c r="J65" s="17"/>
      <c r="K65" s="17" t="s">
        <v>213</v>
      </c>
      <c r="L65" s="17"/>
      <c r="M65" s="17"/>
    </row>
    <row r="66" spans="8:13" ht="15" customHeight="1">
      <c r="H66" s="111"/>
      <c r="I66" s="16"/>
      <c r="J66" s="16"/>
      <c r="K66" s="16" t="s">
        <v>214</v>
      </c>
      <c r="L66" s="16"/>
      <c r="M66" s="16"/>
    </row>
    <row r="67" spans="8:13" ht="15" customHeight="1">
      <c r="H67" s="111"/>
      <c r="I67" s="17"/>
      <c r="J67" s="17"/>
      <c r="K67" s="17" t="s">
        <v>215</v>
      </c>
      <c r="L67" s="17"/>
      <c r="M67" s="17"/>
    </row>
    <row r="68" spans="8:13" ht="15" customHeight="1">
      <c r="H68" s="111"/>
      <c r="I68" s="16"/>
      <c r="J68" s="16"/>
      <c r="K68" s="16" t="s">
        <v>216</v>
      </c>
      <c r="L68" s="16"/>
      <c r="M68" s="16"/>
    </row>
    <row r="69" spans="8:13" ht="15" customHeight="1">
      <c r="H69" s="111"/>
      <c r="I69" s="17"/>
      <c r="J69" s="17"/>
      <c r="K69" s="17" t="s">
        <v>217</v>
      </c>
      <c r="L69" s="17"/>
      <c r="M69" s="17"/>
    </row>
    <row r="70" spans="8:13" ht="15" customHeight="1">
      <c r="H70" s="111"/>
      <c r="I70" s="16"/>
      <c r="J70" s="16"/>
      <c r="K70" s="16" t="s">
        <v>218</v>
      </c>
      <c r="L70" s="16"/>
      <c r="M70" s="16"/>
    </row>
    <row r="71" spans="8:13" ht="15" customHeight="1">
      <c r="H71" s="111"/>
      <c r="I71" s="17"/>
      <c r="J71" s="17"/>
      <c r="K71" s="17" t="s">
        <v>219</v>
      </c>
      <c r="L71" s="17"/>
      <c r="M71" s="17"/>
    </row>
    <row r="72" spans="8:13" ht="15" customHeight="1">
      <c r="H72" s="111"/>
      <c r="I72" s="16"/>
      <c r="J72" s="16"/>
      <c r="K72" s="16" t="s">
        <v>220</v>
      </c>
      <c r="L72" s="16"/>
      <c r="M72" s="16"/>
    </row>
    <row r="73" spans="8:13" ht="15" customHeight="1">
      <c r="H73" s="111"/>
      <c r="I73" s="17"/>
      <c r="J73" s="17"/>
      <c r="K73" s="17" t="s">
        <v>221</v>
      </c>
      <c r="L73" s="17"/>
      <c r="M73" s="17"/>
    </row>
    <row r="74" spans="8:13" ht="15" customHeight="1">
      <c r="H74" s="111"/>
      <c r="I74" s="16"/>
      <c r="J74" s="16"/>
      <c r="K74" s="16" t="s">
        <v>222</v>
      </c>
      <c r="L74" s="16"/>
      <c r="M74" s="16"/>
    </row>
    <row r="75" spans="8:13" ht="15" customHeight="1">
      <c r="H75" s="11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185" activePane="bottomLeft" state="frozen"/>
      <selection pane="bottomLeft" activeCell="F199" sqref="F199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7.57031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4" t="s">
        <v>234</v>
      </c>
      <c r="B14" s="105"/>
      <c r="C14" s="105"/>
      <c r="D14" s="105"/>
      <c r="E14" s="106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235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233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233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236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4" t="s">
        <v>237</v>
      </c>
      <c r="B27" s="105"/>
      <c r="C27" s="105"/>
      <c r="D27" s="105"/>
      <c r="E27" s="106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235</v>
      </c>
      <c r="O27" s="39">
        <v>997910</v>
      </c>
    </row>
    <row r="28" spans="1:15" ht="18" customHeight="1">
      <c r="A28" s="101" t="s">
        <v>238</v>
      </c>
      <c r="B28" s="102"/>
      <c r="C28" s="102"/>
      <c r="D28" s="102"/>
      <c r="E28" s="103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239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233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240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233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236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4" t="s">
        <v>234</v>
      </c>
      <c r="B41" s="105"/>
      <c r="C41" s="105"/>
      <c r="D41" s="105"/>
      <c r="E41" s="106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235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233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233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233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233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4" t="s">
        <v>237</v>
      </c>
      <c r="B54" s="105"/>
      <c r="C54" s="105"/>
      <c r="D54" s="105"/>
      <c r="E54" s="106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235</v>
      </c>
      <c r="O54" s="39">
        <v>981310</v>
      </c>
    </row>
    <row r="55" spans="1:15" ht="18" customHeight="1">
      <c r="A55" s="101" t="s">
        <v>238</v>
      </c>
      <c r="B55" s="102"/>
      <c r="C55" s="102"/>
      <c r="D55" s="102"/>
      <c r="E55" s="103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239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233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4" t="s">
        <v>234</v>
      </c>
      <c r="B68" s="105"/>
      <c r="C68" s="105"/>
      <c r="D68" s="105"/>
      <c r="E68" s="106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235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233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242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4" t="s">
        <v>237</v>
      </c>
      <c r="B81" s="105"/>
      <c r="C81" s="105"/>
      <c r="D81" s="105"/>
      <c r="E81" s="106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235</v>
      </c>
      <c r="O81" s="39">
        <v>1547910</v>
      </c>
    </row>
    <row r="82" spans="1:15" ht="18" customHeight="1">
      <c r="A82" s="101" t="s">
        <v>238</v>
      </c>
      <c r="B82" s="102"/>
      <c r="C82" s="102"/>
      <c r="D82" s="102"/>
      <c r="E82" s="103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239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233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233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243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4" t="s">
        <v>234</v>
      </c>
      <c r="B95" s="105"/>
      <c r="C95" s="105"/>
      <c r="D95" s="105"/>
      <c r="E95" s="106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235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244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4" t="s">
        <v>237</v>
      </c>
      <c r="B108" s="105"/>
      <c r="C108" s="105"/>
      <c r="D108" s="105"/>
      <c r="E108" s="106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3156240</v>
      </c>
    </row>
    <row r="109" spans="1:15" ht="18" customHeight="1">
      <c r="A109" s="101" t="s">
        <v>238</v>
      </c>
      <c r="B109" s="102"/>
      <c r="C109" s="102"/>
      <c r="D109" s="102"/>
      <c r="E109" s="103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239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4" t="s">
        <v>234</v>
      </c>
      <c r="B122" s="105"/>
      <c r="C122" s="105"/>
      <c r="D122" s="105"/>
      <c r="E122" s="106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235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4" t="s">
        <v>237</v>
      </c>
      <c r="B135" s="105"/>
      <c r="C135" s="105"/>
      <c r="D135" s="105"/>
      <c r="E135" s="106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235</v>
      </c>
      <c r="O135" s="39">
        <v>2875180</v>
      </c>
    </row>
    <row r="136" spans="1:15" ht="18" customHeight="1">
      <c r="A136" s="101" t="s">
        <v>238</v>
      </c>
      <c r="B136" s="102"/>
      <c r="C136" s="102"/>
      <c r="D136" s="102"/>
      <c r="E136" s="103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239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245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233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233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233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4" t="s">
        <v>234</v>
      </c>
      <c r="B149" s="105"/>
      <c r="C149" s="105"/>
      <c r="D149" s="105"/>
      <c r="E149" s="106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235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233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246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233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233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233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4" t="s">
        <v>237</v>
      </c>
      <c r="B162" s="105"/>
      <c r="C162" s="105"/>
      <c r="D162" s="105"/>
      <c r="E162" s="106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235</v>
      </c>
      <c r="O162" s="44">
        <v>842000</v>
      </c>
    </row>
    <row r="163" spans="1:15" ht="18" customHeight="1">
      <c r="A163" s="101" t="s">
        <v>238</v>
      </c>
      <c r="B163" s="102"/>
      <c r="C163" s="102"/>
      <c r="D163" s="102"/>
      <c r="E163" s="103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239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222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247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233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4" t="s">
        <v>234</v>
      </c>
      <c r="B176" s="105"/>
      <c r="C176" s="105"/>
      <c r="D176" s="105"/>
      <c r="E176" s="106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235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248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4" t="s">
        <v>237</v>
      </c>
      <c r="B189" s="105"/>
      <c r="C189" s="105"/>
      <c r="D189" s="105"/>
      <c r="E189" s="106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235</v>
      </c>
      <c r="O189" s="39">
        <v>1901630</v>
      </c>
    </row>
    <row r="190" spans="1:15" ht="18" customHeight="1">
      <c r="A190" s="101" t="s">
        <v>238</v>
      </c>
      <c r="B190" s="102"/>
      <c r="C190" s="102"/>
      <c r="D190" s="102"/>
      <c r="E190" s="103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239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233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233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/>
      <c r="M193" s="35">
        <f t="shared" ca="1" si="43"/>
        <v>2.1386921296652872E-2</v>
      </c>
      <c r="N193" s="27" t="s">
        <v>250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233</v>
      </c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233</v>
      </c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233</v>
      </c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233</v>
      </c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4" t="s">
        <v>234</v>
      </c>
      <c r="B203" s="105"/>
      <c r="C203" s="105"/>
      <c r="D203" s="105"/>
      <c r="E203" s="106">
        <f>SUM(E191:E202)</f>
        <v>0</v>
      </c>
      <c r="F203" s="36">
        <f>SUM(F191:F202)</f>
        <v>206</v>
      </c>
      <c r="G203" s="36">
        <f>SUM(G191:G202)</f>
        <v>1030</v>
      </c>
      <c r="H203" s="37"/>
      <c r="I203" s="37"/>
      <c r="J203" s="37"/>
      <c r="K203" s="37"/>
      <c r="L203" s="37"/>
      <c r="M203" s="38">
        <f ca="1">IFERROR(SUM(M191:M202),"")</f>
        <v>7.2775810185541745E-2</v>
      </c>
      <c r="N203" s="36" t="s">
        <v>235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4" t="s">
        <v>237</v>
      </c>
      <c r="B216" s="105"/>
      <c r="C216" s="105"/>
      <c r="D216" s="105"/>
      <c r="E216" s="106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45"/>
    </row>
    <row r="217" spans="1:15" ht="18" customHeight="1">
      <c r="A217" s="101" t="s">
        <v>238</v>
      </c>
      <c r="B217" s="102"/>
      <c r="C217" s="102"/>
      <c r="D217" s="102"/>
      <c r="E217" s="103">
        <f>E203+E216</f>
        <v>0</v>
      </c>
      <c r="F217" s="40">
        <f>F203+F216</f>
        <v>206</v>
      </c>
      <c r="G217" s="40">
        <f>G203+G216</f>
        <v>1030</v>
      </c>
      <c r="H217" s="41"/>
      <c r="I217" s="41"/>
      <c r="J217" s="41"/>
      <c r="K217" s="41"/>
      <c r="L217" s="41"/>
      <c r="M217" s="42">
        <f ca="1">IFERROR(M203+M216,"")</f>
        <v>7.2775810185541745E-2</v>
      </c>
      <c r="N217" s="40" t="s">
        <v>239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4" t="s">
        <v>234</v>
      </c>
      <c r="B230" s="105"/>
      <c r="C230" s="105"/>
      <c r="D230" s="105"/>
      <c r="E230" s="106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4" t="s">
        <v>237</v>
      </c>
      <c r="B243" s="105"/>
      <c r="C243" s="105"/>
      <c r="D243" s="105"/>
      <c r="E243" s="106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1" t="s">
        <v>238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4" t="s">
        <v>234</v>
      </c>
      <c r="B257" s="105"/>
      <c r="C257" s="105"/>
      <c r="D257" s="105"/>
      <c r="E257" s="106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4" t="s">
        <v>237</v>
      </c>
      <c r="B270" s="105"/>
      <c r="C270" s="105"/>
      <c r="D270" s="105"/>
      <c r="E270" s="106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1" t="s">
        <v>238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4" t="s">
        <v>234</v>
      </c>
      <c r="B284" s="105"/>
      <c r="C284" s="105"/>
      <c r="D284" s="105"/>
      <c r="E284" s="106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4" t="s">
        <v>237</v>
      </c>
      <c r="B297" s="105"/>
      <c r="C297" s="105"/>
      <c r="D297" s="105"/>
      <c r="E297" s="106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1" t="s">
        <v>238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4" t="s">
        <v>234</v>
      </c>
      <c r="B311" s="105"/>
      <c r="C311" s="105"/>
      <c r="D311" s="105"/>
      <c r="E311" s="106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4" t="s">
        <v>237</v>
      </c>
      <c r="B324" s="105"/>
      <c r="C324" s="105"/>
      <c r="D324" s="105"/>
      <c r="E324" s="106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1" t="s">
        <v>238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4" t="s">
        <v>234</v>
      </c>
      <c r="B338" s="105"/>
      <c r="C338" s="105"/>
      <c r="D338" s="105"/>
      <c r="E338" s="106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4" t="s">
        <v>237</v>
      </c>
      <c r="B351" s="105"/>
      <c r="C351" s="105"/>
      <c r="D351" s="105"/>
      <c r="E351" s="10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1" t="s">
        <v>238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4" t="s">
        <v>234</v>
      </c>
      <c r="B365" s="105"/>
      <c r="C365" s="105"/>
      <c r="D365" s="105"/>
      <c r="E365" s="10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4" t="s">
        <v>237</v>
      </c>
      <c r="B378" s="105"/>
      <c r="C378" s="105"/>
      <c r="D378" s="105"/>
      <c r="E378" s="10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1" t="s">
        <v>238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4" t="s">
        <v>234</v>
      </c>
      <c r="B392" s="105"/>
      <c r="C392" s="105"/>
      <c r="D392" s="105"/>
      <c r="E392" s="10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4" t="s">
        <v>237</v>
      </c>
      <c r="B405" s="105"/>
      <c r="C405" s="105"/>
      <c r="D405" s="105"/>
      <c r="E405" s="10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1" t="s">
        <v>238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4" t="s">
        <v>234</v>
      </c>
      <c r="B419" s="105"/>
      <c r="C419" s="105"/>
      <c r="D419" s="105"/>
      <c r="E419" s="10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4" t="s">
        <v>237</v>
      </c>
      <c r="B432" s="105"/>
      <c r="C432" s="105"/>
      <c r="D432" s="105"/>
      <c r="E432" s="10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1" t="s">
        <v>238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4" t="s">
        <v>234</v>
      </c>
      <c r="B446" s="105"/>
      <c r="C446" s="105"/>
      <c r="D446" s="105"/>
      <c r="E446" s="10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4" t="s">
        <v>237</v>
      </c>
      <c r="B459" s="105"/>
      <c r="C459" s="105"/>
      <c r="D459" s="105"/>
      <c r="E459" s="10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1" t="s">
        <v>238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4" t="s">
        <v>234</v>
      </c>
      <c r="B473" s="105"/>
      <c r="C473" s="105"/>
      <c r="D473" s="105"/>
      <c r="E473" s="10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4" t="s">
        <v>237</v>
      </c>
      <c r="B486" s="105"/>
      <c r="C486" s="105"/>
      <c r="D486" s="105"/>
      <c r="E486" s="10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1" t="s">
        <v>238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4" t="s">
        <v>234</v>
      </c>
      <c r="B500" s="105"/>
      <c r="C500" s="105"/>
      <c r="D500" s="105"/>
      <c r="E500" s="10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4" t="s">
        <v>237</v>
      </c>
      <c r="B513" s="105"/>
      <c r="C513" s="105"/>
      <c r="D513" s="105"/>
      <c r="E513" s="10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1" t="s">
        <v>238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4" t="s">
        <v>234</v>
      </c>
      <c r="B527" s="105"/>
      <c r="C527" s="105"/>
      <c r="D527" s="105"/>
      <c r="E527" s="10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4" t="s">
        <v>237</v>
      </c>
      <c r="B540" s="105"/>
      <c r="C540" s="105"/>
      <c r="D540" s="105"/>
      <c r="E540" s="10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1" t="s">
        <v>238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4" t="s">
        <v>234</v>
      </c>
      <c r="B554" s="105"/>
      <c r="C554" s="105"/>
      <c r="D554" s="105"/>
      <c r="E554" s="10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4" t="s">
        <v>237</v>
      </c>
      <c r="B567" s="105"/>
      <c r="C567" s="105"/>
      <c r="D567" s="105"/>
      <c r="E567" s="10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1" t="s">
        <v>238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4" t="s">
        <v>234</v>
      </c>
      <c r="B581" s="105"/>
      <c r="C581" s="105"/>
      <c r="D581" s="105"/>
      <c r="E581" s="10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4" t="s">
        <v>237</v>
      </c>
      <c r="B594" s="105"/>
      <c r="C594" s="105"/>
      <c r="D594" s="105"/>
      <c r="E594" s="10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1" t="s">
        <v>238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4" t="s">
        <v>234</v>
      </c>
      <c r="B608" s="105"/>
      <c r="C608" s="105"/>
      <c r="D608" s="105"/>
      <c r="E608" s="10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4" t="s">
        <v>237</v>
      </c>
      <c r="B621" s="105"/>
      <c r="C621" s="105"/>
      <c r="D621" s="105"/>
      <c r="E621" s="10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1" t="s">
        <v>238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4" t="s">
        <v>234</v>
      </c>
      <c r="B635" s="105"/>
      <c r="C635" s="105"/>
      <c r="D635" s="105"/>
      <c r="E635" s="10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4" t="s">
        <v>237</v>
      </c>
      <c r="B648" s="105"/>
      <c r="C648" s="105"/>
      <c r="D648" s="105"/>
      <c r="E648" s="10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1" t="s">
        <v>238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4" t="s">
        <v>234</v>
      </c>
      <c r="B662" s="105"/>
      <c r="C662" s="105"/>
      <c r="D662" s="105"/>
      <c r="E662" s="10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4" t="s">
        <v>237</v>
      </c>
      <c r="B675" s="105"/>
      <c r="C675" s="105"/>
      <c r="D675" s="105"/>
      <c r="E675" s="10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1" t="s">
        <v>238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4" t="s">
        <v>234</v>
      </c>
      <c r="B689" s="105"/>
      <c r="C689" s="105"/>
      <c r="D689" s="105"/>
      <c r="E689" s="10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4" t="s">
        <v>237</v>
      </c>
      <c r="B702" s="105"/>
      <c r="C702" s="105"/>
      <c r="D702" s="105"/>
      <c r="E702" s="10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1" t="s">
        <v>238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4" t="s">
        <v>234</v>
      </c>
      <c r="B716" s="105"/>
      <c r="C716" s="105"/>
      <c r="D716" s="105"/>
      <c r="E716" s="10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4" t="s">
        <v>237</v>
      </c>
      <c r="B729" s="105"/>
      <c r="C729" s="105"/>
      <c r="D729" s="105"/>
      <c r="E729" s="10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1" t="s">
        <v>238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4" t="s">
        <v>234</v>
      </c>
      <c r="B743" s="105"/>
      <c r="C743" s="105"/>
      <c r="D743" s="105"/>
      <c r="E743" s="10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4" t="s">
        <v>237</v>
      </c>
      <c r="B756" s="105"/>
      <c r="C756" s="105"/>
      <c r="D756" s="105"/>
      <c r="E756" s="10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1" t="s">
        <v>238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4" t="s">
        <v>234</v>
      </c>
      <c r="B770" s="105"/>
      <c r="C770" s="105"/>
      <c r="D770" s="105"/>
      <c r="E770" s="10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4" t="s">
        <v>237</v>
      </c>
      <c r="B783" s="105"/>
      <c r="C783" s="105"/>
      <c r="D783" s="105"/>
      <c r="E783" s="10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1" t="s">
        <v>238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4" t="s">
        <v>234</v>
      </c>
      <c r="B797" s="105"/>
      <c r="C797" s="105"/>
      <c r="D797" s="105"/>
      <c r="E797" s="10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4" t="s">
        <v>237</v>
      </c>
      <c r="B810" s="105"/>
      <c r="C810" s="105"/>
      <c r="D810" s="105"/>
      <c r="E810" s="10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13" t="s">
        <v>238</v>
      </c>
      <c r="B811" s="114"/>
      <c r="C811" s="114"/>
      <c r="D811" s="114"/>
      <c r="E811" s="115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4" t="s">
        <v>234</v>
      </c>
      <c r="B824" s="105"/>
      <c r="C824" s="105"/>
      <c r="D824" s="105"/>
      <c r="E824" s="10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4" t="s">
        <v>237</v>
      </c>
      <c r="B837" s="105"/>
      <c r="C837" s="105"/>
      <c r="D837" s="105"/>
      <c r="E837" s="10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1" t="s">
        <v>238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173" activePane="bottomLeft" state="frozen"/>
      <selection pane="bottomLeft" activeCell="F199" sqref="F19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251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252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253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4" t="s">
        <v>234</v>
      </c>
      <c r="B14" s="105"/>
      <c r="C14" s="105"/>
      <c r="D14" s="105"/>
      <c r="E14" s="106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235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249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249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249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249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254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249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255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249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249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249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249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249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4" t="s">
        <v>237</v>
      </c>
      <c r="B27" s="105"/>
      <c r="C27" s="105"/>
      <c r="D27" s="105"/>
      <c r="E27" s="106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235</v>
      </c>
      <c r="O27" s="77">
        <v>549860</v>
      </c>
    </row>
    <row r="28" spans="1:15" ht="18" customHeight="1">
      <c r="A28" s="101" t="s">
        <v>238</v>
      </c>
      <c r="B28" s="102"/>
      <c r="C28" s="102"/>
      <c r="D28" s="102"/>
      <c r="E28" s="103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239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4" t="s">
        <v>234</v>
      </c>
      <c r="B41" s="105"/>
      <c r="C41" s="105"/>
      <c r="D41" s="105"/>
      <c r="E41" s="106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235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249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249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249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249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256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249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257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249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249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258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249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0.50402581017988268</v>
      </c>
      <c r="N53" s="46" t="s">
        <v>259</v>
      </c>
      <c r="O53" s="31"/>
    </row>
    <row r="54" spans="1:15" ht="15.75" customHeight="1">
      <c r="A54" s="104" t="s">
        <v>237</v>
      </c>
      <c r="B54" s="105"/>
      <c r="C54" s="105"/>
      <c r="D54" s="105"/>
      <c r="E54" s="106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0.64291469906877152</v>
      </c>
      <c r="N54" s="36" t="s">
        <v>235</v>
      </c>
      <c r="O54" s="84">
        <v>352430</v>
      </c>
    </row>
    <row r="55" spans="1:15" ht="18" customHeight="1">
      <c r="A55" s="101" t="s">
        <v>238</v>
      </c>
      <c r="B55" s="102"/>
      <c r="C55" s="102"/>
      <c r="D55" s="102"/>
      <c r="E55" s="103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0.72763692129099389</v>
      </c>
      <c r="N55" s="40" t="s">
        <v>239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251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4" t="s">
        <v>234</v>
      </c>
      <c r="B68" s="105"/>
      <c r="C68" s="105"/>
      <c r="D68" s="105"/>
      <c r="E68" s="106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235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249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249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249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249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249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260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249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249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249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4" t="s">
        <v>237</v>
      </c>
      <c r="B81" s="105"/>
      <c r="C81" s="105"/>
      <c r="D81" s="105"/>
      <c r="E81" s="106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235</v>
      </c>
      <c r="O81" s="54">
        <v>634210</v>
      </c>
    </row>
    <row r="82" spans="1:15" ht="18" customHeight="1">
      <c r="A82" s="101" t="s">
        <v>238</v>
      </c>
      <c r="B82" s="102"/>
      <c r="C82" s="102"/>
      <c r="D82" s="102"/>
      <c r="E82" s="103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239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261</v>
      </c>
      <c r="E83" s="59" t="s">
        <v>249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209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4" t="s">
        <v>234</v>
      </c>
      <c r="B95" s="105"/>
      <c r="C95" s="105"/>
      <c r="D95" s="105"/>
      <c r="E95" s="106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235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262</v>
      </c>
      <c r="M96" s="30" t="str">
        <f t="shared" ref="M96:M107" ca="1" si="22">IFERROR(IF(K96="","",IF(L96="",MOD(NOW()-K96,1),IF(L96&gt;=K96,L96-K96,L96+1-K96))),"")</f>
        <v/>
      </c>
      <c r="N96" s="46" t="s">
        <v>263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236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264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265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236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4" t="s">
        <v>237</v>
      </c>
      <c r="B108" s="105"/>
      <c r="C108" s="105"/>
      <c r="D108" s="105"/>
      <c r="E108" s="106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235</v>
      </c>
      <c r="O108" s="54">
        <v>456830</v>
      </c>
    </row>
    <row r="109" spans="1:15" ht="18" customHeight="1">
      <c r="A109" s="101" t="s">
        <v>238</v>
      </c>
      <c r="B109" s="102"/>
      <c r="C109" s="102"/>
      <c r="D109" s="102"/>
      <c r="E109" s="103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239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266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4" t="s">
        <v>234</v>
      </c>
      <c r="B122" s="105"/>
      <c r="C122" s="105"/>
      <c r="D122" s="105"/>
      <c r="E122" s="106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235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4" t="s">
        <v>237</v>
      </c>
      <c r="B135" s="105"/>
      <c r="C135" s="105"/>
      <c r="D135" s="105"/>
      <c r="E135" s="106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235</v>
      </c>
      <c r="O135" s="54">
        <v>756720</v>
      </c>
    </row>
    <row r="136" spans="1:15" ht="18" customHeight="1">
      <c r="A136" s="101" t="s">
        <v>238</v>
      </c>
      <c r="B136" s="102"/>
      <c r="C136" s="102"/>
      <c r="D136" s="102"/>
      <c r="E136" s="103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239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249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267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249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249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268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249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249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249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249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269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249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249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4" t="s">
        <v>234</v>
      </c>
      <c r="B149" s="105"/>
      <c r="C149" s="105"/>
      <c r="D149" s="105"/>
      <c r="E149" s="106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235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270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4" t="s">
        <v>237</v>
      </c>
      <c r="B162" s="105"/>
      <c r="C162" s="105"/>
      <c r="D162" s="105"/>
      <c r="E162" s="106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235</v>
      </c>
      <c r="O162" s="54">
        <v>501750</v>
      </c>
    </row>
    <row r="163" spans="1:15" ht="18" customHeight="1">
      <c r="A163" s="101" t="s">
        <v>238</v>
      </c>
      <c r="B163" s="102"/>
      <c r="C163" s="102"/>
      <c r="D163" s="102"/>
      <c r="E163" s="103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239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249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249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249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249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249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249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249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249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249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249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4" t="s">
        <v>234</v>
      </c>
      <c r="B176" s="105"/>
      <c r="C176" s="105"/>
      <c r="D176" s="105"/>
      <c r="E176" s="106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235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249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249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271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249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268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272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249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249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4" t="s">
        <v>237</v>
      </c>
      <c r="B189" s="105"/>
      <c r="C189" s="105"/>
      <c r="D189" s="105"/>
      <c r="E189" s="106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235</v>
      </c>
      <c r="O189" s="77">
        <v>362530</v>
      </c>
    </row>
    <row r="190" spans="1:15" ht="18" customHeight="1">
      <c r="A190" s="101" t="s">
        <v>238</v>
      </c>
      <c r="B190" s="102"/>
      <c r="C190" s="102"/>
      <c r="D190" s="102"/>
      <c r="E190" s="103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239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273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/>
      <c r="M195" s="35">
        <f t="shared" ca="1" si="43"/>
        <v>2.1386921296652872E-2</v>
      </c>
      <c r="N195" s="46" t="s">
        <v>266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13</v>
      </c>
      <c r="G196" s="28">
        <f t="shared" si="42"/>
        <v>54.6</v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10</v>
      </c>
      <c r="G197" s="34">
        <f t="shared" si="42"/>
        <v>42</v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9</v>
      </c>
      <c r="G198" s="28">
        <f t="shared" si="42"/>
        <v>37.800000000000004</v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4" t="s">
        <v>234</v>
      </c>
      <c r="B203" s="105"/>
      <c r="C203" s="105"/>
      <c r="D203" s="105"/>
      <c r="E203" s="106">
        <f>SUM(E191:E202)</f>
        <v>0</v>
      </c>
      <c r="F203" s="36">
        <f>SUM(F191:F202)</f>
        <v>92</v>
      </c>
      <c r="G203" s="36">
        <f>SUM(G191:G202)</f>
        <v>386.40000000000003</v>
      </c>
      <c r="H203" s="37"/>
      <c r="I203" s="37"/>
      <c r="J203" s="37"/>
      <c r="K203" s="37"/>
      <c r="L203" s="37"/>
      <c r="M203" s="38">
        <f ca="1">IFERROR(SUM(M191:M202),"")</f>
        <v>0.10749803240776395</v>
      </c>
      <c r="N203" s="36" t="s">
        <v>235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4" t="s">
        <v>237</v>
      </c>
      <c r="B216" s="105"/>
      <c r="C216" s="105"/>
      <c r="D216" s="105"/>
      <c r="E216" s="106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77"/>
    </row>
    <row r="217" spans="1:15" ht="18" customHeight="1">
      <c r="A217" s="101" t="s">
        <v>238</v>
      </c>
      <c r="B217" s="102"/>
      <c r="C217" s="102"/>
      <c r="D217" s="102"/>
      <c r="E217" s="103">
        <f>E203+E216</f>
        <v>0</v>
      </c>
      <c r="F217" s="40">
        <f>F203+F216</f>
        <v>92</v>
      </c>
      <c r="G217" s="40">
        <f>G203+G216</f>
        <v>386.40000000000003</v>
      </c>
      <c r="H217" s="41"/>
      <c r="I217" s="41"/>
      <c r="J217" s="41"/>
      <c r="K217" s="41"/>
      <c r="L217" s="41"/>
      <c r="M217" s="42">
        <f ca="1">IFERROR(M203+M216,"")</f>
        <v>0.10749803240776395</v>
      </c>
      <c r="N217" s="40" t="s">
        <v>239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6" t="s">
        <v>234</v>
      </c>
      <c r="B230" s="117"/>
      <c r="C230" s="117"/>
      <c r="D230" s="117"/>
      <c r="E230" s="11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4" t="s">
        <v>237</v>
      </c>
      <c r="B243" s="105"/>
      <c r="C243" s="105"/>
      <c r="D243" s="105"/>
      <c r="E243" s="106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77"/>
    </row>
    <row r="244" spans="1:15" ht="18" customHeight="1">
      <c r="A244" s="101" t="s">
        <v>238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4" t="s">
        <v>234</v>
      </c>
      <c r="B257" s="105"/>
      <c r="C257" s="105"/>
      <c r="D257" s="105"/>
      <c r="E257" s="106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4" t="s">
        <v>237</v>
      </c>
      <c r="B270" s="105"/>
      <c r="C270" s="105"/>
      <c r="D270" s="105"/>
      <c r="E270" s="106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77"/>
    </row>
    <row r="271" spans="1:15" ht="18" customHeight="1">
      <c r="A271" s="101" t="s">
        <v>238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4" t="s">
        <v>234</v>
      </c>
      <c r="B284" s="105"/>
      <c r="C284" s="105"/>
      <c r="D284" s="105"/>
      <c r="E284" s="106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4" t="s">
        <v>237</v>
      </c>
      <c r="B297" s="105"/>
      <c r="C297" s="105"/>
      <c r="D297" s="105"/>
      <c r="E297" s="106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77"/>
    </row>
    <row r="298" spans="1:15" ht="18" customHeight="1">
      <c r="A298" s="101" t="s">
        <v>238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4" t="s">
        <v>234</v>
      </c>
      <c r="B311" s="105"/>
      <c r="C311" s="105"/>
      <c r="D311" s="105"/>
      <c r="E311" s="106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4" t="s">
        <v>237</v>
      </c>
      <c r="B324" s="105"/>
      <c r="C324" s="105"/>
      <c r="D324" s="105"/>
      <c r="E324" s="106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77"/>
    </row>
    <row r="325" spans="1:15" ht="18" customHeight="1">
      <c r="A325" s="101" t="s">
        <v>238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4" t="s">
        <v>234</v>
      </c>
      <c r="B338" s="105"/>
      <c r="C338" s="105"/>
      <c r="D338" s="105"/>
      <c r="E338" s="106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4" t="s">
        <v>237</v>
      </c>
      <c r="B351" s="105"/>
      <c r="C351" s="105"/>
      <c r="D351" s="105"/>
      <c r="E351" s="10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77"/>
    </row>
    <row r="352" spans="1:15" ht="18" customHeight="1">
      <c r="A352" s="101" t="s">
        <v>238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4" t="s">
        <v>234</v>
      </c>
      <c r="B365" s="105"/>
      <c r="C365" s="105"/>
      <c r="D365" s="105"/>
      <c r="E365" s="10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4" t="s">
        <v>237</v>
      </c>
      <c r="B378" s="105"/>
      <c r="C378" s="105"/>
      <c r="D378" s="105"/>
      <c r="E378" s="10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77"/>
    </row>
    <row r="379" spans="1:15" ht="18" customHeight="1">
      <c r="A379" s="101" t="s">
        <v>238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4" t="s">
        <v>234</v>
      </c>
      <c r="B392" s="105"/>
      <c r="C392" s="105"/>
      <c r="D392" s="105"/>
      <c r="E392" s="10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4" t="s">
        <v>237</v>
      </c>
      <c r="B405" s="105"/>
      <c r="C405" s="105"/>
      <c r="D405" s="105"/>
      <c r="E405" s="10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77"/>
    </row>
    <row r="406" spans="1:15" ht="18" customHeight="1">
      <c r="A406" s="101" t="s">
        <v>238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4" t="s">
        <v>234</v>
      </c>
      <c r="B419" s="105"/>
      <c r="C419" s="105"/>
      <c r="D419" s="105"/>
      <c r="E419" s="10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237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77"/>
    </row>
    <row r="433" spans="1:15" ht="18" customHeight="1">
      <c r="A433" s="92" t="s">
        <v>238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4" t="s">
        <v>234</v>
      </c>
      <c r="B446" s="105"/>
      <c r="C446" s="105"/>
      <c r="D446" s="105"/>
      <c r="E446" s="10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4" t="s">
        <v>237</v>
      </c>
      <c r="B459" s="105"/>
      <c r="C459" s="105"/>
      <c r="D459" s="105"/>
      <c r="E459" s="10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77"/>
    </row>
    <row r="460" spans="1:15" ht="18" customHeight="1">
      <c r="A460" s="101" t="s">
        <v>238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4" t="s">
        <v>234</v>
      </c>
      <c r="B473" s="105"/>
      <c r="C473" s="105"/>
      <c r="D473" s="105"/>
      <c r="E473" s="10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4" t="s">
        <v>237</v>
      </c>
      <c r="B486" s="105"/>
      <c r="C486" s="105"/>
      <c r="D486" s="105"/>
      <c r="E486" s="10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77"/>
    </row>
    <row r="487" spans="1:15" ht="18" customHeight="1">
      <c r="A487" s="101" t="s">
        <v>238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4" t="s">
        <v>234</v>
      </c>
      <c r="B500" s="105"/>
      <c r="C500" s="105"/>
      <c r="D500" s="105"/>
      <c r="E500" s="106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237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77"/>
    </row>
    <row r="514" spans="1:15" ht="18" customHeight="1">
      <c r="A514" s="92" t="s">
        <v>238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4" t="s">
        <v>234</v>
      </c>
      <c r="B527" s="105"/>
      <c r="C527" s="105"/>
      <c r="D527" s="105"/>
      <c r="E527" s="106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4" t="s">
        <v>237</v>
      </c>
      <c r="B540" s="105"/>
      <c r="C540" s="105"/>
      <c r="D540" s="105"/>
      <c r="E540" s="10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77"/>
    </row>
    <row r="541" spans="1:15" ht="18" customHeight="1">
      <c r="A541" s="101" t="s">
        <v>238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4" t="s">
        <v>234</v>
      </c>
      <c r="B554" s="105"/>
      <c r="C554" s="105"/>
      <c r="D554" s="105"/>
      <c r="E554" s="10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4" t="s">
        <v>237</v>
      </c>
      <c r="B567" s="105"/>
      <c r="C567" s="105"/>
      <c r="D567" s="105"/>
      <c r="E567" s="10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77"/>
    </row>
    <row r="568" spans="1:15" ht="18" customHeight="1">
      <c r="A568" s="101" t="s">
        <v>238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4" t="s">
        <v>234</v>
      </c>
      <c r="B581" s="105"/>
      <c r="C581" s="105"/>
      <c r="D581" s="105"/>
      <c r="E581" s="10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4" t="s">
        <v>237</v>
      </c>
      <c r="B594" s="105"/>
      <c r="C594" s="105"/>
      <c r="D594" s="105"/>
      <c r="E594" s="10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77"/>
    </row>
    <row r="595" spans="1:15" ht="18" customHeight="1">
      <c r="A595" s="101" t="s">
        <v>238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4" t="s">
        <v>234</v>
      </c>
      <c r="B608" s="105"/>
      <c r="C608" s="105"/>
      <c r="D608" s="105"/>
      <c r="E608" s="10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4" t="s">
        <v>237</v>
      </c>
      <c r="B621" s="105"/>
      <c r="C621" s="105"/>
      <c r="D621" s="105"/>
      <c r="E621" s="10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77"/>
    </row>
    <row r="622" spans="1:15" ht="18" customHeight="1">
      <c r="A622" s="101" t="s">
        <v>238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4" t="s">
        <v>234</v>
      </c>
      <c r="B635" s="105"/>
      <c r="C635" s="105"/>
      <c r="D635" s="105"/>
      <c r="E635" s="10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4" t="s">
        <v>237</v>
      </c>
      <c r="B648" s="105"/>
      <c r="C648" s="105"/>
      <c r="D648" s="105"/>
      <c r="E648" s="10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77"/>
    </row>
    <row r="649" spans="1:15" ht="18" customHeight="1">
      <c r="A649" s="101" t="s">
        <v>238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4" t="s">
        <v>234</v>
      </c>
      <c r="B662" s="105"/>
      <c r="C662" s="105"/>
      <c r="D662" s="105"/>
      <c r="E662" s="10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4" t="s">
        <v>237</v>
      </c>
      <c r="B675" s="105"/>
      <c r="C675" s="105"/>
      <c r="D675" s="105"/>
      <c r="E675" s="10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77"/>
    </row>
    <row r="676" spans="1:15" ht="18" customHeight="1">
      <c r="A676" s="101" t="s">
        <v>238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4" t="s">
        <v>234</v>
      </c>
      <c r="B689" s="105"/>
      <c r="C689" s="105"/>
      <c r="D689" s="105"/>
      <c r="E689" s="10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4" t="s">
        <v>237</v>
      </c>
      <c r="B702" s="105"/>
      <c r="C702" s="105"/>
      <c r="D702" s="105"/>
      <c r="E702" s="10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77"/>
    </row>
    <row r="703" spans="1:15" ht="18" customHeight="1">
      <c r="A703" s="101" t="s">
        <v>238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4" t="s">
        <v>234</v>
      </c>
      <c r="B716" s="105"/>
      <c r="C716" s="105"/>
      <c r="D716" s="105"/>
      <c r="E716" s="10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4" t="s">
        <v>237</v>
      </c>
      <c r="B729" s="105"/>
      <c r="C729" s="105"/>
      <c r="D729" s="105"/>
      <c r="E729" s="10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77"/>
    </row>
    <row r="730" spans="1:15" ht="18" customHeight="1">
      <c r="A730" s="101" t="s">
        <v>238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4" t="s">
        <v>234</v>
      </c>
      <c r="B743" s="105"/>
      <c r="C743" s="105"/>
      <c r="D743" s="105"/>
      <c r="E743" s="10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4" t="s">
        <v>237</v>
      </c>
      <c r="B756" s="105"/>
      <c r="C756" s="105"/>
      <c r="D756" s="105"/>
      <c r="E756" s="10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1" t="s">
        <v>238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4" t="s">
        <v>234</v>
      </c>
      <c r="B770" s="105"/>
      <c r="C770" s="105"/>
      <c r="D770" s="105"/>
      <c r="E770" s="10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4" t="s">
        <v>237</v>
      </c>
      <c r="B783" s="105"/>
      <c r="C783" s="105"/>
      <c r="D783" s="105"/>
      <c r="E783" s="10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1" t="s">
        <v>238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4" t="s">
        <v>234</v>
      </c>
      <c r="B797" s="105"/>
      <c r="C797" s="105"/>
      <c r="D797" s="105"/>
      <c r="E797" s="10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4" t="s">
        <v>237</v>
      </c>
      <c r="B810" s="105"/>
      <c r="C810" s="105"/>
      <c r="D810" s="105"/>
      <c r="E810" s="10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1" t="s">
        <v>238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4" t="s">
        <v>234</v>
      </c>
      <c r="B824" s="105"/>
      <c r="C824" s="105"/>
      <c r="D824" s="105"/>
      <c r="E824" s="10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4" t="s">
        <v>237</v>
      </c>
      <c r="B837" s="105"/>
      <c r="C837" s="105"/>
      <c r="D837" s="105"/>
      <c r="E837" s="10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84"/>
    </row>
    <row r="838" spans="1:15" ht="18" customHeight="1">
      <c r="A838" s="101" t="s">
        <v>238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abSelected="1" topLeftCell="A170" zoomScale="50" zoomScaleNormal="50" workbookViewId="0">
      <selection activeCell="H198" sqref="H19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4" t="s">
        <v>234</v>
      </c>
      <c r="B14" s="105"/>
      <c r="C14" s="105"/>
      <c r="D14" s="105"/>
      <c r="E14" s="106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235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274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249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249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254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249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275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249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249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249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249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249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249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4" t="s">
        <v>237</v>
      </c>
      <c r="B27" s="105"/>
      <c r="C27" s="105"/>
      <c r="D27" s="105"/>
      <c r="E27" s="106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235</v>
      </c>
      <c r="O27" s="39">
        <v>358000</v>
      </c>
    </row>
    <row r="28" spans="1:15" ht="18" customHeight="1">
      <c r="A28" s="101" t="s">
        <v>238</v>
      </c>
      <c r="B28" s="102"/>
      <c r="C28" s="102"/>
      <c r="D28" s="102"/>
      <c r="E28" s="103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239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4" t="s">
        <v>234</v>
      </c>
      <c r="B41" s="105"/>
      <c r="C41" s="105"/>
      <c r="D41" s="105"/>
      <c r="E41" s="106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235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260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274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274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4" t="s">
        <v>237</v>
      </c>
      <c r="B54" s="105"/>
      <c r="C54" s="105"/>
      <c r="D54" s="105"/>
      <c r="E54" s="106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235</v>
      </c>
      <c r="O54" s="39">
        <v>279980</v>
      </c>
    </row>
    <row r="55" spans="1:15" ht="18" customHeight="1">
      <c r="A55" s="101" t="s">
        <v>238</v>
      </c>
      <c r="B55" s="102"/>
      <c r="C55" s="102"/>
      <c r="D55" s="102"/>
      <c r="E55" s="103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239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249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249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249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249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249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276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249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249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249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249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4" t="s">
        <v>234</v>
      </c>
      <c r="B68" s="105"/>
      <c r="C68" s="105"/>
      <c r="D68" s="105"/>
      <c r="E68" s="106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235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277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4" t="s">
        <v>237</v>
      </c>
      <c r="B81" s="105"/>
      <c r="C81" s="105"/>
      <c r="D81" s="105"/>
      <c r="E81" s="106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235</v>
      </c>
      <c r="O81" s="39">
        <v>185920</v>
      </c>
    </row>
    <row r="82" spans="1:15" ht="18" customHeight="1">
      <c r="A82" s="101" t="s">
        <v>238</v>
      </c>
      <c r="B82" s="102"/>
      <c r="C82" s="102"/>
      <c r="D82" s="102"/>
      <c r="E82" s="103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239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278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279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4" t="s">
        <v>234</v>
      </c>
      <c r="B95" s="105"/>
      <c r="C95" s="105"/>
      <c r="D95" s="105"/>
      <c r="E95" s="106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235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280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4" t="s">
        <v>237</v>
      </c>
      <c r="B108" s="105"/>
      <c r="C108" s="105"/>
      <c r="D108" s="105"/>
      <c r="E108" s="106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235</v>
      </c>
      <c r="O108" s="39">
        <v>434370</v>
      </c>
    </row>
    <row r="109" spans="1:15" ht="18" customHeight="1">
      <c r="A109" s="101" t="s">
        <v>238</v>
      </c>
      <c r="B109" s="102"/>
      <c r="C109" s="102"/>
      <c r="D109" s="102"/>
      <c r="E109" s="103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239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4" t="s">
        <v>234</v>
      </c>
      <c r="B122" s="105"/>
      <c r="C122" s="105"/>
      <c r="D122" s="105"/>
      <c r="E122" s="106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235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281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4" t="s">
        <v>237</v>
      </c>
      <c r="B135" s="105"/>
      <c r="C135" s="105"/>
      <c r="D135" s="105"/>
      <c r="E135" s="106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235</v>
      </c>
      <c r="O135" s="39">
        <v>416350</v>
      </c>
    </row>
    <row r="136" spans="1:15" ht="18" customHeight="1">
      <c r="A136" s="101" t="s">
        <v>238</v>
      </c>
      <c r="B136" s="102"/>
      <c r="C136" s="102"/>
      <c r="D136" s="102"/>
      <c r="E136" s="103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239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282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269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4" t="s">
        <v>234</v>
      </c>
      <c r="B149" s="105"/>
      <c r="C149" s="105"/>
      <c r="D149" s="105"/>
      <c r="E149" s="106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235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260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4" t="s">
        <v>237</v>
      </c>
      <c r="B162" s="105"/>
      <c r="C162" s="105"/>
      <c r="D162" s="105"/>
      <c r="E162" s="106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235</v>
      </c>
      <c r="O162" s="39">
        <v>169760</v>
      </c>
    </row>
    <row r="163" spans="1:15" ht="18" customHeight="1">
      <c r="A163" s="101" t="s">
        <v>238</v>
      </c>
      <c r="B163" s="102"/>
      <c r="C163" s="102"/>
      <c r="D163" s="102"/>
      <c r="E163" s="103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239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283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4" t="s">
        <v>234</v>
      </c>
      <c r="B176" s="105"/>
      <c r="C176" s="105"/>
      <c r="D176" s="105"/>
      <c r="E176" s="106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235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284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272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272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4" t="s">
        <v>237</v>
      </c>
      <c r="B189" s="105"/>
      <c r="C189" s="105"/>
      <c r="D189" s="105"/>
      <c r="E189" s="106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235</v>
      </c>
      <c r="O189" s="39">
        <v>72220</v>
      </c>
    </row>
    <row r="190" spans="1:15" ht="18" customHeight="1">
      <c r="A190" s="101" t="s">
        <v>238</v>
      </c>
      <c r="B190" s="102"/>
      <c r="C190" s="102"/>
      <c r="D190" s="102"/>
      <c r="E190" s="103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239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/>
      <c r="G198" s="28" t="str">
        <f t="shared" si="42"/>
        <v/>
      </c>
      <c r="H198" s="26" t="s">
        <v>20</v>
      </c>
      <c r="I198" s="26"/>
      <c r="J198" s="26"/>
      <c r="K198" s="29">
        <v>0.625</v>
      </c>
      <c r="L198" s="29"/>
      <c r="M198" s="30">
        <f t="shared" ca="1" si="43"/>
        <v>5.5358796089421958E-4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4" t="s">
        <v>234</v>
      </c>
      <c r="B203" s="105"/>
      <c r="C203" s="105"/>
      <c r="D203" s="105"/>
      <c r="E203" s="106">
        <f>SUM(E191:E202)</f>
        <v>0</v>
      </c>
      <c r="F203" s="36">
        <f>SUM(F191:F202)</f>
        <v>6</v>
      </c>
      <c r="G203" s="36">
        <f>SUM(G191:G202)</f>
        <v>25.200000000000003</v>
      </c>
      <c r="H203" s="37"/>
      <c r="I203" s="37"/>
      <c r="J203" s="37"/>
      <c r="K203" s="37"/>
      <c r="L203" s="37"/>
      <c r="M203" s="38">
        <f ca="1">IFERROR(SUM(M191:M202),"")</f>
        <v>0.13249803240533869</v>
      </c>
      <c r="N203" s="36" t="s">
        <v>235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4" t="s">
        <v>237</v>
      </c>
      <c r="B216" s="105"/>
      <c r="C216" s="105"/>
      <c r="D216" s="105"/>
      <c r="E216" s="106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39"/>
    </row>
    <row r="217" spans="1:15" ht="18" customHeight="1">
      <c r="A217" s="101" t="s">
        <v>238</v>
      </c>
      <c r="B217" s="102"/>
      <c r="C217" s="102"/>
      <c r="D217" s="102"/>
      <c r="E217" s="103">
        <f>E203+E216</f>
        <v>0</v>
      </c>
      <c r="F217" s="40">
        <f>F203+F216</f>
        <v>6</v>
      </c>
      <c r="G217" s="40">
        <f>G203+G216</f>
        <v>25.200000000000003</v>
      </c>
      <c r="H217" s="41"/>
      <c r="I217" s="41"/>
      <c r="J217" s="41"/>
      <c r="K217" s="41"/>
      <c r="L217" s="41"/>
      <c r="M217" s="42">
        <f ca="1">IFERROR(M203+M216,"")</f>
        <v>0.13249803240533869</v>
      </c>
      <c r="N217" s="40" t="s">
        <v>239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4" t="s">
        <v>234</v>
      </c>
      <c r="B230" s="105"/>
      <c r="C230" s="105"/>
      <c r="D230" s="105"/>
      <c r="E230" s="106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4" t="s">
        <v>237</v>
      </c>
      <c r="B243" s="105"/>
      <c r="C243" s="105"/>
      <c r="D243" s="105"/>
      <c r="E243" s="106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1" t="s">
        <v>238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4" t="s">
        <v>234</v>
      </c>
      <c r="B257" s="105"/>
      <c r="C257" s="105"/>
      <c r="D257" s="105"/>
      <c r="E257" s="106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4" t="s">
        <v>237</v>
      </c>
      <c r="B270" s="105"/>
      <c r="C270" s="105"/>
      <c r="D270" s="105"/>
      <c r="E270" s="106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1" t="s">
        <v>238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4" t="s">
        <v>234</v>
      </c>
      <c r="B284" s="105"/>
      <c r="C284" s="105"/>
      <c r="D284" s="105"/>
      <c r="E284" s="106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4" t="s">
        <v>237</v>
      </c>
      <c r="B297" s="105"/>
      <c r="C297" s="105"/>
      <c r="D297" s="105"/>
      <c r="E297" s="106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1" t="s">
        <v>238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4" t="s">
        <v>234</v>
      </c>
      <c r="B311" s="105"/>
      <c r="C311" s="105"/>
      <c r="D311" s="105"/>
      <c r="E311" s="106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4" t="s">
        <v>237</v>
      </c>
      <c r="B324" s="105"/>
      <c r="C324" s="105"/>
      <c r="D324" s="105"/>
      <c r="E324" s="106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1" t="s">
        <v>238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4" t="s">
        <v>234</v>
      </c>
      <c r="B338" s="105"/>
      <c r="C338" s="105"/>
      <c r="D338" s="105"/>
      <c r="E338" s="106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4" t="s">
        <v>237</v>
      </c>
      <c r="B351" s="105"/>
      <c r="C351" s="105"/>
      <c r="D351" s="105"/>
      <c r="E351" s="10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1" t="s">
        <v>238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4" t="s">
        <v>234</v>
      </c>
      <c r="B365" s="105"/>
      <c r="C365" s="105"/>
      <c r="D365" s="105"/>
      <c r="E365" s="10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4" t="s">
        <v>237</v>
      </c>
      <c r="B378" s="105"/>
      <c r="C378" s="105"/>
      <c r="D378" s="105"/>
      <c r="E378" s="10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1" t="s">
        <v>238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4" t="s">
        <v>234</v>
      </c>
      <c r="B392" s="105"/>
      <c r="C392" s="105"/>
      <c r="D392" s="105"/>
      <c r="E392" s="10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4" t="s">
        <v>237</v>
      </c>
      <c r="B405" s="105"/>
      <c r="C405" s="105"/>
      <c r="D405" s="105"/>
      <c r="E405" s="10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1" t="s">
        <v>238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4" t="s">
        <v>234</v>
      </c>
      <c r="B419" s="105"/>
      <c r="C419" s="105"/>
      <c r="D419" s="105"/>
      <c r="E419" s="10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4" t="s">
        <v>237</v>
      </c>
      <c r="B432" s="105"/>
      <c r="C432" s="105"/>
      <c r="D432" s="105"/>
      <c r="E432" s="10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1" t="s">
        <v>238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4" t="s">
        <v>234</v>
      </c>
      <c r="B446" s="105"/>
      <c r="C446" s="105"/>
      <c r="D446" s="105"/>
      <c r="E446" s="10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4" t="s">
        <v>237</v>
      </c>
      <c r="B459" s="105"/>
      <c r="C459" s="105"/>
      <c r="D459" s="105"/>
      <c r="E459" s="10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1" t="s">
        <v>238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4" t="s">
        <v>234</v>
      </c>
      <c r="B473" s="105"/>
      <c r="C473" s="105"/>
      <c r="D473" s="105"/>
      <c r="E473" s="10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4" t="s">
        <v>237</v>
      </c>
      <c r="B486" s="105"/>
      <c r="C486" s="105"/>
      <c r="D486" s="105"/>
      <c r="E486" s="10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1" t="s">
        <v>238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4" t="s">
        <v>234</v>
      </c>
      <c r="B500" s="105"/>
      <c r="C500" s="105"/>
      <c r="D500" s="105"/>
      <c r="E500" s="10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4" t="s">
        <v>237</v>
      </c>
      <c r="B513" s="105"/>
      <c r="C513" s="105"/>
      <c r="D513" s="105"/>
      <c r="E513" s="10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1" t="s">
        <v>238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4" t="s">
        <v>234</v>
      </c>
      <c r="B527" s="105"/>
      <c r="C527" s="105"/>
      <c r="D527" s="105"/>
      <c r="E527" s="10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4" t="s">
        <v>237</v>
      </c>
      <c r="B540" s="105"/>
      <c r="C540" s="105"/>
      <c r="D540" s="105"/>
      <c r="E540" s="10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1" t="s">
        <v>238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4" t="s">
        <v>234</v>
      </c>
      <c r="B554" s="105"/>
      <c r="C554" s="105"/>
      <c r="D554" s="105"/>
      <c r="E554" s="10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4" t="s">
        <v>237</v>
      </c>
      <c r="B567" s="105"/>
      <c r="C567" s="105"/>
      <c r="D567" s="105"/>
      <c r="E567" s="10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1" t="s">
        <v>238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4" t="s">
        <v>234</v>
      </c>
      <c r="B581" s="105"/>
      <c r="C581" s="105"/>
      <c r="D581" s="105"/>
      <c r="E581" s="10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4" t="s">
        <v>237</v>
      </c>
      <c r="B594" s="105"/>
      <c r="C594" s="105"/>
      <c r="D594" s="105"/>
      <c r="E594" s="10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1" t="s">
        <v>238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4" t="s">
        <v>234</v>
      </c>
      <c r="B608" s="105"/>
      <c r="C608" s="105"/>
      <c r="D608" s="105"/>
      <c r="E608" s="10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4" t="s">
        <v>237</v>
      </c>
      <c r="B621" s="105"/>
      <c r="C621" s="105"/>
      <c r="D621" s="105"/>
      <c r="E621" s="10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1" t="s">
        <v>238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4" t="s">
        <v>234</v>
      </c>
      <c r="B635" s="105"/>
      <c r="C635" s="105"/>
      <c r="D635" s="105"/>
      <c r="E635" s="10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4" t="s">
        <v>237</v>
      </c>
      <c r="B648" s="105"/>
      <c r="C648" s="105"/>
      <c r="D648" s="105"/>
      <c r="E648" s="10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1" t="s">
        <v>238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4" t="s">
        <v>234</v>
      </c>
      <c r="B662" s="105"/>
      <c r="C662" s="105"/>
      <c r="D662" s="105"/>
      <c r="E662" s="10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4" t="s">
        <v>237</v>
      </c>
      <c r="B675" s="105"/>
      <c r="C675" s="105"/>
      <c r="D675" s="105"/>
      <c r="E675" s="10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1" t="s">
        <v>238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4" t="s">
        <v>234</v>
      </c>
      <c r="B689" s="105"/>
      <c r="C689" s="105"/>
      <c r="D689" s="105"/>
      <c r="E689" s="10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4" t="s">
        <v>237</v>
      </c>
      <c r="B702" s="105"/>
      <c r="C702" s="105"/>
      <c r="D702" s="105"/>
      <c r="E702" s="10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1" t="s">
        <v>238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4" t="s">
        <v>234</v>
      </c>
      <c r="B716" s="105"/>
      <c r="C716" s="105"/>
      <c r="D716" s="105"/>
      <c r="E716" s="10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4" t="s">
        <v>237</v>
      </c>
      <c r="B729" s="105"/>
      <c r="C729" s="105"/>
      <c r="D729" s="105"/>
      <c r="E729" s="10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1" t="s">
        <v>238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4" t="s">
        <v>234</v>
      </c>
      <c r="B743" s="105"/>
      <c r="C743" s="105"/>
      <c r="D743" s="105"/>
      <c r="E743" s="10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4" t="s">
        <v>237</v>
      </c>
      <c r="B756" s="105"/>
      <c r="C756" s="105"/>
      <c r="D756" s="105"/>
      <c r="E756" s="10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1" t="s">
        <v>238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4" t="s">
        <v>234</v>
      </c>
      <c r="B770" s="105"/>
      <c r="C770" s="105"/>
      <c r="D770" s="105"/>
      <c r="E770" s="10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4" t="s">
        <v>237</v>
      </c>
      <c r="B783" s="105"/>
      <c r="C783" s="105"/>
      <c r="D783" s="105"/>
      <c r="E783" s="10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1" t="s">
        <v>238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4" t="s">
        <v>234</v>
      </c>
      <c r="B797" s="105"/>
      <c r="C797" s="105"/>
      <c r="D797" s="105"/>
      <c r="E797" s="10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4" t="s">
        <v>237</v>
      </c>
      <c r="B810" s="105"/>
      <c r="C810" s="105"/>
      <c r="D810" s="105"/>
      <c r="E810" s="10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1" t="s">
        <v>238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4" t="s">
        <v>234</v>
      </c>
      <c r="B824" s="105"/>
      <c r="C824" s="105"/>
      <c r="D824" s="105"/>
      <c r="E824" s="10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4" t="s">
        <v>237</v>
      </c>
      <c r="B837" s="105"/>
      <c r="C837" s="105"/>
      <c r="D837" s="105"/>
      <c r="E837" s="10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1" t="s">
        <v>238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173" activePane="bottomLeft" state="frozen"/>
      <selection pane="bottomLeft" activeCell="F199" sqref="F199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4" t="s">
        <v>234</v>
      </c>
      <c r="B14" s="105"/>
      <c r="C14" s="105"/>
      <c r="D14" s="105"/>
      <c r="E14" s="106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235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249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285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249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257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249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274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249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286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249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249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249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287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249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249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4" t="s">
        <v>237</v>
      </c>
      <c r="B27" s="105"/>
      <c r="C27" s="105"/>
      <c r="D27" s="105"/>
      <c r="E27" s="106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235</v>
      </c>
      <c r="O27" s="39">
        <v>491520</v>
      </c>
    </row>
    <row r="28" spans="1:15" ht="18" customHeight="1">
      <c r="A28" s="101" t="s">
        <v>238</v>
      </c>
      <c r="B28" s="102"/>
      <c r="C28" s="102"/>
      <c r="D28" s="102"/>
      <c r="E28" s="103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239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249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249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249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249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249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249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249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249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249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249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4" t="s">
        <v>234</v>
      </c>
      <c r="B41" s="105"/>
      <c r="C41" s="105"/>
      <c r="D41" s="105"/>
      <c r="E41" s="106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235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288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4" t="s">
        <v>237</v>
      </c>
      <c r="B54" s="105"/>
      <c r="C54" s="105"/>
      <c r="D54" s="105"/>
      <c r="E54" s="106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235</v>
      </c>
      <c r="O54" s="39">
        <v>352430</v>
      </c>
    </row>
    <row r="55" spans="1:15" ht="18" customHeight="1">
      <c r="A55" s="101" t="s">
        <v>238</v>
      </c>
      <c r="B55" s="102"/>
      <c r="C55" s="102"/>
      <c r="D55" s="102"/>
      <c r="E55" s="103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239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289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290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4" t="s">
        <v>234</v>
      </c>
      <c r="B68" s="105"/>
      <c r="C68" s="105"/>
      <c r="D68" s="105"/>
      <c r="E68" s="106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235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216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291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274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249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4" t="s">
        <v>237</v>
      </c>
      <c r="B81" s="105"/>
      <c r="C81" s="105"/>
      <c r="D81" s="105"/>
      <c r="E81" s="106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235</v>
      </c>
      <c r="O81" s="39">
        <v>612410</v>
      </c>
    </row>
    <row r="82" spans="1:15" ht="18" customHeight="1">
      <c r="A82" s="101" t="s">
        <v>238</v>
      </c>
      <c r="B82" s="102"/>
      <c r="C82" s="102"/>
      <c r="D82" s="102"/>
      <c r="E82" s="103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239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4" t="s">
        <v>234</v>
      </c>
      <c r="B95" s="105"/>
      <c r="C95" s="105"/>
      <c r="D95" s="105"/>
      <c r="E95" s="106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235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274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4" t="s">
        <v>237</v>
      </c>
      <c r="B108" s="105"/>
      <c r="C108" s="105"/>
      <c r="D108" s="105"/>
      <c r="E108" s="106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235</v>
      </c>
      <c r="O108" s="39">
        <v>956070</v>
      </c>
    </row>
    <row r="109" spans="1:15" ht="18" customHeight="1">
      <c r="A109" s="101" t="s">
        <v>238</v>
      </c>
      <c r="B109" s="102"/>
      <c r="C109" s="102"/>
      <c r="D109" s="102"/>
      <c r="E109" s="103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239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216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221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221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292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4" t="s">
        <v>234</v>
      </c>
      <c r="B122" s="105"/>
      <c r="C122" s="105"/>
      <c r="D122" s="105"/>
      <c r="E122" s="106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235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293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260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274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4" t="s">
        <v>237</v>
      </c>
      <c r="B135" s="105"/>
      <c r="C135" s="105"/>
      <c r="D135" s="105"/>
      <c r="E135" s="106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235</v>
      </c>
      <c r="O135" s="39">
        <v>912240</v>
      </c>
    </row>
    <row r="136" spans="1:18" ht="18" customHeight="1">
      <c r="A136" s="101" t="s">
        <v>238</v>
      </c>
      <c r="B136" s="102"/>
      <c r="C136" s="102"/>
      <c r="D136" s="102"/>
      <c r="E136" s="103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239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294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295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269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234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235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296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297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4" t="s">
        <v>237</v>
      </c>
      <c r="B162" s="105"/>
      <c r="C162" s="105"/>
      <c r="D162" s="105"/>
      <c r="E162" s="106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235</v>
      </c>
      <c r="O162" s="39">
        <v>573230</v>
      </c>
    </row>
    <row r="163" spans="1:15" ht="18" customHeight="1">
      <c r="A163" s="101" t="s">
        <v>238</v>
      </c>
      <c r="B163" s="102"/>
      <c r="C163" s="102"/>
      <c r="D163" s="102"/>
      <c r="E163" s="103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239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298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4" t="s">
        <v>234</v>
      </c>
      <c r="B176" s="105"/>
      <c r="C176" s="105"/>
      <c r="D176" s="105"/>
      <c r="E176" s="106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235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299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4" t="s">
        <v>237</v>
      </c>
      <c r="B189" s="105"/>
      <c r="C189" s="105"/>
      <c r="D189" s="105"/>
      <c r="E189" s="106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235</v>
      </c>
      <c r="O189" s="39">
        <v>692750</v>
      </c>
    </row>
    <row r="190" spans="1:15" ht="18" customHeight="1">
      <c r="A190" s="101" t="s">
        <v>238</v>
      </c>
      <c r="B190" s="102"/>
      <c r="C190" s="102"/>
      <c r="D190" s="102"/>
      <c r="E190" s="103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239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300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14</v>
      </c>
      <c r="G193" s="34">
        <f t="shared" si="42"/>
        <v>58.800000000000004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18</v>
      </c>
      <c r="G194" s="28">
        <f t="shared" si="42"/>
        <v>75.600000000000009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4" t="s">
        <v>234</v>
      </c>
      <c r="B203" s="105"/>
      <c r="C203" s="105"/>
      <c r="D203" s="105"/>
      <c r="E203" s="106">
        <f>SUM(E191:E202)</f>
        <v>0</v>
      </c>
      <c r="F203" s="36">
        <f>SUM(F191:F202)</f>
        <v>105</v>
      </c>
      <c r="G203" s="36">
        <f>SUM(G191:G202)</f>
        <v>441.00000000000006</v>
      </c>
      <c r="H203" s="37"/>
      <c r="I203" s="37"/>
      <c r="J203" s="37"/>
      <c r="K203" s="61"/>
      <c r="L203" s="61"/>
      <c r="M203" s="38">
        <f ca="1">IFERROR(SUM(M191:M202),"")</f>
        <v>5.5555555555555525E-2</v>
      </c>
      <c r="N203" s="36" t="s">
        <v>235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/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4" t="s">
        <v>237</v>
      </c>
      <c r="B216" s="105"/>
      <c r="C216" s="105"/>
      <c r="D216" s="105"/>
      <c r="E216" s="106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235</v>
      </c>
      <c r="O216" s="45"/>
    </row>
    <row r="217" spans="1:15" ht="18" customHeight="1">
      <c r="A217" s="101" t="s">
        <v>238</v>
      </c>
      <c r="B217" s="102"/>
      <c r="C217" s="102"/>
      <c r="D217" s="102"/>
      <c r="E217" s="103">
        <f>E203+E216</f>
        <v>0</v>
      </c>
      <c r="F217" s="40">
        <f>F203+F216</f>
        <v>105</v>
      </c>
      <c r="G217" s="40">
        <f>G203+G216</f>
        <v>441.00000000000006</v>
      </c>
      <c r="H217" s="41"/>
      <c r="I217" s="41"/>
      <c r="J217" s="41"/>
      <c r="K217" s="63"/>
      <c r="L217" s="63"/>
      <c r="M217" s="42">
        <f ca="1">IFERROR(M203+M216,"")</f>
        <v>5.5555555555555525E-2</v>
      </c>
      <c r="N217" s="40" t="s">
        <v>239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4" t="s">
        <v>234</v>
      </c>
      <c r="B230" s="105"/>
      <c r="C230" s="105"/>
      <c r="D230" s="105"/>
      <c r="E230" s="106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4" t="s">
        <v>237</v>
      </c>
      <c r="B243" s="105"/>
      <c r="C243" s="105"/>
      <c r="D243" s="105"/>
      <c r="E243" s="106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1" t="s">
        <v>238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4" t="s">
        <v>234</v>
      </c>
      <c r="B257" s="105"/>
      <c r="C257" s="105"/>
      <c r="D257" s="105"/>
      <c r="E257" s="106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4" t="s">
        <v>237</v>
      </c>
      <c r="B270" s="105"/>
      <c r="C270" s="105"/>
      <c r="D270" s="105"/>
      <c r="E270" s="106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1" t="s">
        <v>238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4" t="s">
        <v>234</v>
      </c>
      <c r="B284" s="105"/>
      <c r="C284" s="105"/>
      <c r="D284" s="105"/>
      <c r="E284" s="106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4" t="s">
        <v>237</v>
      </c>
      <c r="B297" s="105"/>
      <c r="C297" s="105"/>
      <c r="D297" s="105"/>
      <c r="E297" s="106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1" t="s">
        <v>238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4" t="s">
        <v>234</v>
      </c>
      <c r="B311" s="105"/>
      <c r="C311" s="105"/>
      <c r="D311" s="105"/>
      <c r="E311" s="106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4" t="s">
        <v>237</v>
      </c>
      <c r="B324" s="105"/>
      <c r="C324" s="105"/>
      <c r="D324" s="105"/>
      <c r="E324" s="106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1" t="s">
        <v>238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4" t="s">
        <v>234</v>
      </c>
      <c r="B338" s="105"/>
      <c r="C338" s="105"/>
      <c r="D338" s="105"/>
      <c r="E338" s="106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4" t="s">
        <v>237</v>
      </c>
      <c r="B351" s="105"/>
      <c r="C351" s="105"/>
      <c r="D351" s="105"/>
      <c r="E351" s="10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1" t="s">
        <v>238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4" t="s">
        <v>237</v>
      </c>
      <c r="B378" s="105"/>
      <c r="C378" s="105"/>
      <c r="D378" s="105"/>
      <c r="E378" s="10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1" t="s">
        <v>238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4" t="s">
        <v>234</v>
      </c>
      <c r="B392" s="105"/>
      <c r="C392" s="105"/>
      <c r="D392" s="105"/>
      <c r="E392" s="10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4" t="s">
        <v>237</v>
      </c>
      <c r="B405" s="105"/>
      <c r="C405" s="105"/>
      <c r="D405" s="105"/>
      <c r="E405" s="10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1" t="s">
        <v>238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4" t="s">
        <v>234</v>
      </c>
      <c r="B419" s="105"/>
      <c r="C419" s="105"/>
      <c r="D419" s="105"/>
      <c r="E419" s="10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4" t="s">
        <v>237</v>
      </c>
      <c r="B432" s="105"/>
      <c r="C432" s="105"/>
      <c r="D432" s="105"/>
      <c r="E432" s="10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235</v>
      </c>
      <c r="O432" s="39"/>
    </row>
    <row r="433" spans="1:17" ht="18" customHeight="1">
      <c r="A433" s="101" t="s">
        <v>238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4" t="s">
        <v>234</v>
      </c>
      <c r="B446" s="105"/>
      <c r="C446" s="105"/>
      <c r="D446" s="105"/>
      <c r="E446" s="10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235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4" t="s">
        <v>237</v>
      </c>
      <c r="B459" s="105"/>
      <c r="C459" s="105"/>
      <c r="D459" s="105"/>
      <c r="E459" s="10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1" t="s">
        <v>238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4" t="s">
        <v>234</v>
      </c>
      <c r="B473" s="105"/>
      <c r="C473" s="105"/>
      <c r="D473" s="105"/>
      <c r="E473" s="10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4" t="s">
        <v>237</v>
      </c>
      <c r="B486" s="105"/>
      <c r="C486" s="105"/>
      <c r="D486" s="105"/>
      <c r="E486" s="10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1" t="s">
        <v>238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4" t="s">
        <v>234</v>
      </c>
      <c r="B500" s="105"/>
      <c r="C500" s="105"/>
      <c r="D500" s="105"/>
      <c r="E500" s="10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4" t="s">
        <v>237</v>
      </c>
      <c r="B513" s="105"/>
      <c r="C513" s="105"/>
      <c r="D513" s="105"/>
      <c r="E513" s="10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1" t="s">
        <v>238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4" t="s">
        <v>234</v>
      </c>
      <c r="B527" s="105"/>
      <c r="C527" s="105"/>
      <c r="D527" s="105"/>
      <c r="E527" s="10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4" t="s">
        <v>237</v>
      </c>
      <c r="B540" s="105"/>
      <c r="C540" s="105"/>
      <c r="D540" s="105"/>
      <c r="E540" s="10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1" t="s">
        <v>238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4" t="s">
        <v>234</v>
      </c>
      <c r="B554" s="105"/>
      <c r="C554" s="105"/>
      <c r="D554" s="105"/>
      <c r="E554" s="10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4" t="s">
        <v>237</v>
      </c>
      <c r="B567" s="105"/>
      <c r="C567" s="105"/>
      <c r="D567" s="105"/>
      <c r="E567" s="10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1" t="s">
        <v>238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4" t="s">
        <v>234</v>
      </c>
      <c r="B581" s="105"/>
      <c r="C581" s="105"/>
      <c r="D581" s="105"/>
      <c r="E581" s="10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4" t="s">
        <v>237</v>
      </c>
      <c r="B594" s="105"/>
      <c r="C594" s="105"/>
      <c r="D594" s="105"/>
      <c r="E594" s="10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1" t="s">
        <v>238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4" t="s">
        <v>234</v>
      </c>
      <c r="B608" s="105"/>
      <c r="C608" s="105"/>
      <c r="D608" s="105"/>
      <c r="E608" s="10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4" t="s">
        <v>237</v>
      </c>
      <c r="B621" s="105"/>
      <c r="C621" s="105"/>
      <c r="D621" s="105"/>
      <c r="E621" s="10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1" t="s">
        <v>238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4" t="s">
        <v>234</v>
      </c>
      <c r="B635" s="105"/>
      <c r="C635" s="105"/>
      <c r="D635" s="105"/>
      <c r="E635" s="10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4" t="s">
        <v>237</v>
      </c>
      <c r="B648" s="105"/>
      <c r="C648" s="105"/>
      <c r="D648" s="105"/>
      <c r="E648" s="10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1" t="s">
        <v>238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4" t="s">
        <v>234</v>
      </c>
      <c r="B662" s="105"/>
      <c r="C662" s="105"/>
      <c r="D662" s="105"/>
      <c r="E662" s="10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4" t="s">
        <v>237</v>
      </c>
      <c r="B675" s="105"/>
      <c r="C675" s="105"/>
      <c r="D675" s="105"/>
      <c r="E675" s="10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1" t="s">
        <v>238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4" t="s">
        <v>234</v>
      </c>
      <c r="B689" s="105"/>
      <c r="C689" s="105"/>
      <c r="D689" s="105"/>
      <c r="E689" s="10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4" t="s">
        <v>237</v>
      </c>
      <c r="B702" s="105"/>
      <c r="C702" s="105"/>
      <c r="D702" s="105"/>
      <c r="E702" s="10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1" t="s">
        <v>238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4" t="s">
        <v>234</v>
      </c>
      <c r="B716" s="105"/>
      <c r="C716" s="105"/>
      <c r="D716" s="105"/>
      <c r="E716" s="10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4" t="s">
        <v>237</v>
      </c>
      <c r="B729" s="105"/>
      <c r="C729" s="105"/>
      <c r="D729" s="105"/>
      <c r="E729" s="10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1" t="s">
        <v>238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4" t="s">
        <v>234</v>
      </c>
      <c r="B743" s="105"/>
      <c r="C743" s="105"/>
      <c r="D743" s="105"/>
      <c r="E743" s="10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4" t="s">
        <v>237</v>
      </c>
      <c r="B756" s="105"/>
      <c r="C756" s="105"/>
      <c r="D756" s="105"/>
      <c r="E756" s="10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1" t="s">
        <v>238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4" t="s">
        <v>234</v>
      </c>
      <c r="B770" s="105"/>
      <c r="C770" s="105"/>
      <c r="D770" s="105"/>
      <c r="E770" s="10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4" t="s">
        <v>237</v>
      </c>
      <c r="B783" s="105"/>
      <c r="C783" s="105"/>
      <c r="D783" s="105"/>
      <c r="E783" s="10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1" t="s">
        <v>238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4" t="s">
        <v>234</v>
      </c>
      <c r="B797" s="105"/>
      <c r="C797" s="105"/>
      <c r="D797" s="105"/>
      <c r="E797" s="10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4" t="s">
        <v>237</v>
      </c>
      <c r="B810" s="105"/>
      <c r="C810" s="105"/>
      <c r="D810" s="105"/>
      <c r="E810" s="10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1" t="s">
        <v>238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4" t="s">
        <v>234</v>
      </c>
      <c r="B824" s="105"/>
      <c r="C824" s="105"/>
      <c r="D824" s="105"/>
      <c r="E824" s="10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4" t="s">
        <v>237</v>
      </c>
      <c r="B837" s="105"/>
      <c r="C837" s="105"/>
      <c r="D837" s="105"/>
      <c r="E837" s="10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1" t="s">
        <v>238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239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2026-08-08T19:02:44Z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