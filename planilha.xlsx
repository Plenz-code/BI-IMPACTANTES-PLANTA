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796" documentId="8_{AF585B22-221D-4780-BB9C-493D365A6A02}" xr6:coauthVersionLast="47" xr6:coauthVersionMax="47" xr10:uidLastSave="{E42D4408-FF24-454C-82EF-E17B536FB889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<sst xmlns="http://schemas.openxmlformats.org/spreadsheetml/2006/main" count="4499" uniqueCount="284">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</sst>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K63" sqref="K6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199</v>
      </c>
      <c r="L61" s="17"/>
      <c r="M61" s="17"/>
    </row>
    <row r="62" spans="1:13" ht="15" customHeight="1">
      <c r="H62" s="101"/>
      <c r="I62" s="16"/>
      <c r="J62" s="16"/>
      <c r="K62" s="16" t="s">
        <v>200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9" activePane="bottomLeft" state="frozen"/>
      <selection pane="bottomLeft" activeCell="D258" sqref="D258:D26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211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215</v>
      </c>
      <c r="O27" s="39">
        <v>1183060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215</v>
      </c>
      <c r="O54" s="39">
        <v>959290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215</v>
      </c>
      <c r="O81" s="39">
        <v>878050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215</v>
      </c>
      <c r="O108" s="39">
        <v>1700000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215</v>
      </c>
      <c r="O135" s="39">
        <v>862330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215</v>
      </c>
      <c r="O162" s="44">
        <v>1546080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215</v>
      </c>
      <c r="O189" s="39">
        <v>2355810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215</v>
      </c>
      <c r="O216" s="45">
        <v>2013260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215</v>
      </c>
      <c r="O243" s="39">
        <v>1545480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215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350</v>
      </c>
      <c r="G271" s="40">
        <f>G257+G270</f>
        <v>1750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218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3" activePane="bottomLeft" state="frozen"/>
      <selection pane="bottomLeft" activeCell="E269" sqref="E26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215</v>
      </c>
      <c r="O27" s="78">
        <v>393200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85">
        <v>276360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215</v>
      </c>
      <c r="O81" s="54">
        <v>787860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215</v>
      </c>
      <c r="O108" s="54">
        <v>1087080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215</v>
      </c>
      <c r="O135" s="54">
        <v>794480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215</v>
      </c>
      <c r="O162" s="54">
        <v>882280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215</v>
      </c>
      <c r="O189" s="78"/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215</v>
      </c>
      <c r="O216" s="78">
        <v>648410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215</v>
      </c>
      <c r="O243" s="78">
        <v>849060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215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>
        <v>0.79861111111111116</v>
      </c>
      <c r="L258" s="29"/>
      <c r="M258" s="30">
        <f t="shared" ref="M258:M269" ca="1" si="58">IFERROR(IF(K258="","",IF(L258="",MOD(NOW()-K258,1),IF(L258&gt;=K258,L258-K258,L258+1-K258))),"")</f>
        <v>1.9097106480330694E-2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225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225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225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225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225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225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225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225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225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1.9097106480330694E-2</v>
      </c>
      <c r="N270" s="36" t="s">
        <v>215</v>
      </c>
      <c r="O270" s="78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165</v>
      </c>
      <c r="G271" s="40">
        <f>G257+G270</f>
        <v>692.99999999999989</v>
      </c>
      <c r="H271" s="41"/>
      <c r="I271" s="41"/>
      <c r="J271" s="41"/>
      <c r="K271" s="41"/>
      <c r="L271" s="41"/>
      <c r="M271" s="42">
        <f ca="1">IFERROR(M257+M270,"")</f>
        <v>9.1319328702552938E-2</v>
      </c>
      <c r="N271" s="40" t="s">
        <v>218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78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78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78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78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78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78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78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78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78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78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78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78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78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78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78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78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78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241" zoomScale="50" zoomScaleNormal="50" workbookViewId="0">
      <selection activeCell="K260" sqref="K26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215</v>
      </c>
      <c r="O27" s="39">
        <v>308500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39">
        <v>124290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215</v>
      </c>
      <c r="O81" s="39">
        <v>396340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215</v>
      </c>
      <c r="O108" s="39">
        <v>41230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215</v>
      </c>
      <c r="O135" s="39">
        <v>381250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215</v>
      </c>
      <c r="O162" s="39">
        <v>337120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256</v>
      </c>
      <c r="N166" s="27" t="s">
        <v>257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215</v>
      </c>
      <c r="O189" s="39">
        <v>747210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215</v>
      </c>
      <c r="O216" s="39">
        <v>468430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215</v>
      </c>
      <c r="O243" s="39">
        <v>575930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215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/>
      <c r="G258" s="34" t="str">
        <f t="shared" ref="G258:G269" si="57">IF(F258="","",IF(E258="PC 17",F258*4.2,IF(E258="PC 19",F258*5,"")))</f>
        <v/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/>
      <c r="G259" s="28" t="str">
        <f t="shared" si="57"/>
        <v/>
      </c>
      <c r="H259" s="50"/>
      <c r="I259" s="50"/>
      <c r="J259" s="50"/>
      <c r="K259" s="29">
        <v>0.81736111111111109</v>
      </c>
      <c r="L259" s="29"/>
      <c r="M259" s="35">
        <f t="shared" ca="1" si="58"/>
        <v>3.4710647742031142E-4</v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225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225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225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225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225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225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225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225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225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9.3748842551981681E-3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139</v>
      </c>
      <c r="G271" s="40">
        <f>G257+G270</f>
        <v>583.79999999999995</v>
      </c>
      <c r="H271" s="41"/>
      <c r="I271" s="41"/>
      <c r="J271" s="41"/>
      <c r="K271" s="41"/>
      <c r="L271" s="41"/>
      <c r="M271" s="42">
        <f ca="1">IFERROR(M257+M270,"")</f>
        <v>7.6735995366309373E-2</v>
      </c>
      <c r="N271" s="40" t="s">
        <v>218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1" activePane="bottomLeft" state="frozen"/>
      <selection pane="bottomLeft" activeCell="E269" sqref="E26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215</v>
      </c>
      <c r="O27" s="39">
        <v>202230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215</v>
      </c>
      <c r="O54" s="39">
        <v>473910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263</v>
      </c>
      <c r="L58" s="29">
        <v>0.54097222222222219</v>
      </c>
      <c r="M58" s="30" t="str">
        <f t="shared" ca="1" si="13"/>
        <v/>
      </c>
      <c r="N58" s="27" t="s">
        <v>264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215</v>
      </c>
      <c r="O81" s="39">
        <v>565120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215</v>
      </c>
      <c r="O108" s="39">
        <v>558590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0.568402662036533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0.76770821759208863</v>
      </c>
      <c r="N135" s="36" t="s">
        <v>215</v>
      </c>
      <c r="O135" s="39">
        <v>729290</v>
      </c>
    </row>
    <row r="136" spans="1:18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1.1350693287031997</v>
      </c>
      <c r="N136" s="40" t="s">
        <v>218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215</v>
      </c>
      <c r="O162" s="39">
        <v>697320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215</v>
      </c>
      <c r="O189" s="39">
        <v>973580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215</v>
      </c>
      <c r="O216" s="45">
        <v>1060630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215</v>
      </c>
      <c r="O243" s="39">
        <v>982340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199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5</v>
      </c>
      <c r="G248" s="34">
        <f t="shared" si="54"/>
        <v>21</v>
      </c>
      <c r="H248" s="26" t="s">
        <v>20</v>
      </c>
      <c r="I248" s="26"/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215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/>
      <c r="G258" s="34" t="str">
        <f t="shared" ref="G258:G269" si="57">IF(F258="","",IF(E258="PC 17",F258*4.2,IF(E258="PC 19",F258*5,"")))</f>
        <v/>
      </c>
      <c r="H258" s="26" t="s">
        <v>20</v>
      </c>
      <c r="I258" s="26" t="s">
        <v>137</v>
      </c>
      <c r="J258" s="26" t="s">
        <v>74</v>
      </c>
      <c r="K258" s="29">
        <v>0.80208333333333337</v>
      </c>
      <c r="L258" s="29"/>
      <c r="M258" s="35">
        <f t="shared" ref="M258:M269" ca="1" si="58">IFERROR(IF(K258="","",IF(L258="",MOD(NOW()-K258,1),IF(L258&gt;=K258,L258-K258,L258+1-K258))),"")</f>
        <v>1.5624884254066274E-2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225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225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225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225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225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225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225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225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225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1.5624884254066274E-2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190</v>
      </c>
      <c r="G271" s="40">
        <f>G257+G270</f>
        <v>797.99999999999989</v>
      </c>
      <c r="H271" s="41"/>
      <c r="I271" s="41"/>
      <c r="J271" s="41"/>
      <c r="K271" s="63"/>
      <c r="L271" s="63"/>
      <c r="M271" s="42">
        <f ca="1">IFERROR(M257+M270,"")</f>
        <v>0.13298599536517741</v>
      </c>
      <c r="N271" s="40" t="s">
        <v>218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215</v>
      </c>
      <c r="O432" s="39"/>
    </row>
    <row r="433" spans="1:17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2026-07-10T23:38:01Z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