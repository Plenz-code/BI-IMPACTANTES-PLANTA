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2" documentId="13_ncr:1_{A6DBCFB4-28D9-4249-9038-216934055CA6}" xr6:coauthVersionLast="47" xr6:coauthVersionMax="47" xr10:uidLastSave="{65F9745C-943B-445A-9323-A44E505038CE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<sst xmlns="http://schemas.openxmlformats.org/spreadsheetml/2006/main" count="8514" uniqueCount="395">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</sst>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1" activePane="bottomLeft" state="frozen"/>
      <selection pane="bottomLeft" activeCell="D502" sqref="D50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282</v>
      </c>
      <c r="G514" s="1">
        <f>G500+G513</f>
        <v>1410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D504" sqref="D50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0.67127766203338979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0.81016655092227752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0.89488877314450033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/>
      <c r="F501" s="101">
        <f>IFERROR(IF($D501="","",VLOOKUP($D501,Cadastro!$C$4:$E$7,3,FALSE())),"")</f>
        <v>0.35</v>
      </c>
      <c r="G501" s="89"/>
      <c r="H501" s="101" t="str">
        <f>IFERROR(IF($G501="","",$G501*$S$513/$G$513/Cadastro!$E$33),"")</f>
        <v/>
      </c>
      <c r="I501" s="102">
        <f>IFERROR(IF($D501="","",VLOOKUP($D501,Cadastro!$C$4:$G$7,5,FALSE())),"")</f>
        <v>0.6</v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/>
      <c r="F502" s="88">
        <f>IFERROR(IF($D502="","",VLOOKUP($D502,Cadastro!$C$4:$E$7,3,FALSE())),"")</f>
        <v>0.35</v>
      </c>
      <c r="G502" s="89"/>
      <c r="H502" s="88" t="str">
        <f>IFERROR(IF($G502="","",$G502*$S$513/$G$513/Cadastro!$E$33),"")</f>
        <v/>
      </c>
      <c r="I502" s="90">
        <f>IFERROR(IF($D502="","",VLOOKUP($D502,Cadastro!$C$4:$G$7,5,FALSE())),"")</f>
        <v>0.6</v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142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605.20000000000005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7" activePane="bottomLeft" state="frozen"/>
      <selection pane="bottomLeft" activeCell="D507" sqref="D50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72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306.39999999999998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91" activePane="bottomLeft" state="frozen"/>
      <selection pane="bottomLeft" activeCell="N501" sqref="N50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/>
      <c r="F501" s="101">
        <f>IFERROR(IF($D501="","",VLOOKUP($D501,Cadastro!$C$4:$E$7,3,FALSE())),"")</f>
        <v>0.35</v>
      </c>
      <c r="G501" s="89"/>
      <c r="H501" s="101" t="str">
        <f>IFERROR(IF($G501="","",$G501*$S$513/$G$513/Cadastro!$E$33),"")</f>
        <v/>
      </c>
      <c r="I501" s="102">
        <f>IFERROR(IF($D501="","",VLOOKUP($D501,Cadastro!$C$4:$G$7,5,FALSE())),"")</f>
        <v>0.6</v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/>
      <c r="Q501" s="71">
        <f t="shared" ref="Q501:Q512" ca="1" si="128">IFERROR(IF(O501="","",IF(P501="",MOD(NOW()-O501,1),IF(P501&gt;=O501,P501-O501,P501+1-O501))),"")</f>
        <v>1.1387731501599774E-3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/>
      <c r="F502" s="88">
        <f>IFERROR(IF($D502="","",VLOOKUP($D502,Cadastro!$C$4:$E$7,3,FALSE())),"")</f>
        <v>0.35</v>
      </c>
      <c r="G502" s="89"/>
      <c r="H502" s="88" t="str">
        <f>IFERROR(IF($G502="","",$G502*$S$513/$G$513/Cadastro!$E$33),"")</f>
        <v/>
      </c>
      <c r="I502" s="90">
        <f>IFERROR(IF($D502="","",VLOOKUP($D502,Cadastro!$C$4:$G$7,5,FALSE())),"")</f>
        <v>0.6</v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1.1387731501599774E-3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202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854</v>
      </c>
      <c r="L514" s="76"/>
      <c r="M514" s="76"/>
      <c r="N514" s="76"/>
      <c r="O514" s="135"/>
      <c r="P514" s="135"/>
      <c r="Q514" s="77">
        <f ca="1">IFERROR(Q500+Q513,"")</f>
        <v>8.586099537238151E-2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2026-08-19T23:01:55Z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