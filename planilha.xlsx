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57" documentId="8_{AF585B22-221D-4780-BB9C-493D365A6A02}" xr6:coauthVersionLast="47" xr6:coauthVersionMax="47" xr10:uidLastSave="{68F61590-B6D7-4155-BAFF-BC9B03ED13A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<sst xmlns="http://schemas.openxmlformats.org/spreadsheetml/2006/main" count="7845" uniqueCount="352">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</sst>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E494" sqref="E4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91</v>
      </c>
      <c r="G500" s="36">
        <f>SUM(G488:G499)</f>
        <v>382.2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91</v>
      </c>
      <c r="G514" s="40">
        <f>G500+G513</f>
        <v>382.2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E499" sqref="E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0.3879577546249493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0.54559664351383819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0.65531886573606035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0.36642997684975853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0.53726331018309192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0.68240219907198085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73</v>
      </c>
      <c r="G500" s="36">
        <f>SUM(G488:G499)</f>
        <v>351.4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351.4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E499" sqref="E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33</v>
      </c>
      <c r="G500" s="36">
        <f>SUM(G488:G499)</f>
        <v>160.19999999999999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33</v>
      </c>
      <c r="G514" s="40">
        <f>G500+G513</f>
        <v>160.19999999999999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E499" sqref="E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0.37823553240741603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0.57754108796297166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0.94490219907408268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/>
      <c r="M491" s="35">
        <f ca="1">IFERROR(IF(K491="","",IF(L491="",MOD(NOW()-K491,1),IF(L491&gt;=K491,L491-K491,L491+1-K491))),"")</f>
        <v>1.6429976851213723E-2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97</v>
      </c>
      <c r="G500" s="36">
        <f>SUM(G488:G499)</f>
        <v>470.6</v>
      </c>
      <c r="H500" s="37"/>
      <c r="I500" s="37"/>
      <c r="J500" s="37"/>
      <c r="K500" s="61"/>
      <c r="L500" s="61"/>
      <c r="M500" s="38">
        <f ca="1">IFERROR(SUM(M488:M499),"")</f>
        <v>3.795775462899148E-2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97</v>
      </c>
      <c r="G514" s="40">
        <f>G500+G513</f>
        <v>470.6</v>
      </c>
      <c r="H514" s="41"/>
      <c r="I514" s="41"/>
      <c r="J514" s="41"/>
      <c r="K514" s="63"/>
      <c r="L514" s="63"/>
      <c r="M514" s="42">
        <f ca="1">IFERROR(M500+M513,"")</f>
        <v>3.795775462899148E-2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2026-07-19T19:03:44Z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