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7" documentId="13_ncr:1_{0A10D8D4-8450-4366-8075-B53B08E6B7EA}" xr6:coauthVersionLast="47" xr6:coauthVersionMax="47" xr10:uidLastSave="{14A8D222-1A34-45DF-B787-7CC4519B0731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6"/>
  <c r="G406" i="6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9" i="6"/>
  <c r="J489" i="6" s="1"/>
  <c r="H490" i="6"/>
  <c r="J490" i="6" s="1"/>
  <c r="H491" i="6"/>
  <c r="J491" i="6" s="1"/>
  <c r="H492" i="6"/>
  <c r="J492" i="6" s="1"/>
  <c r="H493" i="6"/>
  <c r="J493" i="6" s="1"/>
  <c r="H494" i="6"/>
  <c r="J494" i="6" s="1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J825" i="5" s="1"/>
  <c r="H826" i="5"/>
  <c r="J826" i="5" s="1"/>
  <c r="H827" i="5"/>
  <c r="J827" i="5" s="1"/>
  <c r="H828" i="5"/>
  <c r="J828" i="5" s="1"/>
  <c r="H829" i="5"/>
  <c r="J829" i="5" s="1"/>
  <c r="H830" i="5"/>
  <c r="J830" i="5" s="1"/>
  <c r="H831" i="5"/>
  <c r="J831" i="5" s="1"/>
  <c r="H832" i="5"/>
  <c r="J832" i="5" s="1"/>
  <c r="H833" i="5"/>
  <c r="J833" i="5" s="1"/>
  <c r="H834" i="5"/>
  <c r="J834" i="5" s="1"/>
  <c r="H835" i="5"/>
  <c r="J835" i="5" s="1"/>
  <c r="H836" i="5"/>
  <c r="J836" i="5" s="1"/>
  <c r="H812" i="5"/>
  <c r="J812" i="5" s="1"/>
  <c r="H813" i="5"/>
  <c r="J813" i="5" s="1"/>
  <c r="H814" i="5"/>
  <c r="J814" i="5" s="1"/>
  <c r="H815" i="5"/>
  <c r="J815" i="5" s="1"/>
  <c r="H816" i="5"/>
  <c r="J816" i="5" s="1"/>
  <c r="H817" i="5"/>
  <c r="J817" i="5" s="1"/>
  <c r="H818" i="5"/>
  <c r="J818" i="5" s="1"/>
  <c r="H819" i="5"/>
  <c r="J819" i="5" s="1"/>
  <c r="H820" i="5"/>
  <c r="J820" i="5" s="1"/>
  <c r="H821" i="5"/>
  <c r="J821" i="5" s="1"/>
  <c r="H822" i="5"/>
  <c r="J822" i="5" s="1"/>
  <c r="H823" i="5"/>
  <c r="J823" i="5" s="1"/>
  <c r="H798" i="5"/>
  <c r="J798" i="5" s="1"/>
  <c r="H799" i="5"/>
  <c r="J799" i="5" s="1"/>
  <c r="H800" i="5"/>
  <c r="J800" i="5" s="1"/>
  <c r="H801" i="5"/>
  <c r="J801" i="5" s="1"/>
  <c r="H802" i="5"/>
  <c r="J802" i="5" s="1"/>
  <c r="H803" i="5"/>
  <c r="J803" i="5" s="1"/>
  <c r="H804" i="5"/>
  <c r="J804" i="5" s="1"/>
  <c r="H805" i="5"/>
  <c r="J805" i="5" s="1"/>
  <c r="H806" i="5"/>
  <c r="J806" i="5" s="1"/>
  <c r="H807" i="5"/>
  <c r="J807" i="5" s="1"/>
  <c r="H808" i="5"/>
  <c r="J808" i="5" s="1"/>
  <c r="H809" i="5"/>
  <c r="J809" i="5" s="1"/>
  <c r="H785" i="5"/>
  <c r="J785" i="5" s="1"/>
  <c r="H786" i="5"/>
  <c r="J786" i="5" s="1"/>
  <c r="H787" i="5"/>
  <c r="J787" i="5" s="1"/>
  <c r="H788" i="5"/>
  <c r="J788" i="5" s="1"/>
  <c r="H789" i="5"/>
  <c r="J789" i="5" s="1"/>
  <c r="H790" i="5"/>
  <c r="J790" i="5" s="1"/>
  <c r="H791" i="5"/>
  <c r="J791" i="5" s="1"/>
  <c r="H792" i="5"/>
  <c r="J792" i="5" s="1"/>
  <c r="H793" i="5"/>
  <c r="J793" i="5" s="1"/>
  <c r="H794" i="5"/>
  <c r="J794" i="5" s="1"/>
  <c r="H795" i="5"/>
  <c r="J795" i="5" s="1"/>
  <c r="H796" i="5"/>
  <c r="J796" i="5" s="1"/>
  <c r="H771" i="5"/>
  <c r="J771" i="5" s="1"/>
  <c r="H772" i="5"/>
  <c r="J772" i="5" s="1"/>
  <c r="H773" i="5"/>
  <c r="J773" i="5" s="1"/>
  <c r="H774" i="5"/>
  <c r="J774" i="5" s="1"/>
  <c r="H775" i="5"/>
  <c r="J775" i="5" s="1"/>
  <c r="H776" i="5"/>
  <c r="J776" i="5" s="1"/>
  <c r="H777" i="5"/>
  <c r="J777" i="5" s="1"/>
  <c r="H778" i="5"/>
  <c r="J778" i="5" s="1"/>
  <c r="H779" i="5"/>
  <c r="J779" i="5" s="1"/>
  <c r="H780" i="5"/>
  <c r="J780" i="5" s="1"/>
  <c r="H781" i="5"/>
  <c r="J781" i="5" s="1"/>
  <c r="H782" i="5"/>
  <c r="J782" i="5" s="1"/>
  <c r="H758" i="5"/>
  <c r="J758" i="5" s="1"/>
  <c r="H759" i="5"/>
  <c r="J759" i="5" s="1"/>
  <c r="H760" i="5"/>
  <c r="J760" i="5" s="1"/>
  <c r="H761" i="5"/>
  <c r="J761" i="5" s="1"/>
  <c r="H762" i="5"/>
  <c r="J762" i="5" s="1"/>
  <c r="H763" i="5"/>
  <c r="J763" i="5" s="1"/>
  <c r="H764" i="5"/>
  <c r="J764" i="5" s="1"/>
  <c r="H765" i="5"/>
  <c r="J765" i="5" s="1"/>
  <c r="H766" i="5"/>
  <c r="J766" i="5" s="1"/>
  <c r="H767" i="5"/>
  <c r="J767" i="5" s="1"/>
  <c r="H768" i="5"/>
  <c r="J768" i="5" s="1"/>
  <c r="H769" i="5"/>
  <c r="J769" i="5" s="1"/>
  <c r="H744" i="5"/>
  <c r="J744" i="5" s="1"/>
  <c r="H745" i="5"/>
  <c r="J745" i="5" s="1"/>
  <c r="H746" i="5"/>
  <c r="J746" i="5" s="1"/>
  <c r="H747" i="5"/>
  <c r="J747" i="5" s="1"/>
  <c r="H748" i="5"/>
  <c r="J748" i="5" s="1"/>
  <c r="H749" i="5"/>
  <c r="J749" i="5" s="1"/>
  <c r="H750" i="5"/>
  <c r="J750" i="5" s="1"/>
  <c r="H751" i="5"/>
  <c r="J751" i="5" s="1"/>
  <c r="H752" i="5"/>
  <c r="J752" i="5" s="1"/>
  <c r="H753" i="5"/>
  <c r="J753" i="5" s="1"/>
  <c r="H754" i="5"/>
  <c r="J754" i="5" s="1"/>
  <c r="H755" i="5"/>
  <c r="J755" i="5" s="1"/>
  <c r="H731" i="5"/>
  <c r="J731" i="5" s="1"/>
  <c r="H732" i="5"/>
  <c r="J732" i="5" s="1"/>
  <c r="H733" i="5"/>
  <c r="J733" i="5" s="1"/>
  <c r="H734" i="5"/>
  <c r="J734" i="5" s="1"/>
  <c r="H735" i="5"/>
  <c r="J735" i="5" s="1"/>
  <c r="H736" i="5"/>
  <c r="J736" i="5" s="1"/>
  <c r="H737" i="5"/>
  <c r="J737" i="5" s="1"/>
  <c r="H738" i="5"/>
  <c r="J738" i="5" s="1"/>
  <c r="H739" i="5"/>
  <c r="J739" i="5" s="1"/>
  <c r="H740" i="5"/>
  <c r="J740" i="5" s="1"/>
  <c r="H741" i="5"/>
  <c r="J741" i="5" s="1"/>
  <c r="H742" i="5"/>
  <c r="J742" i="5" s="1"/>
  <c r="H717" i="5"/>
  <c r="J717" i="5" s="1"/>
  <c r="H718" i="5"/>
  <c r="J718" i="5" s="1"/>
  <c r="H719" i="5"/>
  <c r="J719" i="5" s="1"/>
  <c r="H720" i="5"/>
  <c r="J720" i="5" s="1"/>
  <c r="H721" i="5"/>
  <c r="J721" i="5" s="1"/>
  <c r="H722" i="5"/>
  <c r="J722" i="5" s="1"/>
  <c r="H723" i="5"/>
  <c r="J723" i="5" s="1"/>
  <c r="H724" i="5"/>
  <c r="J724" i="5" s="1"/>
  <c r="H725" i="5"/>
  <c r="J725" i="5" s="1"/>
  <c r="H726" i="5"/>
  <c r="J726" i="5" s="1"/>
  <c r="H727" i="5"/>
  <c r="J727" i="5" s="1"/>
  <c r="H728" i="5"/>
  <c r="J728" i="5" s="1"/>
  <c r="H704" i="5"/>
  <c r="J704" i="5" s="1"/>
  <c r="H705" i="5"/>
  <c r="J705" i="5" s="1"/>
  <c r="H706" i="5"/>
  <c r="J706" i="5" s="1"/>
  <c r="H707" i="5"/>
  <c r="J707" i="5" s="1"/>
  <c r="H708" i="5"/>
  <c r="J708" i="5" s="1"/>
  <c r="H709" i="5"/>
  <c r="J709" i="5" s="1"/>
  <c r="H710" i="5"/>
  <c r="J710" i="5" s="1"/>
  <c r="H711" i="5"/>
  <c r="J711" i="5" s="1"/>
  <c r="H712" i="5"/>
  <c r="J712" i="5" s="1"/>
  <c r="H713" i="5"/>
  <c r="J713" i="5" s="1"/>
  <c r="H714" i="5"/>
  <c r="J714" i="5" s="1"/>
  <c r="H715" i="5"/>
  <c r="J715" i="5" s="1"/>
  <c r="H690" i="5"/>
  <c r="J690" i="5" s="1"/>
  <c r="H691" i="5"/>
  <c r="J691" i="5" s="1"/>
  <c r="H692" i="5"/>
  <c r="J692" i="5" s="1"/>
  <c r="H693" i="5"/>
  <c r="J693" i="5" s="1"/>
  <c r="H694" i="5"/>
  <c r="J694" i="5" s="1"/>
  <c r="H695" i="5"/>
  <c r="J695" i="5" s="1"/>
  <c r="H696" i="5"/>
  <c r="J696" i="5" s="1"/>
  <c r="H697" i="5"/>
  <c r="J697" i="5" s="1"/>
  <c r="H698" i="5"/>
  <c r="J698" i="5" s="1"/>
  <c r="H699" i="5"/>
  <c r="J699" i="5" s="1"/>
  <c r="H700" i="5"/>
  <c r="J700" i="5" s="1"/>
  <c r="H701" i="5"/>
  <c r="J701" i="5" s="1"/>
  <c r="H677" i="5"/>
  <c r="J677" i="5" s="1"/>
  <c r="H678" i="5"/>
  <c r="J678" i="5" s="1"/>
  <c r="H679" i="5"/>
  <c r="J679" i="5" s="1"/>
  <c r="H680" i="5"/>
  <c r="J680" i="5" s="1"/>
  <c r="H681" i="5"/>
  <c r="J681" i="5" s="1"/>
  <c r="H682" i="5"/>
  <c r="J682" i="5" s="1"/>
  <c r="H683" i="5"/>
  <c r="J683" i="5" s="1"/>
  <c r="H684" i="5"/>
  <c r="J684" i="5" s="1"/>
  <c r="H685" i="5"/>
  <c r="J685" i="5" s="1"/>
  <c r="H686" i="5"/>
  <c r="J686" i="5" s="1"/>
  <c r="H687" i="5"/>
  <c r="J687" i="5" s="1"/>
  <c r="H688" i="5"/>
  <c r="J688" i="5" s="1"/>
  <c r="H663" i="5"/>
  <c r="J663" i="5" s="1"/>
  <c r="H664" i="5"/>
  <c r="J664" i="5" s="1"/>
  <c r="H665" i="5"/>
  <c r="J665" i="5" s="1"/>
  <c r="H666" i="5"/>
  <c r="J666" i="5" s="1"/>
  <c r="H667" i="5"/>
  <c r="J667" i="5" s="1"/>
  <c r="H668" i="5"/>
  <c r="J668" i="5" s="1"/>
  <c r="H669" i="5"/>
  <c r="J669" i="5" s="1"/>
  <c r="H670" i="5"/>
  <c r="J670" i="5" s="1"/>
  <c r="H671" i="5"/>
  <c r="J671" i="5" s="1"/>
  <c r="H672" i="5"/>
  <c r="J672" i="5" s="1"/>
  <c r="H673" i="5"/>
  <c r="J673" i="5" s="1"/>
  <c r="H674" i="5"/>
  <c r="J674" i="5" s="1"/>
  <c r="H650" i="5"/>
  <c r="J650" i="5" s="1"/>
  <c r="H651" i="5"/>
  <c r="J651" i="5" s="1"/>
  <c r="H652" i="5"/>
  <c r="J652" i="5" s="1"/>
  <c r="H653" i="5"/>
  <c r="J653" i="5" s="1"/>
  <c r="H654" i="5"/>
  <c r="J654" i="5" s="1"/>
  <c r="H655" i="5"/>
  <c r="J655" i="5" s="1"/>
  <c r="H656" i="5"/>
  <c r="J656" i="5" s="1"/>
  <c r="H657" i="5"/>
  <c r="J657" i="5" s="1"/>
  <c r="H658" i="5"/>
  <c r="J658" i="5" s="1"/>
  <c r="H659" i="5"/>
  <c r="J659" i="5" s="1"/>
  <c r="H660" i="5"/>
  <c r="J660" i="5" s="1"/>
  <c r="H661" i="5"/>
  <c r="J661" i="5" s="1"/>
  <c r="H636" i="5"/>
  <c r="J636" i="5" s="1"/>
  <c r="H637" i="5"/>
  <c r="J637" i="5" s="1"/>
  <c r="H638" i="5"/>
  <c r="J638" i="5" s="1"/>
  <c r="H639" i="5"/>
  <c r="J639" i="5" s="1"/>
  <c r="H640" i="5"/>
  <c r="J640" i="5" s="1"/>
  <c r="H641" i="5"/>
  <c r="J641" i="5" s="1"/>
  <c r="H642" i="5"/>
  <c r="J642" i="5" s="1"/>
  <c r="H643" i="5"/>
  <c r="J643" i="5" s="1"/>
  <c r="H644" i="5"/>
  <c r="J644" i="5" s="1"/>
  <c r="H645" i="5"/>
  <c r="J645" i="5" s="1"/>
  <c r="H646" i="5"/>
  <c r="J646" i="5" s="1"/>
  <c r="H647" i="5"/>
  <c r="J647" i="5" s="1"/>
  <c r="H623" i="5"/>
  <c r="J623" i="5" s="1"/>
  <c r="H624" i="5"/>
  <c r="J624" i="5" s="1"/>
  <c r="H625" i="5"/>
  <c r="J625" i="5" s="1"/>
  <c r="H626" i="5"/>
  <c r="J626" i="5" s="1"/>
  <c r="H627" i="5"/>
  <c r="J627" i="5" s="1"/>
  <c r="H628" i="5"/>
  <c r="J628" i="5" s="1"/>
  <c r="H629" i="5"/>
  <c r="J629" i="5" s="1"/>
  <c r="H630" i="5"/>
  <c r="J630" i="5" s="1"/>
  <c r="H631" i="5"/>
  <c r="J631" i="5" s="1"/>
  <c r="H632" i="5"/>
  <c r="J632" i="5" s="1"/>
  <c r="H633" i="5"/>
  <c r="J633" i="5" s="1"/>
  <c r="H634" i="5"/>
  <c r="J634" i="5" s="1"/>
  <c r="H609" i="5"/>
  <c r="J609" i="5" s="1"/>
  <c r="H610" i="5"/>
  <c r="J610" i="5" s="1"/>
  <c r="H611" i="5"/>
  <c r="J611" i="5" s="1"/>
  <c r="H612" i="5"/>
  <c r="J612" i="5" s="1"/>
  <c r="H613" i="5"/>
  <c r="J613" i="5" s="1"/>
  <c r="H614" i="5"/>
  <c r="J614" i="5" s="1"/>
  <c r="H615" i="5"/>
  <c r="J615" i="5" s="1"/>
  <c r="H616" i="5"/>
  <c r="J616" i="5" s="1"/>
  <c r="H617" i="5"/>
  <c r="J617" i="5" s="1"/>
  <c r="H618" i="5"/>
  <c r="J618" i="5" s="1"/>
  <c r="H619" i="5"/>
  <c r="J619" i="5" s="1"/>
  <c r="H620" i="5"/>
  <c r="J620" i="5" s="1"/>
  <c r="H596" i="5"/>
  <c r="J596" i="5" s="1"/>
  <c r="H597" i="5"/>
  <c r="J597" i="5" s="1"/>
  <c r="H598" i="5"/>
  <c r="J598" i="5" s="1"/>
  <c r="H599" i="5"/>
  <c r="J599" i="5" s="1"/>
  <c r="H600" i="5"/>
  <c r="J600" i="5" s="1"/>
  <c r="H601" i="5"/>
  <c r="J601" i="5" s="1"/>
  <c r="H602" i="5"/>
  <c r="J602" i="5" s="1"/>
  <c r="H603" i="5"/>
  <c r="J603" i="5" s="1"/>
  <c r="H604" i="5"/>
  <c r="J604" i="5" s="1"/>
  <c r="H605" i="5"/>
  <c r="J605" i="5" s="1"/>
  <c r="H606" i="5"/>
  <c r="J606" i="5" s="1"/>
  <c r="H607" i="5"/>
  <c r="J607" i="5" s="1"/>
  <c r="H582" i="5"/>
  <c r="J582" i="5" s="1"/>
  <c r="H583" i="5"/>
  <c r="J583" i="5" s="1"/>
  <c r="H584" i="5"/>
  <c r="J584" i="5" s="1"/>
  <c r="H585" i="5"/>
  <c r="J585" i="5" s="1"/>
  <c r="H586" i="5"/>
  <c r="J586" i="5" s="1"/>
  <c r="H587" i="5"/>
  <c r="J587" i="5" s="1"/>
  <c r="H588" i="5"/>
  <c r="J588" i="5" s="1"/>
  <c r="H589" i="5"/>
  <c r="J589" i="5" s="1"/>
  <c r="H590" i="5"/>
  <c r="J590" i="5" s="1"/>
  <c r="H591" i="5"/>
  <c r="J591" i="5" s="1"/>
  <c r="H592" i="5"/>
  <c r="J592" i="5" s="1"/>
  <c r="H593" i="5"/>
  <c r="J593" i="5" s="1"/>
  <c r="H569" i="5"/>
  <c r="J569" i="5" s="1"/>
  <c r="H570" i="5"/>
  <c r="J570" i="5" s="1"/>
  <c r="H571" i="5"/>
  <c r="J571" i="5" s="1"/>
  <c r="H572" i="5"/>
  <c r="J572" i="5" s="1"/>
  <c r="H573" i="5"/>
  <c r="J573" i="5" s="1"/>
  <c r="H574" i="5"/>
  <c r="J574" i="5" s="1"/>
  <c r="H575" i="5"/>
  <c r="J575" i="5" s="1"/>
  <c r="H576" i="5"/>
  <c r="J576" i="5" s="1"/>
  <c r="H577" i="5"/>
  <c r="J577" i="5" s="1"/>
  <c r="H578" i="5"/>
  <c r="J578" i="5" s="1"/>
  <c r="H579" i="5"/>
  <c r="J579" i="5" s="1"/>
  <c r="H580" i="5"/>
  <c r="J580" i="5" s="1"/>
  <c r="H555" i="5"/>
  <c r="J555" i="5" s="1"/>
  <c r="H556" i="5"/>
  <c r="J556" i="5" s="1"/>
  <c r="H557" i="5"/>
  <c r="J557" i="5" s="1"/>
  <c r="H558" i="5"/>
  <c r="J558" i="5" s="1"/>
  <c r="H559" i="5"/>
  <c r="J559" i="5" s="1"/>
  <c r="H560" i="5"/>
  <c r="J560" i="5" s="1"/>
  <c r="H561" i="5"/>
  <c r="J561" i="5" s="1"/>
  <c r="H562" i="5"/>
  <c r="J562" i="5" s="1"/>
  <c r="H563" i="5"/>
  <c r="J563" i="5" s="1"/>
  <c r="H564" i="5"/>
  <c r="J564" i="5" s="1"/>
  <c r="H565" i="5"/>
  <c r="J565" i="5" s="1"/>
  <c r="H566" i="5"/>
  <c r="J566" i="5" s="1"/>
  <c r="H542" i="5"/>
  <c r="J542" i="5" s="1"/>
  <c r="H543" i="5"/>
  <c r="J543" i="5" s="1"/>
  <c r="H544" i="5"/>
  <c r="J544" i="5" s="1"/>
  <c r="H545" i="5"/>
  <c r="J545" i="5" s="1"/>
  <c r="H546" i="5"/>
  <c r="J546" i="5" s="1"/>
  <c r="H547" i="5"/>
  <c r="J547" i="5" s="1"/>
  <c r="H548" i="5"/>
  <c r="J548" i="5" s="1"/>
  <c r="H549" i="5"/>
  <c r="J549" i="5" s="1"/>
  <c r="H550" i="5"/>
  <c r="J550" i="5" s="1"/>
  <c r="H551" i="5"/>
  <c r="J551" i="5" s="1"/>
  <c r="H552" i="5"/>
  <c r="J552" i="5" s="1"/>
  <c r="H553" i="5"/>
  <c r="J553" i="5" s="1"/>
  <c r="H528" i="5"/>
  <c r="J528" i="5" s="1"/>
  <c r="H529" i="5"/>
  <c r="J529" i="5" s="1"/>
  <c r="H530" i="5"/>
  <c r="J530" i="5" s="1"/>
  <c r="H531" i="5"/>
  <c r="J531" i="5" s="1"/>
  <c r="H532" i="5"/>
  <c r="J532" i="5" s="1"/>
  <c r="H533" i="5"/>
  <c r="J533" i="5" s="1"/>
  <c r="H534" i="5"/>
  <c r="J534" i="5" s="1"/>
  <c r="H535" i="5"/>
  <c r="J535" i="5" s="1"/>
  <c r="H536" i="5"/>
  <c r="J536" i="5" s="1"/>
  <c r="H537" i="5"/>
  <c r="J537" i="5" s="1"/>
  <c r="H538" i="5"/>
  <c r="J538" i="5" s="1"/>
  <c r="H539" i="5"/>
  <c r="J539" i="5" s="1"/>
  <c r="H515" i="5"/>
  <c r="J515" i="5" s="1"/>
  <c r="H516" i="5"/>
  <c r="J516" i="5" s="1"/>
  <c r="H517" i="5"/>
  <c r="J517" i="5" s="1"/>
  <c r="H518" i="5"/>
  <c r="J518" i="5" s="1"/>
  <c r="H519" i="5"/>
  <c r="J519" i="5" s="1"/>
  <c r="H520" i="5"/>
  <c r="J520" i="5" s="1"/>
  <c r="H521" i="5"/>
  <c r="J521" i="5" s="1"/>
  <c r="H522" i="5"/>
  <c r="J522" i="5" s="1"/>
  <c r="H523" i="5"/>
  <c r="J523" i="5" s="1"/>
  <c r="H524" i="5"/>
  <c r="J524" i="5" s="1"/>
  <c r="H525" i="5"/>
  <c r="J525" i="5" s="1"/>
  <c r="H526" i="5"/>
  <c r="J526" i="5" s="1"/>
  <c r="H501" i="5"/>
  <c r="J501" i="5" s="1"/>
  <c r="H502" i="5"/>
  <c r="J502" i="5" s="1"/>
  <c r="H503" i="5"/>
  <c r="J503" i="5" s="1"/>
  <c r="H504" i="5"/>
  <c r="J504" i="5" s="1"/>
  <c r="H505" i="5"/>
  <c r="J505" i="5" s="1"/>
  <c r="H506" i="5"/>
  <c r="J506" i="5" s="1"/>
  <c r="H507" i="5"/>
  <c r="J507" i="5" s="1"/>
  <c r="H508" i="5"/>
  <c r="J508" i="5" s="1"/>
  <c r="H509" i="5"/>
  <c r="J509" i="5" s="1"/>
  <c r="H510" i="5"/>
  <c r="J510" i="5" s="1"/>
  <c r="H511" i="5"/>
  <c r="J511" i="5" s="1"/>
  <c r="H512" i="5"/>
  <c r="J512" i="5" s="1"/>
  <c r="H489" i="5"/>
  <c r="J489" i="5" s="1"/>
  <c r="H490" i="5"/>
  <c r="J490" i="5" s="1"/>
  <c r="H491" i="5"/>
  <c r="J491" i="5" s="1"/>
  <c r="H492" i="5"/>
  <c r="J492" i="5" s="1"/>
  <c r="H493" i="5"/>
  <c r="J493" i="5" s="1"/>
  <c r="H494" i="5"/>
  <c r="J494" i="5" s="1"/>
  <c r="H495" i="5"/>
  <c r="J495" i="5" s="1"/>
  <c r="H496" i="5"/>
  <c r="J496" i="5" s="1"/>
  <c r="H497" i="5"/>
  <c r="J497" i="5" s="1"/>
  <c r="H498" i="5"/>
  <c r="J498" i="5" s="1"/>
  <c r="H499" i="5"/>
  <c r="J499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784" i="6"/>
  <c r="T784" i="6" s="1"/>
  <c r="T770" i="6"/>
  <c r="J541" i="5"/>
  <c r="T541" i="5" s="1"/>
  <c r="J784" i="5"/>
  <c r="T784" i="5" s="1"/>
  <c r="J730" i="4"/>
  <c r="T730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676" i="6"/>
  <c r="H676" i="5"/>
  <c r="H649" i="4"/>
  <c r="H730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H488" i="6" s="1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H488" i="5" s="1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G40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H488" i="4" s="1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88" i="6" l="1"/>
  <c r="J500" i="6" s="1"/>
  <c r="H500" i="6"/>
  <c r="H514" i="6" s="1"/>
  <c r="J488" i="5"/>
  <c r="J500" i="5" s="1"/>
  <c r="H500" i="5"/>
  <c r="H514" i="5" s="1"/>
  <c r="J488" i="4"/>
  <c r="J500" i="4" s="1"/>
  <c r="H500" i="4"/>
  <c r="H514" i="4" s="1"/>
  <c r="H300" i="5"/>
  <c r="H301" i="5"/>
  <c r="H302" i="5"/>
  <c r="H303" i="5"/>
  <c r="H304" i="5"/>
  <c r="H305" i="5"/>
  <c r="H306" i="5"/>
  <c r="J306" i="5" s="1"/>
  <c r="H307" i="5"/>
  <c r="J307" i="5" s="1"/>
  <c r="H308" i="5"/>
  <c r="J308" i="5" s="1"/>
  <c r="H309" i="5"/>
  <c r="J309" i="5" s="1"/>
  <c r="H310" i="5"/>
  <c r="J310" i="5" s="1"/>
  <c r="H299" i="5"/>
  <c r="H313" i="5"/>
  <c r="J313" i="5" s="1"/>
  <c r="H314" i="5"/>
  <c r="J314" i="5" s="1"/>
  <c r="H315" i="5"/>
  <c r="J315" i="5" s="1"/>
  <c r="H316" i="5"/>
  <c r="J316" i="5" s="1"/>
  <c r="H317" i="5"/>
  <c r="J317" i="5" s="1"/>
  <c r="H318" i="5"/>
  <c r="J318" i="5" s="1"/>
  <c r="H319" i="5"/>
  <c r="J319" i="5" s="1"/>
  <c r="H320" i="5"/>
  <c r="J320" i="5" s="1"/>
  <c r="H321" i="5"/>
  <c r="J321" i="5" s="1"/>
  <c r="H322" i="5"/>
  <c r="J322" i="5" s="1"/>
  <c r="H323" i="5"/>
  <c r="J323" i="5" s="1"/>
  <c r="H312" i="5"/>
  <c r="H484" i="6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K406" i="5" s="1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500" i="6" l="1"/>
  <c r="J514" i="6"/>
  <c r="T514" i="6" s="1"/>
  <c r="T500" i="5"/>
  <c r="J514" i="5"/>
  <c r="T514" i="5" s="1"/>
  <c r="J514" i="4"/>
  <c r="T514" i="4" s="1"/>
  <c r="H22" i="1" s="1"/>
  <c r="J22" i="1" s="1"/>
  <c r="T500" i="4"/>
  <c r="J312" i="5"/>
  <c r="J324" i="5" s="1"/>
  <c r="T324" i="5" s="1"/>
  <c r="H324" i="5"/>
  <c r="J461" i="6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<sst xmlns="http://schemas.openxmlformats.org/spreadsheetml/2006/main" count="8311" uniqueCount="382">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</sst>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4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89" sqref="F48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>
        <v>0</v>
      </c>
      <c r="G488" s="28">
        <f t="shared" ref="G488:G499" si="104">IF(F488="","",IF(E488="PC 17",F488*4.2,IF(E488="PC 19",F488*5,IF(E488="CB",F488*35,""))))</f>
        <v>0</v>
      </c>
      <c r="H488" s="26" t="s">
        <v>25</v>
      </c>
      <c r="I488" s="26" t="s">
        <v>30</v>
      </c>
      <c r="J488" s="26" t="s">
        <v>138</v>
      </c>
      <c r="K488" s="29">
        <v>0.31111111111111112</v>
      </c>
      <c r="L488" s="29"/>
      <c r="M488" s="30">
        <f t="shared" ref="M488:M499" ca="1" si="105">IFERROR(IF(K488="","",IF(L488="",MOD(NOW()-K488,1),IF(L488&gt;=K488,L488-K488,L488+1-K488))),"")</f>
        <v>4.9098148148914333E-2</v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4.9098148148914333E-2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4.9098148148914333E-2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P489" sqref="P48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0.2386814814817626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0.3775703703706515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0.46229259259287381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14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58.800000000000004</v>
      </c>
      <c r="L488" s="26" t="s">
        <v>27</v>
      </c>
      <c r="M488" s="26" t="s">
        <v>38</v>
      </c>
      <c r="N488" s="26" t="s">
        <v>181</v>
      </c>
      <c r="O488" s="29">
        <v>0.32361111111111113</v>
      </c>
      <c r="P488" s="29">
        <v>0.35972222222222222</v>
      </c>
      <c r="Q488" s="30">
        <f t="shared" ref="Q488:Q499" ca="1" si="124">IFERROR(IF(O488="","",IF(P488="",MOD(NOW()-O488,1),IF(P488&gt;=O488,P488-O488,P488+1-O488))),"")</f>
        <v>3.6111111111111094E-2</v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14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58.800000000000004</v>
      </c>
      <c r="L500" s="37"/>
      <c r="M500" s="37"/>
      <c r="N500" s="37"/>
      <c r="O500" s="37"/>
      <c r="P500" s="37"/>
      <c r="Q500" s="38">
        <f ca="1">IFERROR(SUM(Q488:Q499),"")</f>
        <v>3.6111111111111094E-2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14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58.800000000000004</v>
      </c>
      <c r="L514" s="41"/>
      <c r="M514" s="41"/>
      <c r="N514" s="41"/>
      <c r="O514" s="41"/>
      <c r="P514" s="41"/>
      <c r="Q514" s="42">
        <f ca="1">IFERROR(Q500+Q513,"")</f>
        <v>3.6111111111111094E-2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9" sqref="G4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>
        <v>3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0">IFERROR(IF($H488="","",$H488*$F488*$I488),"")</f>
        <v>0</v>
      </c>
      <c r="K488" s="28">
        <f t="shared" ref="K488:K499" si="121">IF(G488="","",IF(E488="PC 17",G488*4.2,IF(E488="PC 19",G488*5,IF(E488="CB",G488*24,""))))</f>
        <v>12.600000000000001</v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3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12.600000000000001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3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12.600000000000001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5" activePane="bottomLeft" state="frozen"/>
      <selection pane="bottomLeft" activeCell="G489" sqref="G48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8.9808592207792213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11.053365194805194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6.9083532467532462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9.671694545454546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5.5266825974025968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6.2175179220779224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6.9083532467532462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16.58004779220779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11.053365194805194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10.362529870129869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7.5991885714285701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5.5266825974025968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8.2248794701986743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8"/>
        <v>14.099793377483442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8"/>
        <v>4.6999311258278142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8"/>
        <v>7.0498966887417209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8"/>
        <v>7.0498966887417209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8"/>
        <v>9.9873536423841056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8"/>
        <v>2.3499655629139071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8"/>
        <v>15.274776158940394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8"/>
        <v>5.8749139072847685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8"/>
        <v>8.2248794701986743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8"/>
        <v>5.8749139072847685</v>
      </c>
      <c r="K485" s="34">
        <f t="shared" si="119"/>
        <v>42</v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>
        <v>19</v>
      </c>
      <c r="H488" s="140">
        <f>IFERROR(IF($G488="","",$G488*$S$500/$G$500/Cadastro!$E$33),"")</f>
        <v>0</v>
      </c>
      <c r="I488" s="141">
        <f>IFERROR(IF($D488="","",VLOOKUP($D488,Cadastro!$C$4:$G$7,5,FALSE)),"")</f>
        <v>0.6</v>
      </c>
      <c r="J488" s="142">
        <f t="shared" ref="J488:J499" si="122">IFERROR(IF($H488="","",$H488*$F488*$I488),"")</f>
        <v>0</v>
      </c>
      <c r="K488" s="28">
        <f t="shared" ref="K488:K499" si="123">IF(G488="","",IF(E488="PC 17",G488*4.2,IF(E488="PC 19",G488*5,IF(E488="CB",G488*24,""))))</f>
        <v>79.8</v>
      </c>
      <c r="L488" s="26" t="s">
        <v>27</v>
      </c>
      <c r="M488" s="26"/>
      <c r="N488" s="26" t="s">
        <v>81</v>
      </c>
      <c r="O488" s="29">
        <v>0.33680555555555558</v>
      </c>
      <c r="P488" s="29">
        <v>0.34861111111111109</v>
      </c>
      <c r="Q488" s="30">
        <f ca="1">IFERROR(IF(O488="","",IF(P488="",MOD(NOW()-O488,1),IF(P488&gt;=O488,P488-O488,P488+1-O488))),"")</f>
        <v>1.1805555555555514E-2</v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19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79.8</v>
      </c>
      <c r="L500" s="37"/>
      <c r="M500" s="37"/>
      <c r="N500" s="37"/>
      <c r="O500" s="61"/>
      <c r="P500" s="61"/>
      <c r="Q500" s="38">
        <f ca="1">IFERROR(SUM(Q488:Q499),"")</f>
        <v>1.1805555555555514E-2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19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79.8</v>
      </c>
      <c r="L514" s="41"/>
      <c r="M514" s="41"/>
      <c r="N514" s="41"/>
      <c r="O514" s="63"/>
      <c r="P514" s="63"/>
      <c r="Q514" s="42">
        <f ca="1">IFERROR(Q500+Q513,"")</f>
        <v>1.1805555555555514E-2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2026-08-19T12:40:43Z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