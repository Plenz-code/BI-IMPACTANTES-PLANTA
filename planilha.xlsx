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93" documentId="13_ncr:1_{A6DBCFB4-28D9-4249-9038-216934055CA6}" xr6:coauthVersionLast="47" xr6:coauthVersionMax="47" xr10:uidLastSave="{14CBE90D-502A-4166-BAB5-F94FF0B46A39}"/>
  <bookViews>
    <workbookView minimized="1" xWindow="5910" yWindow="4050" windowWidth="21270" windowHeight="1077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5" i="1" l="1"/>
  <c r="J16" i="1"/>
  <c r="J17" i="1"/>
  <c r="J18" i="1"/>
  <c r="J19" i="1"/>
  <c r="J20" i="1"/>
  <c r="J21" i="1"/>
  <c r="J22" i="1"/>
  <c r="J23" i="1"/>
  <c r="J24" i="1"/>
  <c r="J25" i="1"/>
  <c r="J26" i="1"/>
  <c r="J27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J652" i="5" s="1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54" i="6" l="1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K676" i="4" s="1"/>
  <c r="H652" i="4"/>
  <c r="J652" i="4" s="1"/>
  <c r="H655" i="6"/>
  <c r="J655" i="6" s="1"/>
  <c r="G662" i="3"/>
  <c r="G676" i="3" s="1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662" i="5" l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76" i="6" l="1"/>
  <c r="T676" i="6" s="1"/>
  <c r="H28" i="1"/>
  <c r="J28" i="1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541" i="5"/>
  <c r="T541" i="5" s="1"/>
  <c r="J622" i="6"/>
  <c r="T622" i="6" s="1"/>
  <c r="H26" i="1" s="1"/>
  <c r="H33" i="1"/>
  <c r="J33" i="1" s="1"/>
  <c r="H31" i="1"/>
  <c r="J31" i="1" s="1"/>
  <c r="H30" i="1"/>
  <c r="J30" i="1" s="1"/>
  <c r="H25" i="1"/>
  <c r="H23" i="1"/>
  <c r="H22" i="1"/>
  <c r="H20" i="1"/>
  <c r="H18" i="1"/>
  <c r="H16" i="1"/>
  <c r="H34" i="1"/>
  <c r="J34" i="1" s="1"/>
  <c r="H32" i="1"/>
  <c r="J32" i="1" s="1"/>
  <c r="H29" i="1"/>
  <c r="J29" i="1" s="1"/>
  <c r="H21" i="1"/>
  <c r="H19" i="1"/>
  <c r="H17" i="1"/>
  <c r="H15" i="1"/>
  <c r="H27" i="1" l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<sst xmlns="http://schemas.openxmlformats.org/spreadsheetml/2006/main" count="10850" uniqueCount="442">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</sst>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activeCell="B1" sqref="B1"/>
      <selection pane="bottomLeft" activeCell="F29" sqref="F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H15/I15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H16/I16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H17/I17</f>
        <v>1.0291997066616196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H18/I18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H19/I19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H20/I20</f>
        <v>1.7814414385524513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H21/I21</f>
        <v>1.6391510824965805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H22/I22</f>
        <v>1.5870358075043722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70">
        <v>480.1</v>
      </c>
      <c r="J23" s="22">
        <f>H23/I23</f>
        <v>1.4136527600725493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70">
        <v>417.52</v>
      </c>
      <c r="J24" s="22">
        <f>H24/I24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70">
        <v>589.76</v>
      </c>
      <c r="J25" s="22">
        <f>H25/I25</f>
        <v>1.2676342919153554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70">
        <v>1088.1099999999999</v>
      </c>
      <c r="J26" s="22">
        <f>H26/I26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70">
        <v>1614.33</v>
      </c>
      <c r="J27" s="22">
        <f>H27/I27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9156.869999999999</v>
      </c>
      <c r="J35" s="32">
        <f>I35/H35</f>
        <v>1.0551316602985501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 t="s">
        <v>430</v>
      </c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 t="s">
        <v>427</v>
      </c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 t="s">
        <v>439</v>
      </c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426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249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249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249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249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249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249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249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249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249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249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249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249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249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249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249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249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249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249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249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249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249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249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249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249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249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249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249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249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249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249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249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3" sqref="F633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260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263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8" t="s">
        <v>249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260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263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8" t="s">
        <v>249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260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263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8" t="s">
        <v>249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260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263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8" t="s">
        <v>249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260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263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8" t="s">
        <v>249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260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263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8" t="s">
        <v>249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260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263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8" t="s">
        <v>249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260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263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8" t="s">
        <v>249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260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263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8" t="s">
        <v>249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260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263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8" t="s">
        <v>249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260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263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8" t="s">
        <v>249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260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263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8" t="s">
        <v>249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260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263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8" t="s">
        <v>249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260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263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8" t="s">
        <v>249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260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263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8" t="s">
        <v>249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260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263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8" t="s">
        <v>249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260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263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8" t="s">
        <v>249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260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263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8" t="s">
        <v>249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260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263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8" t="s">
        <v>249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260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263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 x14ac:dyDescent="0.25">
      <c r="A541" s="168" t="s">
        <v>249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296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260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261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259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296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259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262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259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297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259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259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298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259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259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299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259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259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259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259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259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263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261</v>
      </c>
      <c r="O567" s="74">
        <v>1031030</v>
      </c>
    </row>
    <row r="568" spans="1:15" ht="18" customHeight="1" x14ac:dyDescent="0.25">
      <c r="A568" s="168" t="s">
        <v>249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264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259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259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259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300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259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259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259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259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259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259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259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259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259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260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261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259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144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432</v>
      </c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259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431</v>
      </c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259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259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259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259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259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259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259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259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259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259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263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261</v>
      </c>
      <c r="O594" s="74">
        <v>2100270</v>
      </c>
    </row>
    <row r="595" spans="1:15" ht="18" customHeight="1" x14ac:dyDescent="0.25">
      <c r="A595" s="168" t="s">
        <v>249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264</v>
      </c>
      <c r="O595" s="82">
        <f>IFERROR(O581+O594,"")</f>
        <v>4740440</v>
      </c>
    </row>
    <row r="596" spans="1:15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259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259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259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259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259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259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259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259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259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259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259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259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260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261</v>
      </c>
      <c r="O608" s="74">
        <f>18310+1107750</f>
        <v>1126060</v>
      </c>
    </row>
    <row r="609" spans="1:15" ht="15" customHeight="1" x14ac:dyDescent="0.25">
      <c r="A609" s="18">
        <v>46257</v>
      </c>
      <c r="B609" s="68">
        <v>0.83333333333333304</v>
      </c>
      <c r="C609" s="70" t="s">
        <v>38</v>
      </c>
      <c r="D609" s="169" t="s">
        <v>31</v>
      </c>
      <c r="E609" s="75" t="s">
        <v>259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185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69" t="s">
        <v>31</v>
      </c>
      <c r="E610" s="75" t="s">
        <v>259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425</v>
      </c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 t="s">
        <v>38</v>
      </c>
      <c r="D611" s="169" t="s">
        <v>31</v>
      </c>
      <c r="E611" s="75" t="s">
        <v>259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 t="s">
        <v>38</v>
      </c>
      <c r="D612" s="169" t="s">
        <v>31</v>
      </c>
      <c r="E612" s="75" t="s">
        <v>259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 t="s">
        <v>38</v>
      </c>
      <c r="D613" s="169" t="s">
        <v>31</v>
      </c>
      <c r="E613" s="75" t="s">
        <v>259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 t="s">
        <v>38</v>
      </c>
      <c r="D614" s="169" t="s">
        <v>31</v>
      </c>
      <c r="E614" s="75" t="s">
        <v>259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 t="s">
        <v>38</v>
      </c>
      <c r="D615" s="169" t="s">
        <v>31</v>
      </c>
      <c r="E615" s="75" t="s">
        <v>259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 t="s">
        <v>38</v>
      </c>
      <c r="D616" s="169" t="s">
        <v>31</v>
      </c>
      <c r="E616" s="75" t="s">
        <v>259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 t="s">
        <v>38</v>
      </c>
      <c r="D617" s="169" t="s">
        <v>31</v>
      </c>
      <c r="E617" s="75" t="s">
        <v>259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 t="s">
        <v>38</v>
      </c>
      <c r="D618" s="169" t="s">
        <v>31</v>
      </c>
      <c r="E618" s="75" t="s">
        <v>259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 t="s">
        <v>38</v>
      </c>
      <c r="D619" s="169" t="s">
        <v>31</v>
      </c>
      <c r="E619" s="75" t="s">
        <v>259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 t="s">
        <v>38</v>
      </c>
      <c r="D620" s="169" t="s">
        <v>31</v>
      </c>
      <c r="E620" s="75" t="s">
        <v>259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263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261</v>
      </c>
      <c r="O621" s="74">
        <v>2354670</v>
      </c>
    </row>
    <row r="622" spans="1:15" ht="18" customHeight="1" x14ac:dyDescent="0.25">
      <c r="A622" s="168" t="s">
        <v>249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264</v>
      </c>
      <c r="O622" s="82">
        <f>IFERROR(O608+O621,"")</f>
        <v>3480730</v>
      </c>
    </row>
    <row r="623" spans="1:15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259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427</v>
      </c>
      <c r="J623" s="70" t="s">
        <v>146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259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259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259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259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259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259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259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259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259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259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259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260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261</v>
      </c>
      <c r="O635" s="74">
        <v>2774540</v>
      </c>
    </row>
    <row r="636" spans="1:15" ht="15" customHeight="1" x14ac:dyDescent="0.25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259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144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436</v>
      </c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259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259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259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259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259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259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259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259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259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259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259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263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261</v>
      </c>
      <c r="O648" s="74">
        <v>2128400</v>
      </c>
    </row>
    <row r="649" spans="1:15" ht="18" customHeight="1" x14ac:dyDescent="0.25">
      <c r="A649" s="168" t="s">
        <v>249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264</v>
      </c>
      <c r="O649" s="82">
        <f>IFERROR(O635+O648,"")</f>
        <v>4902940</v>
      </c>
    </row>
    <row r="650" spans="1:15" ht="15" customHeight="1" x14ac:dyDescent="0.25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259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 t="s">
        <v>29</v>
      </c>
      <c r="I650" s="61" t="s">
        <v>32</v>
      </c>
      <c r="J650" s="61" t="s">
        <v>144</v>
      </c>
      <c r="K650" s="65">
        <v>0.51736111111111116</v>
      </c>
      <c r="L650" s="65"/>
      <c r="M650" s="66">
        <f t="shared" ref="M650:M661" ca="1" si="141">IFERROR(IF(K650="","",IF(L650="",MOD(NOW()-K650,1),IF(L650&gt;=K650,L650-K650,L650+1-K650))),"")</f>
        <v>9.6175578706606757E-2</v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259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259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259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259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259</v>
      </c>
      <c r="F655" s="63">
        <v>0</v>
      </c>
      <c r="G655" s="69">
        <f t="shared" si="140"/>
        <v>0</v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259</v>
      </c>
      <c r="F656" s="63">
        <v>0</v>
      </c>
      <c r="G656" s="64">
        <f t="shared" si="140"/>
        <v>0</v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259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259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259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259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259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260</v>
      </c>
      <c r="B662" s="167"/>
      <c r="C662" s="167"/>
      <c r="D662" s="167"/>
      <c r="E662" s="167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9.6175578706606757E-2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263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8" t="s">
        <v>249</v>
      </c>
      <c r="B676" s="168"/>
      <c r="C676" s="168"/>
      <c r="D676" s="168"/>
      <c r="E676" s="168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9.6175578706606757E-2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260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263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8" t="s">
        <v>249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260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263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8" t="s">
        <v>249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260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263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8" t="s">
        <v>249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260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263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8" t="s">
        <v>249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260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263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8" t="s">
        <v>249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260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263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8" t="s">
        <v>249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0.49200891203508945</v>
      </c>
      <c r="R53" s="80" t="s">
        <v>311</v>
      </c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0.63089780092397718</v>
      </c>
      <c r="R54" s="2" t="s">
        <v>261</v>
      </c>
      <c r="S54" s="113">
        <v>352430</v>
      </c>
      <c r="T54" s="114"/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0.71562002314619999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8" t="s">
        <v>260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8" t="s">
        <v>263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8" t="s">
        <v>260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8" t="s">
        <v>263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8" t="s">
        <v>260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8" t="s">
        <v>263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8" t="s">
        <v>260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8" t="s">
        <v>263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261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274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261</v>
      </c>
      <c r="S567" s="74">
        <v>0</v>
      </c>
      <c r="T567" s="99">
        <f>IFERROR(J567,"")</f>
        <v>0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264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274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261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429</v>
      </c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136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170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259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261</v>
      </c>
      <c r="S594" s="74">
        <v>551160</v>
      </c>
      <c r="T594" s="99">
        <f>IFERROR(J594,"")</f>
        <v>115.74359999999999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264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208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261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422</v>
      </c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168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170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167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274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261</v>
      </c>
      <c r="S621" s="74">
        <v>508500</v>
      </c>
      <c r="T621" s="99">
        <f>IFERROR(J621,"")</f>
        <v>106.785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264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319</v>
      </c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170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168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261</v>
      </c>
      <c r="S635" s="74">
        <v>631780</v>
      </c>
      <c r="T635" s="99">
        <f>IFERROR(J635,"")</f>
        <v>132.6738</v>
      </c>
    </row>
    <row r="636" spans="1:20" ht="15" customHeight="1" x14ac:dyDescent="0.25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274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259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170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274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274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440</v>
      </c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274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439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274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274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274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274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274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274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274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261</v>
      </c>
      <c r="S648" s="74">
        <v>692440</v>
      </c>
      <c r="T648" s="99">
        <f>IFERROR(J648,"")</f>
        <v>145.41239999999996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264</v>
      </c>
      <c r="S649" s="82">
        <f>S635+S648</f>
        <v>1324220</v>
      </c>
      <c r="T649" s="118">
        <f>IFERROR(J649,"")</f>
        <v>278.08619999999996</v>
      </c>
    </row>
    <row r="650" spans="1:20" ht="15" customHeight="1" x14ac:dyDescent="0.25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274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439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0.32187002315185964</v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274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>
        <f t="shared" si="171"/>
        <v>0</v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274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274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274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274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>
        <f t="shared" si="171"/>
        <v>0</v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274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>
        <f t="shared" si="171"/>
        <v>0</v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274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274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274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274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274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0.32187002315185964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0.32187002315185964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0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8" t="s">
        <v>260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8" t="s">
        <v>260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261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259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259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261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264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261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369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136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259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261</v>
      </c>
      <c r="S594" s="74">
        <v>456490</v>
      </c>
      <c r="T594" s="99">
        <f>IFERROR(J594,"")</f>
        <v>95.862899999999996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264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312</v>
      </c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261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366</v>
      </c>
      <c r="S609" s="81"/>
    </row>
    <row r="610" spans="1:20" ht="15" customHeight="1" x14ac:dyDescent="0.25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177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 x14ac:dyDescent="0.25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423</v>
      </c>
      <c r="S614" s="81"/>
    </row>
    <row r="615" spans="1:20" ht="15" customHeight="1" x14ac:dyDescent="0.25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423</v>
      </c>
      <c r="S615" s="81"/>
    </row>
    <row r="616" spans="1:20" ht="15" customHeight="1" x14ac:dyDescent="0.25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423</v>
      </c>
      <c r="S616" s="81"/>
    </row>
    <row r="617" spans="1:20" ht="15" customHeight="1" x14ac:dyDescent="0.25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261</v>
      </c>
      <c r="S621" s="74">
        <v>399510</v>
      </c>
      <c r="T621" s="99">
        <f>IFERROR(J621,"")</f>
        <v>83.897099999999995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264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148</v>
      </c>
      <c r="N623" s="70" t="s">
        <v>426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351</v>
      </c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210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210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261</v>
      </c>
      <c r="S635" s="74">
        <v>290880</v>
      </c>
      <c r="T635" s="99">
        <f>IFERROR(J635,"")</f>
        <v>61.084799999999987</v>
      </c>
    </row>
    <row r="636" spans="1:20" ht="15" customHeight="1" x14ac:dyDescent="0.25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274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259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274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274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437</v>
      </c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274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274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208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274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274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274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439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274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274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274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261</v>
      </c>
      <c r="S648" s="74">
        <v>273070</v>
      </c>
      <c r="T648" s="99">
        <f>IFERROR(J648,"")</f>
        <v>57.344699999999989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264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 x14ac:dyDescent="0.25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274</v>
      </c>
      <c r="F650" s="101">
        <f>IFERROR(IF($D650="","",VLOOKUP($D650,Cadastro!$C$4:$E$7,3,FALSE())),"")</f>
        <v>0.35</v>
      </c>
      <c r="G650" s="89">
        <v>0</v>
      </c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>
        <f t="shared" ref="K650:K661" si="168">IF(G650="","",IF(E650="PC 17",G650*4.2,IF(E650="PC 19",G650*5,IF(E650="CB",G650*24,""))))</f>
        <v>0</v>
      </c>
      <c r="L650" s="61" t="s">
        <v>29</v>
      </c>
      <c r="M650" s="61"/>
      <c r="N650" s="61" t="s">
        <v>439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0.32187002315185964</v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274</v>
      </c>
      <c r="F651" s="88">
        <f>IFERROR(IF($D651="","",VLOOKUP($D651,Cadastro!$C$4:$E$7,3,FALSE())),"")</f>
        <v>0.35</v>
      </c>
      <c r="G651" s="89">
        <v>0</v>
      </c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>
        <f t="shared" si="168"/>
        <v>0</v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274</v>
      </c>
      <c r="F652" s="88">
        <f>IFERROR(IF($D652="","",VLOOKUP($D652,Cadastro!$C$4:$E$7,3,FALSE())),"")</f>
        <v>0.35</v>
      </c>
      <c r="G652" s="89">
        <v>0</v>
      </c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>
        <f t="shared" si="168"/>
        <v>0</v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274</v>
      </c>
      <c r="F653" s="88">
        <f>IFERROR(IF($D653="","",VLOOKUP($D653,Cadastro!$C$4:$E$7,3,FALSE())),"")</f>
        <v>0.35</v>
      </c>
      <c r="G653" s="89">
        <v>0</v>
      </c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>
        <f t="shared" si="168"/>
        <v>0</v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274</v>
      </c>
      <c r="F654" s="88">
        <f>IFERROR(IF($D654="","",VLOOKUP($D654,Cadastro!$C$4:$E$7,3,FALSE())),"")</f>
        <v>0.35</v>
      </c>
      <c r="G654" s="89">
        <v>0</v>
      </c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>
        <f t="shared" si="168"/>
        <v>0</v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274</v>
      </c>
      <c r="F655" s="88">
        <f>IFERROR(IF($D655="","",VLOOKUP($D655,Cadastro!$C$4:$E$7,3,FALSE())),"")</f>
        <v>0.35</v>
      </c>
      <c r="G655" s="89">
        <v>0</v>
      </c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>
        <f t="shared" si="168"/>
        <v>0</v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274</v>
      </c>
      <c r="F656" s="88">
        <f>IFERROR(IF($D656="","",VLOOKUP($D656,Cadastro!$C$4:$E$7,3,FALSE())),"")</f>
        <v>0.35</v>
      </c>
      <c r="G656" s="89">
        <v>0</v>
      </c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>
        <f t="shared" si="168"/>
        <v>0</v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274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274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274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274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274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0.32187002315185964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0.32187002315185964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301</v>
      </c>
      <c r="I1" s="86" t="s">
        <v>22</v>
      </c>
      <c r="J1" s="86" t="s">
        <v>302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302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8" t="s">
        <v>260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8" t="s">
        <v>263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9" t="s">
        <v>249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8" t="s">
        <v>260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8" t="s">
        <v>263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9" t="s">
        <v>249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8" t="s">
        <v>260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8" t="s">
        <v>263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9" t="s">
        <v>249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8" t="s">
        <v>260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8" t="s">
        <v>263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9" t="s">
        <v>249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8" t="s">
        <v>260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8" t="s">
        <v>263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9" t="s">
        <v>249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8" t="s">
        <v>263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9" t="s">
        <v>249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8" t="s">
        <v>260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8" t="s">
        <v>263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9" t="s">
        <v>249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8" t="s">
        <v>260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8" t="s">
        <v>263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9" t="s">
        <v>249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8" t="s">
        <v>260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8" t="s">
        <v>263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9" t="s">
        <v>249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8" t="s">
        <v>260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8" t="s">
        <v>263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9" t="s">
        <v>249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8" t="s">
        <v>260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8" t="s">
        <v>263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9" t="s">
        <v>249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8" t="s">
        <v>260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8" t="s">
        <v>263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9" t="s">
        <v>249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8" t="s">
        <v>260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8" t="s">
        <v>263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9" t="s">
        <v>249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8" t="s">
        <v>263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9" t="s">
        <v>249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8" t="s">
        <v>260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8" t="s">
        <v>263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9" t="s">
        <v>249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8" t="s">
        <v>260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8" t="s">
        <v>263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9" t="s">
        <v>249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8" t="s">
        <v>260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8" t="s">
        <v>263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9" t="s">
        <v>249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8" t="s">
        <v>260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8" t="s">
        <v>263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9" t="s">
        <v>249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8" t="s">
        <v>260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8" t="s">
        <v>263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9" t="s">
        <v>249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8" t="s">
        <v>260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8" t="s">
        <v>263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9" t="s">
        <v>249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8" t="s">
        <v>260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261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274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259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274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274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274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274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274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274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274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274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274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274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8" t="s">
        <v>263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261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9" t="s">
        <v>249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264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274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274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274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274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259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274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274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274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274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274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274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274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8" t="s">
        <v>260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261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274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274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420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274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421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274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274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274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368</v>
      </c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274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142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274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274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274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274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274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8" t="s">
        <v>263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261</v>
      </c>
      <c r="S594" s="74">
        <v>985680</v>
      </c>
      <c r="T594" s="99">
        <f>IFERROR(J594,"")</f>
        <v>206.99279999999996</v>
      </c>
    </row>
    <row r="595" spans="1:20" ht="18" customHeight="1" x14ac:dyDescent="0.25">
      <c r="A595" s="159" t="s">
        <v>249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264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25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274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173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274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274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274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274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274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274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274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274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274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274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274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8" t="s">
        <v>260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261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25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274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155">
        <f>IF(G608="","",IF(E609="PC 17",G608*4.2,IF(E609="PC 19",G608*5,IF(E609="CB",G608*24,""))))</f>
        <v>252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368</v>
      </c>
      <c r="S609" s="133"/>
    </row>
    <row r="610" spans="1:20" ht="15" customHeight="1" x14ac:dyDescent="0.25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274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401</v>
      </c>
      <c r="S610" s="133"/>
    </row>
    <row r="611" spans="1:20" ht="15" customHeight="1" x14ac:dyDescent="0.25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274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 x14ac:dyDescent="0.25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274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140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424</v>
      </c>
      <c r="S612" s="133"/>
    </row>
    <row r="613" spans="1:20" ht="15" customHeight="1" x14ac:dyDescent="0.25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274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418</v>
      </c>
      <c r="S613" s="133"/>
    </row>
    <row r="614" spans="1:20" ht="15" customHeight="1" x14ac:dyDescent="0.25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274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173</v>
      </c>
      <c r="N614" s="61" t="s">
        <v>195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 x14ac:dyDescent="0.25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274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 x14ac:dyDescent="0.25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274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274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274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274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259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 x14ac:dyDescent="0.25">
      <c r="A621" s="158" t="s">
        <v>263</v>
      </c>
      <c r="B621" s="158"/>
      <c r="C621" s="158"/>
      <c r="D621" s="158"/>
      <c r="E621" s="158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>
        <f>SUM(K609:K620)</f>
        <v>704.4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261</v>
      </c>
      <c r="S621" s="74">
        <v>715660</v>
      </c>
      <c r="T621" s="99">
        <f>IFERROR(J621,"")</f>
        <v>143.63866194690266</v>
      </c>
    </row>
    <row r="622" spans="1:20" ht="18" customHeight="1" x14ac:dyDescent="0.25">
      <c r="A622" s="159" t="s">
        <v>249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>
        <f>K608+K621</f>
        <v>956.4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264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 x14ac:dyDescent="0.25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274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173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274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167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428</v>
      </c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274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274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274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274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274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274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274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274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274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274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8" t="s">
        <v>260</v>
      </c>
      <c r="B635" s="158"/>
      <c r="C635" s="158"/>
      <c r="D635" s="158"/>
      <c r="E635" s="158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261</v>
      </c>
      <c r="S635" s="74">
        <v>1044100</v>
      </c>
      <c r="T635" s="99">
        <f>IFERROR(J635,"")</f>
        <v>219.26100000000002</v>
      </c>
    </row>
    <row r="636" spans="1:20" ht="15" customHeight="1" x14ac:dyDescent="0.25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274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173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259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236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434</v>
      </c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274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173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435</v>
      </c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274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173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274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438</v>
      </c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274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439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274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274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274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274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274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274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8" t="s">
        <v>263</v>
      </c>
      <c r="B648" s="158"/>
      <c r="C648" s="158"/>
      <c r="D648" s="158"/>
      <c r="E648" s="158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261</v>
      </c>
      <c r="S648" s="74">
        <v>729520</v>
      </c>
      <c r="T648" s="99">
        <f>IFERROR(J648,"")</f>
        <v>153.19919999999999</v>
      </c>
    </row>
    <row r="649" spans="1:20" ht="18" customHeight="1" x14ac:dyDescent="0.25">
      <c r="A649" s="159" t="s">
        <v>249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264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 x14ac:dyDescent="0.25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274</v>
      </c>
      <c r="F650" s="101">
        <f>IFERROR(IF($D650="","",VLOOKUP($D650,Cadastro!$C$4:$E$7,3,FALSE())),"")</f>
        <v>0.35</v>
      </c>
      <c r="G650" s="89">
        <v>0</v>
      </c>
      <c r="H650" s="101">
        <f>IFERROR(IF($G650="","",$G650*$S$662/$G$662/Cadastro!$E$33),"")</f>
        <v>0</v>
      </c>
      <c r="I650" s="102">
        <f>IFERROR(IF($D650="","",VLOOKUP($D650,Cadastro!$C$4:$G$7,5,FALSE())),"")</f>
        <v>0.6</v>
      </c>
      <c r="J650" s="103">
        <f t="shared" ref="J650:J661" si="170">IFERROR(IF($H650="","",$H650*$F650*$I650),"")</f>
        <v>0</v>
      </c>
      <c r="K650" s="64">
        <f t="shared" ref="K650:K661" si="171">IF(G650="","",IF(E650="PC 17",G650*4.2,IF(E650="PC 19",G650*5,IF(E650="CB",G650*24,""))))</f>
        <v>0</v>
      </c>
      <c r="L650" s="61" t="s">
        <v>29</v>
      </c>
      <c r="M650" s="61"/>
      <c r="N650" s="61" t="s">
        <v>439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274</v>
      </c>
      <c r="F651" s="88">
        <f>IFERROR(IF($D651="","",VLOOKUP($D651,Cadastro!$C$4:$E$7,3,FALSE())),"")</f>
        <v>0.35</v>
      </c>
      <c r="G651" s="89">
        <v>0</v>
      </c>
      <c r="H651" s="88">
        <f>IFERROR(IF($G651="","",$G651*$S$662/$G$662/Cadastro!$E$33),"")</f>
        <v>0</v>
      </c>
      <c r="I651" s="90">
        <f>IFERROR(IF($D651="","",VLOOKUP($D651,Cadastro!$C$4:$G$7,5,FALSE())),"")</f>
        <v>0.6</v>
      </c>
      <c r="J651" s="91">
        <f t="shared" si="170"/>
        <v>0</v>
      </c>
      <c r="K651" s="69">
        <f t="shared" si="171"/>
        <v>0</v>
      </c>
      <c r="L651" s="70" t="s">
        <v>29</v>
      </c>
      <c r="M651" s="70" t="s">
        <v>168</v>
      </c>
      <c r="N651" s="70" t="s">
        <v>83</v>
      </c>
      <c r="O651" s="65">
        <v>0.56041666666666667</v>
      </c>
      <c r="P651" s="65">
        <v>0.57013888888888886</v>
      </c>
      <c r="Q651" s="71">
        <f t="shared" ca="1" si="172"/>
        <v>9.7222222222221877E-3</v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274</v>
      </c>
      <c r="F652" s="88">
        <f>IFERROR(IF($D652="","",VLOOKUP($D652,Cadastro!$C$4:$E$7,3,FALSE())),"")</f>
        <v>0.35</v>
      </c>
      <c r="G652" s="89">
        <v>0</v>
      </c>
      <c r="H652" s="88">
        <f>IFERROR(IF($G652="","",$G652*$S$662/$G$662/Cadastro!$E$33),"")</f>
        <v>0</v>
      </c>
      <c r="I652" s="90">
        <f>IFERROR(IF($D652="","",VLOOKUP($D652,Cadastro!$C$4:$G$7,5,FALSE())),"")</f>
        <v>0.6</v>
      </c>
      <c r="J652" s="91">
        <f t="shared" si="170"/>
        <v>0</v>
      </c>
      <c r="K652" s="69">
        <f t="shared" si="171"/>
        <v>0</v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274</v>
      </c>
      <c r="F653" s="88">
        <f>IFERROR(IF($D653="","",VLOOKUP($D653,Cadastro!$C$4:$E$7,3,FALSE())),"")</f>
        <v>0.35</v>
      </c>
      <c r="G653" s="89">
        <v>0</v>
      </c>
      <c r="H653" s="88">
        <f>IFERROR(IF($G653="","",$G653*$S$662/$G$662/Cadastro!$E$33),"")</f>
        <v>0</v>
      </c>
      <c r="I653" s="90">
        <f>IFERROR(IF($D653="","",VLOOKUP($D653,Cadastro!$C$4:$G$7,5,FALSE())),"")</f>
        <v>0.6</v>
      </c>
      <c r="J653" s="91">
        <f t="shared" si="170"/>
        <v>0</v>
      </c>
      <c r="K653" s="69">
        <f t="shared" si="171"/>
        <v>0</v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274</v>
      </c>
      <c r="F654" s="88">
        <f>IFERROR(IF($D654="","",VLOOKUP($D654,Cadastro!$C$4:$E$7,3,FALSE())),"")</f>
        <v>0.35</v>
      </c>
      <c r="G654" s="89">
        <v>0</v>
      </c>
      <c r="H654" s="88">
        <f>IFERROR(IF($G654="","",$G654*$S$662/$G$662/Cadastro!$E$33),"")</f>
        <v>0</v>
      </c>
      <c r="I654" s="90">
        <f>IFERROR(IF($D654="","",VLOOKUP($D654,Cadastro!$C$4:$G$7,5,FALSE())),"")</f>
        <v>0.6</v>
      </c>
      <c r="J654" s="91">
        <f t="shared" si="170"/>
        <v>0</v>
      </c>
      <c r="K654" s="64">
        <f t="shared" si="171"/>
        <v>0</v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274</v>
      </c>
      <c r="F655" s="88">
        <f>IFERROR(IF($D655="","",VLOOKUP($D655,Cadastro!$C$4:$E$7,3,FALSE())),"")</f>
        <v>0.35</v>
      </c>
      <c r="G655" s="89">
        <v>24</v>
      </c>
      <c r="H655" s="88">
        <f>IFERROR(IF($G655="","",$G655*$S$662/$G$662/Cadastro!$E$33),"")</f>
        <v>0</v>
      </c>
      <c r="I655" s="90">
        <f>IFERROR(IF($D655="","",VLOOKUP($D655,Cadastro!$C$4:$G$7,5,FALSE())),"")</f>
        <v>0.6</v>
      </c>
      <c r="J655" s="91">
        <f t="shared" si="170"/>
        <v>0</v>
      </c>
      <c r="K655" s="69">
        <f t="shared" si="171"/>
        <v>100.80000000000001</v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259</v>
      </c>
      <c r="F656" s="88">
        <f>IFERROR(IF($D656="","",VLOOKUP($D656,Cadastro!$C$4:$E$7,3,FALSE())),"")</f>
        <v>0.35</v>
      </c>
      <c r="G656" s="89">
        <v>13</v>
      </c>
      <c r="H656" s="88">
        <f>IFERROR(IF($G656="","",$G656*$S$662/$G$662/Cadastro!$E$33),"")</f>
        <v>0</v>
      </c>
      <c r="I656" s="90">
        <f>IFERROR(IF($D656="","",VLOOKUP($D656,Cadastro!$C$4:$G$7,5,FALSE())),"")</f>
        <v>0.6</v>
      </c>
      <c r="J656" s="91">
        <f t="shared" si="170"/>
        <v>0</v>
      </c>
      <c r="K656" s="64">
        <f t="shared" si="171"/>
        <v>65</v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274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274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274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274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274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8" t="s">
        <v>260</v>
      </c>
      <c r="B662" s="158"/>
      <c r="C662" s="158"/>
      <c r="D662" s="158"/>
      <c r="E662" s="158"/>
      <c r="F662" s="95"/>
      <c r="G662" s="96">
        <f>SUM(G650:G661)</f>
        <v>37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165.8</v>
      </c>
      <c r="L662" s="72"/>
      <c r="M662" s="72"/>
      <c r="N662" s="72"/>
      <c r="O662" s="134"/>
      <c r="P662" s="134"/>
      <c r="Q662" s="73">
        <f ca="1">IFERROR(SUM(Q650:Q661),"")</f>
        <v>0.2180555555555555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8" t="s">
        <v>263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9" t="s">
        <v>249</v>
      </c>
      <c r="B676" s="159"/>
      <c r="C676" s="159"/>
      <c r="D676" s="159"/>
      <c r="E676" s="159"/>
      <c r="F676" s="108"/>
      <c r="G676" s="109">
        <f>G662+G675</f>
        <v>37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165.8</v>
      </c>
      <c r="L676" s="76"/>
      <c r="M676" s="76"/>
      <c r="N676" s="76"/>
      <c r="O676" s="135"/>
      <c r="P676" s="135"/>
      <c r="Q676" s="77">
        <f ca="1">IFERROR(Q662+Q675,"")</f>
        <v>0.2180555555555555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8" t="s">
        <v>260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8" t="s">
        <v>263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9" t="s">
        <v>249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8" t="s">
        <v>260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8" t="s">
        <v>263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9" t="s">
        <v>249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8" t="s">
        <v>260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8" t="s">
        <v>263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9" t="s">
        <v>249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8" t="s">
        <v>260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8" t="s">
        <v>263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9" t="s">
        <v>249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8" t="s">
        <v>260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8" t="s">
        <v>263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9" t="s">
        <v>249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8" t="s">
        <v>260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8" t="s">
        <v>263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9" t="s">
        <v>249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2026-08-25T18:44:30Z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