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59" documentId="8_{C51EB6CB-002B-4D6B-B68F-DDEBDB4460C0}" xr6:coauthVersionLast="47" xr6:coauthVersionMax="47" xr10:uidLastSave="{6B0B4DC8-D896-4C9D-978F-56FBA0B6093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<sst xmlns="http://schemas.openxmlformats.org/spreadsheetml/2006/main" count="4700" uniqueCount="316">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</sst>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03" activePane="bottomLeft" state="frozen"/>
      <selection pane="bottomLeft" activeCell="L235" sqref="L2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0.12997777777491137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0.26886666666380027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0.35358888888602258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134</v>
      </c>
      <c r="G243" s="36">
        <f>SUM(G231:G242)</f>
        <v>647.6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268</v>
      </c>
      <c r="G244" s="40">
        <f>G230+G243</f>
        <v>1214.4000000000001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42" sqref="F2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0.52719999999681022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0.58553333333014357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/>
      <c r="M231" s="35">
        <f t="shared" ref="M231:M242" ca="1" si="52">IFERROR(IF(K231="","",IF(L231="",MOD(NOW()-K231,1),IF(L231&gt;=K231,L231-K231,L231+1-K231))),"")</f>
        <v>1.4005555553012528E-2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1.4005555553012528E-2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0.5995388888831561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42" sqref="F2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2026-08-10T10:02:16Z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