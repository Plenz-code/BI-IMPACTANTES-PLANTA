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24" documentId="8_{C51EB6CB-002B-4D6B-B68F-DDEBDB4460C0}" xr6:coauthVersionLast="47" xr6:coauthVersionMax="47" xr10:uidLastSave="{CAD55506-1C34-442D-884F-29375CD6026C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<sst xmlns="http://schemas.openxmlformats.org/spreadsheetml/2006/main" count="2453" uniqueCount="261">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</sst>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 t="shared" si="0"/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F84" sqref="F8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35</v>
      </c>
      <c r="G95" s="36">
        <f>SUM(G83:G94)</f>
        <v>175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35</v>
      </c>
      <c r="G109" s="40">
        <f>G95+G108</f>
        <v>175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66" activePane="bottomLeft" state="frozen"/>
      <selection pane="bottomLeft" activeCell="L84" sqref="L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238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238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238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238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0.23921817129303236</v>
      </c>
      <c r="N53" s="46" t="s">
        <v>247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0.37810706018192125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0.46282928240414356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239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238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238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238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249</v>
      </c>
      <c r="E83" s="59" t="s">
        <v>238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12</v>
      </c>
      <c r="G95" s="36">
        <f>SUM(G83:G94)</f>
        <v>50.400000000000006</v>
      </c>
      <c r="H95" s="37"/>
      <c r="I95" s="37"/>
      <c r="J95" s="37"/>
      <c r="K95" s="37"/>
      <c r="L95" s="37"/>
      <c r="M95" s="38">
        <f ca="1">IFERROR(SUM(M83:M94),"")</f>
        <v>1.9444444444444431E-2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12</v>
      </c>
      <c r="G109" s="40">
        <f>G95+G108</f>
        <v>50.400000000000006</v>
      </c>
      <c r="H109" s="41"/>
      <c r="I109" s="41"/>
      <c r="J109" s="41"/>
      <c r="K109" s="41"/>
      <c r="L109" s="41"/>
      <c r="M109" s="42">
        <f ca="1">IFERROR(M95+M108,"")</f>
        <v>1.9444444444444431E-2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54" zoomScale="50" zoomScaleNormal="50" workbookViewId="0">
      <selection activeCell="F84" sqref="F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238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238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238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238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/>
      <c r="M83" s="35">
        <f t="shared" ref="M83:M94" ca="1" si="19">IFERROR(IF(K83="","",IF(L83="",MOD(NOW()-K83,1),IF(L83&gt;=K83,L83-K83,L83+1-K83))),"")</f>
        <v>2.9495949071133509E-2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7</v>
      </c>
      <c r="G95" s="36">
        <f>SUM(G83:G94)</f>
        <v>29.400000000000002</v>
      </c>
      <c r="H95" s="37"/>
      <c r="I95" s="37"/>
      <c r="J95" s="37"/>
      <c r="K95" s="37"/>
      <c r="L95" s="37"/>
      <c r="M95" s="38">
        <f ca="1">IFERROR(SUM(M83:M94),"")</f>
        <v>2.9495949071133509E-2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</v>
      </c>
      <c r="G109" s="40">
        <f>G95+G108</f>
        <v>29.400000000000002</v>
      </c>
      <c r="H109" s="41"/>
      <c r="I109" s="41"/>
      <c r="J109" s="41"/>
      <c r="K109" s="41"/>
      <c r="L109" s="41"/>
      <c r="M109" s="42">
        <f ca="1">IFERROR(M95+M108,"")</f>
        <v>2.9495949071133509E-2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65" activePane="bottomLeft" state="frozen"/>
      <selection pane="bottomLeft" activeCell="F84" sqref="F8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258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259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15</v>
      </c>
      <c r="G83" s="28">
        <f t="shared" ref="G83:G94" si="18">IF(F83="","",IF(E83="PC 17",F83*4.2,IF(E83="PC 19",F83*5,IF(E83="CB",F83*24,""))))</f>
        <v>63</v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15</v>
      </c>
      <c r="G95" s="36">
        <f>SUM(G83:G94)</f>
        <v>63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15</v>
      </c>
      <c r="G109" s="40">
        <f>G95+G108</f>
        <v>63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2026-08-04T12:41:33Z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