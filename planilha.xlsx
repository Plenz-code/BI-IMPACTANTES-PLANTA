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90" documentId="8_{C51EB6CB-002B-4D6B-B68F-DDEBDB4460C0}" xr6:coauthVersionLast="47" xr6:coauthVersionMax="47" xr10:uidLastSave="{D5060012-4D42-45EC-986A-9366C4DBFA44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<sst xmlns="http://schemas.openxmlformats.org/spreadsheetml/2006/main" count="2962" uniqueCount="273">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</sst>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K123" sqref="K1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I123" sqref="I1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0.71117037037038244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0.85005925925927128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0.93478148148149365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/>
      <c r="G123" s="34" t="str">
        <f t="shared" ref="G123:G134" si="27">IF(F123="","",IF(E123="PC 17",F123*4.2,IF(E123="PC 19",F123*5,IF(E123="CB",F123*24,""))))</f>
        <v/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1.1805555555555625E-2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0.10694444444444451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J123" sqref="J1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0.55422592593095032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0.60144814815317249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0.75769814815317249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 t="s">
        <v>20</v>
      </c>
      <c r="I123" s="33" t="s">
        <v>154</v>
      </c>
      <c r="J123" s="33" t="s">
        <v>74</v>
      </c>
      <c r="K123" s="29">
        <v>0.83194444444444449</v>
      </c>
      <c r="L123" s="29"/>
      <c r="M123" s="35">
        <f t="shared" ref="M123:M134" ca="1" si="28">IFERROR(IF(K123="","",IF(L123="",MOD(NOW()-K123,1),IF(L123&gt;=K123,L123-K123,L123+1-K123))),"")</f>
        <v>7.5370370905147865E-4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7.5370370905147865E-4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7.5370370905147865E-4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0" activePane="bottomLeft" state="frozen"/>
      <selection pane="bottomLeft" activeCell="E131" sqref="E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2026-08-05T23:59:05Z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