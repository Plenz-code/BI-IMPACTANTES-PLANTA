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" documentId="13_ncr:1_{A6DBCFB4-28D9-4249-9038-216934055CA6}" xr6:coauthVersionLast="47" xr6:coauthVersionMax="47" xr10:uidLastSave="{F4DB20E0-49F6-437C-A3BE-359F4F0FC06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<sst xmlns="http://schemas.openxmlformats.org/spreadsheetml/2006/main" count="8621" uniqueCount="398">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</sst>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10" sqref="E51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0.10024467592302244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0.23913356481191017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0.32385578703413298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/>
      <c r="H510" s="88" t="str">
        <f>IFERROR(IF($G510="","",$G510*$S$513/$G$513/Cadastro!$E$33),"")</f>
        <v/>
      </c>
      <c r="I510" s="90">
        <f>IFERROR(IF($D510="","",VLOOKUP($D510,Cadastro!$C$4:$G$7,5,FALSE())),"")</f>
        <v>0.6</v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407.40000000000003</v>
      </c>
      <c r="L513" s="72"/>
      <c r="M513" s="72"/>
      <c r="N513" s="72"/>
      <c r="O513" s="72"/>
      <c r="P513" s="72"/>
      <c r="Q513" s="73">
        <f ca="1">IFERROR(SUM(Q501:Q512),"")</f>
        <v>6.9444444444444295E-2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1012.6000000000001</v>
      </c>
      <c r="L514" s="76"/>
      <c r="M514" s="76"/>
      <c r="N514" s="76"/>
      <c r="O514" s="76"/>
      <c r="P514" s="76"/>
      <c r="Q514" s="77">
        <f ca="1">IFERROR(Q500+Q513,"")</f>
        <v>0.16111111111111093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10" sqref="E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/>
      <c r="H510" s="88" t="str">
        <f>IFERROR(IF($G510="","",$G510*$S$513/$G$513/Cadastro!$E$33),"")</f>
        <v/>
      </c>
      <c r="I510" s="90">
        <f>IFERROR(IF($D510="","",VLOOKUP($D510,Cadastro!$C$4:$G$7,5,FALSE())),"")</f>
        <v>0.6</v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260.39999999999998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566.79999999999995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10" sqref="E51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5.1057870368822478E-3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/>
      <c r="H510" s="88" t="str">
        <f>IFERROR(IF($G510="","",$G510*$S$513/$G$513/Cadastro!$E$33),"")</f>
        <v/>
      </c>
      <c r="I510" s="90">
        <f>IFERROR(IF($D510="","",VLOOKUP($D510,Cadastro!$C$4:$G$7,5,FALSE())),"")</f>
        <v>0.6</v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7.246689814799348E-2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0.15718912037021501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