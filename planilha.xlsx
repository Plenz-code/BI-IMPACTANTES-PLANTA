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25" documentId="13_ncr:1_{0A10D8D4-8450-4366-8075-B53B08E6B7EA}" xr6:coauthVersionLast="47" xr6:coauthVersionMax="47" xr10:uidLastSave="{B394C9EA-5F26-4FB4-AACB-7A36570A5CDC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7" i="6" l="1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<sst xmlns="http://schemas.openxmlformats.org/spreadsheetml/2006/main" count="6151" uniqueCount="341">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</sst>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240</v>
      </c>
      <c r="G351" s="36">
        <f>SUM(G339:G350)</f>
        <v>1200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472</v>
      </c>
      <c r="G352" s="40">
        <f>G338+G351</f>
        <v>2360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N350" sqref="N3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0.10610243055270985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0.24499131944159874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0.32971354166382105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/>
      <c r="Q347" s="35">
        <f t="shared" ca="1" si="80"/>
        <v>2.6302083351765759E-3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144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604.79999999999995</v>
      </c>
      <c r="L351" s="37"/>
      <c r="M351" s="37"/>
      <c r="N351" s="37"/>
      <c r="O351" s="37"/>
      <c r="P351" s="37"/>
      <c r="Q351" s="38">
        <f ca="1">IFERROR(SUM(Q339:Q350),"")</f>
        <v>0.13040798611295451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181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777.8</v>
      </c>
      <c r="L352" s="41"/>
      <c r="M352" s="41"/>
      <c r="N352" s="41"/>
      <c r="O352" s="41"/>
      <c r="P352" s="41"/>
      <c r="Q352" s="42">
        <f ca="1">IFERROR(Q338+Q351,"")</f>
        <v>0.47276909722406552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0" activePane="bottomLeft" state="frozen"/>
      <selection pane="bottomLeft" activeCell="M341" sqref="M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/>
      <c r="Q341" s="35">
        <f t="shared" ca="1" si="78"/>
        <v>2.6302083351765759E-3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52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218.40000000000003</v>
      </c>
      <c r="L351" s="37"/>
      <c r="M351" s="37"/>
      <c r="N351" s="37"/>
      <c r="O351" s="37"/>
      <c r="P351" s="37"/>
      <c r="Q351" s="38">
        <f ca="1">IFERROR(SUM(Q339:Q350),"")</f>
        <v>1.6519097224065443E-2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113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515.40000000000009</v>
      </c>
      <c r="L352" s="41"/>
      <c r="M352" s="41"/>
      <c r="N352" s="41"/>
      <c r="O352" s="41"/>
      <c r="P352" s="41"/>
      <c r="Q352" s="42">
        <f ca="1">IFERROR(Q338+Q351,"")</f>
        <v>0.25054687500184314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15" activePane="bottomLeft" state="frozen"/>
      <selection pane="bottomLeft" activeCell="M347" sqref="M34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 t="s">
        <v>25</v>
      </c>
      <c r="M347" s="33" t="s">
        <v>62</v>
      </c>
      <c r="N347" s="33"/>
      <c r="O347" s="29">
        <v>0.22708333333333333</v>
      </c>
      <c r="P347" s="29"/>
      <c r="Q347" s="35">
        <f t="shared" ca="1" si="80"/>
        <v>5.4687500232830644E-4</v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213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894.6</v>
      </c>
      <c r="L351" s="37"/>
      <c r="M351" s="37"/>
      <c r="N351" s="37"/>
      <c r="O351" s="61"/>
      <c r="P351" s="61"/>
      <c r="Q351" s="38">
        <f ca="1">IFERROR(SUM(Q339:Q350),"")</f>
        <v>6.7213541668994958E-2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430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1862.8000000000002</v>
      </c>
      <c r="L352" s="41"/>
      <c r="M352" s="41"/>
      <c r="N352" s="41"/>
      <c r="O352" s="63"/>
      <c r="P352" s="63"/>
      <c r="Q352" s="42">
        <f ca="1">IFERROR(Q338+Q351,"")</f>
        <v>0.10818576389121709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2026-08-14T09:27:49Z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