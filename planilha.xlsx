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2" documentId="8_{AF585B22-221D-4780-BB9C-493D365A6A02}" xr6:coauthVersionLast="47" xr6:coauthVersionMax="47" xr10:uidLastSave="{E8AFDE63-7431-4E9A-8A2A-6712A158EE03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<sst xmlns="http://schemas.openxmlformats.org/spreadsheetml/2006/main" count="1516" uniqueCount="210">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</sst>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351740</v>
      </c>
      <c r="E5" s="11">
        <f>IFERROR('Linha 2'!O55,"")</f>
        <v>0</v>
      </c>
      <c r="F5" s="11">
        <f>IFERROR('Linha 3'!O55,"")</f>
        <v>0</v>
      </c>
      <c r="G5" s="12">
        <f t="shared" si="0"/>
        <v>351740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1372200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2502530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L31" sqref="L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0.4597222222222222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8" activePane="bottomLeft" state="frozen"/>
      <selection pane="bottomLeft" activeCell="O42" sqref="O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88</v>
      </c>
      <c r="G55" s="40">
        <f>G41+G54</f>
        <v>369.6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0" activePane="bottomLeft" state="frozen"/>
      <selection pane="bottomLeft" activeCell="F41" sqref="F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71</v>
      </c>
      <c r="G55" s="40">
        <f>G41+G54</f>
        <v>298.20000000000005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1" sqref="F4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</v>
      </c>
      <c r="H55" s="41"/>
      <c r="I55" s="41"/>
      <c r="J55" s="41"/>
      <c r="K55" s="63"/>
      <c r="L55" s="63"/>
      <c r="M55" s="42">
        <f ca="1">IFERROR(M41+M54,"")</f>
        <v>0.22430555555555565</v>
      </c>
      <c r="N55" s="40" t="s">
        <v>197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2026-07-02T22:38:30Z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