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628" documentId="8_{C51EB6CB-002B-4D6B-B68F-DDEBDB4460C0}" xr6:coauthVersionLast="47" xr6:coauthVersionMax="47" xr10:uidLastSave="{74D8EDCF-9921-4DB0-97A6-C09DA0699517}"/>
  <bookViews>
    <workbookView xWindow="-120" yWindow="-12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<sst xmlns="http://schemas.openxmlformats.org/spreadsheetml/2006/main" count="5495" uniqueCount="334">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</sst>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1583020</v>
      </c>
      <c r="D14" s="8">
        <f>IFERROR('Linha 1'!O298,"")</f>
        <v>571950</v>
      </c>
      <c r="E14" s="8">
        <f>IFERROR('Linha 2'!O298,"")</f>
        <v>373120</v>
      </c>
      <c r="F14" s="8">
        <f>IFERROR('Linha 3'!O298,"")</f>
        <v>762600</v>
      </c>
      <c r="G14" s="9">
        <f t="shared" si="0"/>
        <v>1707670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35714910</v>
      </c>
      <c r="D35" s="13">
        <f>IFERROR(SUM(D4:D34),"")</f>
        <v>11855370</v>
      </c>
      <c r="E35" s="13">
        <f>IFERROR(SUM(E4:E34),"")</f>
        <v>5810400</v>
      </c>
      <c r="F35" s="13">
        <f>IFERROR(SUM(F4:F34),"")</f>
        <v>14648740</v>
      </c>
      <c r="G35" s="13">
        <f>IFERROR(SUM(G4:G34),"")</f>
        <v>32314510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7" activePane="bottomLeft" state="frozen"/>
      <selection pane="bottomLeft" activeCell="F285" sqref="F285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263</v>
      </c>
      <c r="G298" s="40">
        <f>G284+G297</f>
        <v>1315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1583020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65" activePane="bottomLeft" state="frozen"/>
      <selection pane="bottomLeft"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0.67783784721541451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0.81672673610430335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0.90144895832652572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122</v>
      </c>
      <c r="G298" s="40">
        <f>G284+G297</f>
        <v>488.6</v>
      </c>
      <c r="H298" s="41"/>
      <c r="I298" s="41"/>
      <c r="J298" s="41"/>
      <c r="K298" s="41"/>
      <c r="L298" s="41"/>
      <c r="M298" s="42">
        <f ca="1">IFERROR(M284+M297,"")</f>
        <v>0.1208333333333334</v>
      </c>
      <c r="N298" s="40" t="s">
        <v>240</v>
      </c>
      <c r="O298" s="83">
        <f>IFERROR(O284+O297,"")</f>
        <v>571950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5" sqref="F28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0.60492118055117317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0.66672673610672872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0.72783784721783995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95</v>
      </c>
      <c r="G298" s="40">
        <f>G284+G297</f>
        <v>407</v>
      </c>
      <c r="H298" s="41"/>
      <c r="I298" s="41"/>
      <c r="J298" s="41"/>
      <c r="K298" s="41"/>
      <c r="L298" s="41"/>
      <c r="M298" s="42">
        <f ca="1">IFERROR(M284+M297,"")</f>
        <v>0.13680555555555557</v>
      </c>
      <c r="N298" s="40" t="s">
        <v>240</v>
      </c>
      <c r="O298" s="48">
        <f>IFERROR(O284+O297,"")</f>
        <v>373120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85" zoomScaleNormal="85" workbookViewId="0">
      <pane ySplit="1" topLeftCell="A266" activePane="bottomLeft" state="frozen"/>
      <selection pane="bottomLeft" activeCell="E296" sqref="E296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333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234</v>
      </c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234</v>
      </c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234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234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172</v>
      </c>
      <c r="G298" s="40">
        <f>G284+G297</f>
        <v>722.4</v>
      </c>
      <c r="H298" s="41"/>
      <c r="I298" s="41"/>
      <c r="J298" s="41"/>
      <c r="K298" s="63"/>
      <c r="L298" s="63"/>
      <c r="M298" s="42">
        <f ca="1">IFERROR(M284+M297,"")</f>
        <v>7.2222222222222188E-2</v>
      </c>
      <c r="N298" s="40" t="s">
        <v>240</v>
      </c>
      <c r="O298" s="48">
        <f>IFERROR(O284+O297,"")</f>
        <v>762600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2026-08-11T23:11:39Z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