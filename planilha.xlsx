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40" documentId="8_{AF585B22-221D-4780-BB9C-493D365A6A02}" xr6:coauthVersionLast="47" xr6:coauthVersionMax="47" xr10:uidLastSave="{CCF7958E-91B2-4725-86B8-D093E8D726DF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<sst xmlns="http://schemas.openxmlformats.org/spreadsheetml/2006/main" count="6145" uniqueCount="315">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</sst>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5" sqref="F37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130</v>
      </c>
      <c r="G378" s="36">
        <f>SUM(G366:G377)</f>
        <v>650</v>
      </c>
      <c r="H378" s="37"/>
      <c r="I378" s="37"/>
      <c r="J378" s="37"/>
      <c r="K378" s="37"/>
      <c r="L378" s="37"/>
      <c r="M378" s="38">
        <f ca="1">IFERROR(SUM(M366:M377),"")</f>
        <v>1.9444444444444445E-2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405</v>
      </c>
      <c r="G379" s="40">
        <f>G365+G378</f>
        <v>2025</v>
      </c>
      <c r="H379" s="41"/>
      <c r="I379" s="41"/>
      <c r="J379" s="41"/>
      <c r="K379" s="41"/>
      <c r="L379" s="41"/>
      <c r="M379" s="42">
        <f ca="1">IFERROR(M365+M378,"")</f>
        <v>0.11041666666666657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F375" sqref="F3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93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0.12569444444444444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251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0.23541666666666661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64" zoomScale="50" zoomScaleNormal="50" workbookViewId="0">
      <selection activeCell="F375" sqref="F3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2</v>
      </c>
      <c r="G374" s="28">
        <f t="shared" si="81"/>
        <v>8.4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89</v>
      </c>
      <c r="G378" s="36">
        <f>SUM(G366:G377)</f>
        <v>373.8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98</v>
      </c>
      <c r="G379" s="40">
        <f>G365+G378</f>
        <v>411.6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6" activePane="bottomLeft" state="frozen"/>
      <selection pane="bottomLeft" activeCell="F375" sqref="F37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0.9184910879630479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1.1177966435186035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1.4851577546297146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/>
      <c r="M376" s="30">
        <f t="shared" ca="1" si="82"/>
        <v>2.0574421294440981E-2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141</v>
      </c>
      <c r="G378" s="36">
        <f>SUM(G366:G377)</f>
        <v>592.19999999999993</v>
      </c>
      <c r="H378" s="37"/>
      <c r="I378" s="37"/>
      <c r="J378" s="37"/>
      <c r="K378" s="61"/>
      <c r="L378" s="61"/>
      <c r="M378" s="38">
        <f ca="1">IFERROR(SUM(M366:M377),"")</f>
        <v>8.2379976849996636E-2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266</v>
      </c>
      <c r="G379" s="40">
        <f>G365+G378</f>
        <v>1117.1999999999998</v>
      </c>
      <c r="H379" s="41"/>
      <c r="I379" s="41"/>
      <c r="J379" s="41"/>
      <c r="K379" s="63"/>
      <c r="L379" s="63"/>
      <c r="M379" s="42">
        <f ca="1">IFERROR(M365+M378,"")</f>
        <v>0.18724108796110783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2026-07-15T08:01:40Z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