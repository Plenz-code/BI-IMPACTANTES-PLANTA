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84" documentId="13_ncr:1_{A6DBCFB4-28D9-4249-9038-216934055CA6}" xr6:coauthVersionLast="47" xr6:coauthVersionMax="47" xr10:uidLastSave="{CFC9B05C-2464-4BEE-AD77-AA9CA0D0D3F3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9" i="5" l="1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<sst xmlns="http://schemas.openxmlformats.org/spreadsheetml/2006/main" count="11114" uniqueCount="448">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</sst>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55" activePane="bottomLeft" state="frozen"/>
      <selection pane="bottomLeft" activeCell="F678" sqref="F678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23</v>
      </c>
      <c r="G689" s="2">
        <f>SUM(G677:G688)</f>
        <v>115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23</v>
      </c>
      <c r="G703" s="1">
        <f>G689+G702</f>
        <v>115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P678" sqref="P67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0.21761041666468373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0.35649930555357146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0.44122152777579426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/>
      <c r="E677" s="99" t="s">
        <v>278</v>
      </c>
      <c r="F677" s="100" t="str">
        <f>IFERROR(IF($D677="","",VLOOKUP($D677,Cadastro!$C$4:$E$7,3,FALSE())),"")</f>
        <v/>
      </c>
      <c r="G677" s="88">
        <v>4</v>
      </c>
      <c r="H677" s="100">
        <f>IFERROR(IF($G677="","",$G677*$S$689/$G$689/Cadastro!$E$33),"")</f>
        <v>0</v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/>
      <c r="E678" s="99" t="s">
        <v>278</v>
      </c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/>
      <c r="E679" s="99" t="s">
        <v>278</v>
      </c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4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16.8</v>
      </c>
      <c r="L689" s="71"/>
      <c r="M689" s="71"/>
      <c r="N689" s="71"/>
      <c r="O689" s="71"/>
      <c r="P689" s="71"/>
      <c r="Q689" s="72">
        <f ca="1">IFERROR(SUM(Q677:Q688),"")</f>
        <v>3.472222222222221E-2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4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16.8</v>
      </c>
      <c r="L703" s="75"/>
      <c r="M703" s="75"/>
      <c r="N703" s="75"/>
      <c r="O703" s="75"/>
      <c r="P703" s="75"/>
      <c r="Q703" s="76">
        <f ca="1">IFERROR(Q689+Q702,"")</f>
        <v>3.472222222222221E-2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54" activePane="bottomLeft" state="frozen"/>
      <selection pane="bottomLeft" activeCell="G678" sqref="G67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>
        <v>12</v>
      </c>
      <c r="H677" s="100">
        <f>IFERROR(IF($G677="","",$G677*$S$689/$G$689/Cadastro!$E$33),"")</f>
        <v>0</v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12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8.3333333333333592E-3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12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8.3333333333333592E-3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L317:L677 L679:L900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62" activePane="bottomLeft" state="frozen"/>
      <selection pane="bottomLeft" activeCell="P678" sqref="P67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/>
      <c r="E677" s="99"/>
      <c r="F677" s="100" t="str">
        <f>IFERROR(IF($D677="","",VLOOKUP($D677,Cadastro!$C$4:$E$7,3,FALSE())),"")</f>
        <v/>
      </c>
      <c r="G677" s="88">
        <v>9</v>
      </c>
      <c r="H677" s="100">
        <f>IFERROR(IF($G677="","",$G677*$S$689/$G$689/Cadastro!$E$33),"")</f>
        <v>0</v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9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1.9444444444444431E-2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9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1.9444444444444431E-2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2026-08-26T12:10:48Z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