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110" documentId="8_{AF585B22-221D-4780-BB9C-493D365A6A02}" xr6:coauthVersionLast="47" xr6:coauthVersionMax="47" xr10:uidLastSave="{C8CB067A-F12F-4EB9-8D3F-0044E252F73E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<sst xmlns="http://schemas.openxmlformats.org/spreadsheetml/2006/main" count="12600" uniqueCount="445">
  <si>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</si>
  <si>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</si>
  <si>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</si>
  <si>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</si>
  <si>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</si>
  <si>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</si>
  <si>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</si>
  <si>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</si>
  <si>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</si>
  <si>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</si>
  <si>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</si>
  <si>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</si>
  <si>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</si>
  <si>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</si>
  <si>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</si>
  <si>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</si>
  <si>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</si>
  <si>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</si>
  <si>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</si>
  <si>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</si>
  <si>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</si>
  <si>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</si>
  <si>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</si>
  <si>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</si>
  <si>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</si>
  <si>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</si>
  <si>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</si>
  <si>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</si>
  <si>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</si>
  <si>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</si>
  <si>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</si>
  <si>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</si>
  <si>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</si>
  <si>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</si>
  <si>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</si>
  <si>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</si>
  <si>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</si>
  <si>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</si>
  <si>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</si>
  <si>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</si>
  <si>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</si>
  <si>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</si>
  <si>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</si>
  <si>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</si>
  <si>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</si>
  <si>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</si>
  <si>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</si>
  <si>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</si>
  <si>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</si>
  <si>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</si>
  <si>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</si>
  <si>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</si>
  <si>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</si>
  <si>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</si>
  <si>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</si>
  <si>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</si>
  <si>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</si>
  <si>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</si>
  <si>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</si>
  <si>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</si>
  <si>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</si>
  <si>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</si>
  <si>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</si>
  <si>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</si>
  <si>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</si>
  <si>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</si>
  <si>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</si>
  <si>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</si>
  <si>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</si>
  <si>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</si>
  <si>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</si>
  <si>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</si>
  <si>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</si>
  <si>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</si>
  <si>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</si>
  <si>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</si>
  <si>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</si>
  <si>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</si>
  <si>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</si>
  <si>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</si>
  <si>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</si>
  <si>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</si>
  <si>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</si>
  <si>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</si>
  <si>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</si>
  <si>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</si>
  <si>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</si>
  <si>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</si>
  <si>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</si>
  <si>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</si>
  <si>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</si>
  <si>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</si>
  <si>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</si>
  <si>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</si>
  <si>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</si>
  <si>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</si>
  <si>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</si>
  <si>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</si>
  <si>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</si>
  <si>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</si>
  <si>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</si>
  <si>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</si>
  <si>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</si>
  <si>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</si>
  <si>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</si>
  <si>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</si>
  <si>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</si>
  <si>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</si>
  <si>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</si>
  <si>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</si>
  <si>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</si>
  <si>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</si>
  <si>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</si>
  <si>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</si>
  <si>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</si>
  <si>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</si>
  <si>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</si>
  <si>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</si>
  <si>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</si>
  <si>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</si>
  <si>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</si>
  <si>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</si>
  <si>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</si>
  <si>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</si>
  <si>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</si>
  <si>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</si>
  <si>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</si>
  <si>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</si>
  <si>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</si>
  <si>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</si>
  <si>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</si>
  <si>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</si>
  <si>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</si>
  <si>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</si>
  <si>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</si>
  <si>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</si>
  <si>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</si>
  <si>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</si>
  <si>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</si>
  <si>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</si>
  <si>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</si>
  <si>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</si>
  <si>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</si>
  <si>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</si>
  <si>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</si>
  <si>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</si>
  <si>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</si>
  <si>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</si>
  <si>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</si>
  <si>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</si>
  <si>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</si>
  <si>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</si>
  <si>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</si>
  <si>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</si>
  <si>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</si>
  <si>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</si>
  <si>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</si>
  <si>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</si>
  <si>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</si>
  <si>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</si>
  <si>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</si>
  <si>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</si>
  <si>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</si>
  <si>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</si>
  <si>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</si>
  <si>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</si>
  <si>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</si>
  <si>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</si>
  <si>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</si>
  <si>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</si>
  <si>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</si>
  <si>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</si>
  <si>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</si>
  <si>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</si>
  <si>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</si>
  <si>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</si>
  <si>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</si>
  <si>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</si>
  <si>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</si>
  <si>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</si>
  <si>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</si>
  <si>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</si>
  <si>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</si>
  <si>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</si>
  <si>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</si>
  <si>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</si>
  <si>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</si>
  <si>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</si>
  <si>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</si>
  <si>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</si>
  <si>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</si>
  <si>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</si>
  <si>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</si>
  <si>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</si>
  <si>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</si>
  <si>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</si>
  <si>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</si>
  <si>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</si>
  <si>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</si>
  <si>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</si>
  <si>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</si>
  <si>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</si>
  <si>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</si>
  <si>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</si>
  <si>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</si>
  <si>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</si>
  <si>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</si>
  <si>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</si>
  <si>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</si>
  <si>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</si>
  <si>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</si>
  <si>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</si>
  <si>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</si>
  <si>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</si>
  <si>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</si>
  <si>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</si>
  <si>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</si>
  <si>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</si>
  <si>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</si>
  <si>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</si>
  <si>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</si>
  <si>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</si>
  <si>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</si>
  <si>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</si>
  <si>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</si>
  <si>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</si>
  <si>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</si>
  <si>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</si>
  <si>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</si>
  <si>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</si>
  <si>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</si>
  <si>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</si>
  <si>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</si>
  <si>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</si>
  <si>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</si>
  <si>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</si>
  <si>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</si>
  <si>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</si>
  <si>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</si>
  <si>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</si>
  <si>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</si>
  <si>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</si>
  <si>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</si>
  <si>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</si>
  <si>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</si>
  <si>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</si>
  <si>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</si>
  <si>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</si>
  <si>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</si>
  <si>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</si>
  <si>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</si>
  <si>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</si>
  <si>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</si>
  <si>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</si>
  <si>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</si>
  <si>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</si>
  <si>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</si>
  <si>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</si>
  <si>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</si>
  <si>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</si>
  <si>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</si>
  <si>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</si>
  <si>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</si>
  <si>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</si>
  <si>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</si>
  <si>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</si>
  <si>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</si>
  <si>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</si>
  <si>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</si>
  <si>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</si>
  <si>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</si>
  <si>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</si>
  <si>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</si>
  <si>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</si>
  <si>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</si>
  <si>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</si>
  <si>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</si>
  <si>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</si>
  <si>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</si>
  <si>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</si>
  <si>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</si>
  <si>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</si>
  <si>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</si>
  <si>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</si>
  <si>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</si>
  <si>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</si>
  <si>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</si>
  <si>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</si>
  <si>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</si>
  <si>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</si>
  <si>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</si>
  <si>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</si>
  <si>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</si>
  <si>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</si>
  <si>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</si>
  <si>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</si>
  <si>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</si>
  <si>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</si>
  <si>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</si>
  <si>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</si>
  <si>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</si>
  <si>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</si>
  <si>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</si>
  <si>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</si>
  <si>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</si>
  <si>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</si>
  <si>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</si>
  <si>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</si>
  <si>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</si>
  <si>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</si>
  <si>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</si>
  <si>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</si>
  <si>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</si>
  <si>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</si>
  <si>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</si>
  <si>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</si>
  <si>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</si>
  <si>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</si>
  <si>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</si>
  <si>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</si>
  <si>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</si>
  <si>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</si>
  <si>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</si>
  <si>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</si>
  <si>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</si>
  <si>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</si>
  <si>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</si>
  <si>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</si>
  <si>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</si>
  <si>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</si>
  <si>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</si>
  <si>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</si>
  <si>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</si>
  <si>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</si>
  <si>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</si>
  <si>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</si>
  <si>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</si>
  <si>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</si>
  <si>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</si>
  <si>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</si>
  <si>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</si>
  <si>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</si>
  <si>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</si>
  <si>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</si>
  <si>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</si>
  <si>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</si>
  <si>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</si>
  <si>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</si>
  <si>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</si>
  <si>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</si>
  <si>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</si>
  <si>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</si>
  <si>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</si>
  <si>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</si>
  <si>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</si>
  <si>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</si>
  <si>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</si>
  <si>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</si>
  <si>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</si>
  <si>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</si>
  <si>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</si>
  <si>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</si>
  <si>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</si>
  <si>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</si>
  <si>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</si>
  <si>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</si>
  <si>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</si>
  <si>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</si>
  <si>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</si>
  <si>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</si>
  <si>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</si>
  <si>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</si>
  <si>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</si>
  <si>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</si>
  <si>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</si>
  <si>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</si>
  <si>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</si>
  <si>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</si>
  <si>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</si>
  <si>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</si>
  <si>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</si>
  <si>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</si>
  <si>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</si>
  <si>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</si>
  <si>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</si>
  <si>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</si>
  <si>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</si>
  <si>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</si>
  <si>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</si>
  <si>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</si>
  <si>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</si>
  <si>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</si>
  <si>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</si>
  <si>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</si>
  <si>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</si>
  <si>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</si>
  <si>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</si>
  <si>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</si>
  <si>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</si>
  <si>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</si>
  <si>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</si>
  <si>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</si>
  <si>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</si>
  <si>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</si>
  <si>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</si>
  <si>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</si>
  <si>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</si>
  <si>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</si>
  <si>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</si>
  <si>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</si>
  <si>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</si>
  <si>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</si>
  <si>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</si>
  <si>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</si>
  <si>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</si>
  <si>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</si>
  <si>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</si>
  <si>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</si>
  <si>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</si>
  <si>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</si>
  <si>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</si>
  <si>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</si>
  <si>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</si>
  <si>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</si>
  <si>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</si>
  <si>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</si>
  <si>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</si>
  <si>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</si>
  <si>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</si>
  <si>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</si>
  <si>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</si>
  <si>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</si>
  <si>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</si>
  <si>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</si>
  <si>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</si>
  <si>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</si>
  <si>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</si>
  <si>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</si>
  <si>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</si>
  <si>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</si>
  <si>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</si>
  <si>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</si>
  <si>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</si>
  <si>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</si>
  <si>
    <t>troca de marteo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</si>
</sst>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2868780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96893558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823" activePane="bottomLeft" state="frozen"/>
      <selection pane="bottomLeft" activeCell="O838" sqref="O83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 t="s">
        <v>18</v>
      </c>
      <c r="I826" s="80" t="s">
        <v>23</v>
      </c>
      <c r="J826" s="80" t="s">
        <v>164</v>
      </c>
      <c r="K826" s="98">
        <v>9.375E-2</v>
      </c>
      <c r="L826" s="98">
        <v>9.930555555555555E-2</v>
      </c>
      <c r="M826" s="78">
        <f ca="1">IFERROR(IF(K826="","",IF(L826="",MOD(NOW()-K826,1),IF(L826&gt;=K826,L826-K826,L826+1-K826))),"")</f>
        <v>5.5555555555555497E-3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>
        <v>40</v>
      </c>
      <c r="G827" s="101">
        <f>IF(F827="","",IF(E827="PC 17",F827*4.2,IF(E827="PC 19",F827*5,"")))</f>
        <v>200</v>
      </c>
      <c r="H827" s="81" t="s">
        <v>20</v>
      </c>
      <c r="I827" s="81" t="s">
        <v>23</v>
      </c>
      <c r="J827" s="81" t="s">
        <v>200</v>
      </c>
      <c r="K827" s="98">
        <v>0.2638888888888889</v>
      </c>
      <c r="L827" s="98">
        <v>0.29166666666666669</v>
      </c>
      <c r="M827" s="79">
        <f ca="1">IFERROR(IF(K827="","",IF(L827="",MOD(NOW()-K827,1),IF(L827&gt;=K827,L827-K827,L827+1-K827))),"")</f>
        <v>2.777777777777779E-2</v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234</v>
      </c>
      <c r="F828" s="100">
        <v>37</v>
      </c>
      <c r="G828" s="101">
        <f>IF(F828="","",IF(E828="PC 17",F828*4.2,IF(E828="PC 19",F828*5,"")))</f>
        <v>185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234</v>
      </c>
      <c r="F829" s="100">
        <v>30</v>
      </c>
      <c r="G829" s="101">
        <f>IF(F829="","",IF(E829="PC 17",F829*4.2,IF(E829="PC 19",F829*5,"")))</f>
        <v>150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234</v>
      </c>
      <c r="F830" s="100">
        <v>20</v>
      </c>
      <c r="G830" s="101">
        <f>IF(F830="","",IF(E830="PC 17",F830*4.2,IF(E830="PC 19",F830*5,"")))</f>
        <v>100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234</v>
      </c>
      <c r="F831" s="100">
        <v>21</v>
      </c>
      <c r="G831" s="101">
        <f>IF(F831="","",IF(E831="PC 17",F831*4.2,IF(E831="PC 19",F831*5,"")))</f>
        <v>105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234</v>
      </c>
      <c r="F832" s="100">
        <v>20</v>
      </c>
      <c r="G832" s="101">
        <f>IF(F832="","",IF(E832="PC 17",F832*4.2,IF(E832="PC 19",F832*5,"")))</f>
        <v>100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234</v>
      </c>
      <c r="F833" s="100">
        <v>39</v>
      </c>
      <c r="G833" s="101">
        <f>IF(F833="","",IF(E833="PC 17",F833*4.2,IF(E833="PC 19",F833*5,"")))</f>
        <v>195</v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234</v>
      </c>
      <c r="F834" s="100">
        <v>36</v>
      </c>
      <c r="G834" s="101">
        <f>IF(F834="","",IF(E834="PC 17",F834*4.2,IF(E834="PC 19",F834*5,"")))</f>
        <v>180</v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234</v>
      </c>
      <c r="F835" s="100">
        <v>28</v>
      </c>
      <c r="G835" s="101">
        <f>IF(F835="","",IF(E835="PC 17",F835*4.2,IF(E835="PC 19",F835*5,"")))</f>
        <v>140</v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234</v>
      </c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297</v>
      </c>
      <c r="G837" s="109">
        <f>SUM(G825:G836)</f>
        <v>1485</v>
      </c>
      <c r="H837" s="37"/>
      <c r="I837" s="37"/>
      <c r="J837" s="37"/>
      <c r="K837" s="37"/>
      <c r="L837" s="37"/>
      <c r="M837" s="110">
        <f ca="1">IFERROR(SUM(M825:M836),"")</f>
        <v>4.0972222222222313E-2</v>
      </c>
      <c r="N837" s="109" t="s">
        <v>237</v>
      </c>
      <c r="O837" s="77">
        <v>2212670</v>
      </c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430</v>
      </c>
      <c r="G838" s="111">
        <f>G824+G837</f>
        <v>1485</v>
      </c>
      <c r="H838" s="41"/>
      <c r="I838" s="41"/>
      <c r="J838" s="41"/>
      <c r="K838" s="41"/>
      <c r="L838" s="41"/>
      <c r="M838" s="112">
        <f ca="1">IFERROR(M824+M837,"")</f>
        <v>0.20069444444444451</v>
      </c>
      <c r="N838" s="111" t="s">
        <v>240</v>
      </c>
      <c r="O838" s="83">
        <f>IFERROR(O824+O837,"")</f>
        <v>2868780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11" activePane="bottomLeft" state="frozen"/>
      <selection pane="bottomLeft" activeCell="F837" sqref="F83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3.102812499855645E-2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0.18866701388744533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0.2983892361096675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9.5003472233656794E-3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0.18033368055669904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0.32547256944558789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27</v>
      </c>
      <c r="G827" s="104">
        <f>IF(F827="","",IF(E827="PC 17",F827*4.2,IF(E827="PC 19",F827*5,"")))</f>
        <v>113.4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>
        <v>0.91388888888888886</v>
      </c>
      <c r="M827" s="79">
        <f ca="1">IFERROR(IF(K827="","",IF(L827="",MOD(NOW()-K827,1),IF(L827&gt;=K827,L827-K827,L827+1-K827))),"")</f>
        <v>1.3194444444444398E-2</v>
      </c>
      <c r="N827" s="105" t="s">
        <v>350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20</v>
      </c>
      <c r="G828" s="104">
        <f>IF(F828="","",IF(E828="PC 17",F828*4.2,IF(E828="PC 19",F828*5,"")))</f>
        <v>84</v>
      </c>
      <c r="H828" s="80" t="s">
        <v>20</v>
      </c>
      <c r="I828" s="80" t="s">
        <v>31</v>
      </c>
      <c r="J828" s="80" t="s">
        <v>36</v>
      </c>
      <c r="K828" s="98">
        <v>2.5694444444444443E-2</v>
      </c>
      <c r="L828" s="98">
        <v>3.2638888888888891E-2</v>
      </c>
      <c r="M828" s="78">
        <f ca="1">IFERROR(IF(K828="","",IF(L828="",MOD(NOW()-K828,1),IF(L828&gt;=K828,L828-K828,L828+1-K828))),"")</f>
        <v>6.9444444444444475E-3</v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30</v>
      </c>
      <c r="G829" s="104">
        <f>IF(F829="","",IF(E829="PC 17",F829*4.2,IF(E829="PC 19",F829*5,"")))</f>
        <v>126</v>
      </c>
      <c r="H829" s="81" t="s">
        <v>18</v>
      </c>
      <c r="I829" s="81" t="s">
        <v>31</v>
      </c>
      <c r="J829" s="81" t="s">
        <v>119</v>
      </c>
      <c r="K829" s="98">
        <v>8.8888888888888892E-2</v>
      </c>
      <c r="L829" s="98">
        <v>0.10208333333333333</v>
      </c>
      <c r="M829" s="79">
        <f ca="1">IFERROR(IF(K829="","",IF(L829="",MOD(NOW()-K829,1),IF(L829&gt;=K829,L829-K829,L829+1-K829))),"")</f>
        <v>1.3194444444444439E-2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136</v>
      </c>
      <c r="J830" s="80" t="s">
        <v>74</v>
      </c>
      <c r="K830" s="98">
        <v>0.13125000000000001</v>
      </c>
      <c r="L830" s="98">
        <v>0.1361111111111111</v>
      </c>
      <c r="M830" s="78">
        <f ca="1">IFERROR(IF(K830="","",IF(L830="",MOD(NOW()-K830,1),IF(L830&gt;=K830,L830-K830,L830+1-K830))),"")</f>
        <v>4.8611111111110938E-3</v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21</v>
      </c>
      <c r="G831" s="104">
        <f>IF(F831="","",IF(E831="PC 17",F831*4.2,IF(E831="PC 19",F831*5,"")))</f>
        <v>88.2</v>
      </c>
      <c r="H831" s="81" t="s">
        <v>20</v>
      </c>
      <c r="I831" s="81"/>
      <c r="J831" s="81" t="s">
        <v>129</v>
      </c>
      <c r="K831" s="98">
        <v>0.1361111111111111</v>
      </c>
      <c r="L831" s="98">
        <v>0.1388888888888889</v>
      </c>
      <c r="M831" s="79">
        <f ca="1">IFERROR(IF(K831="","",IF(L831="",MOD(NOW()-K831,1),IF(L831&gt;=K831,L831-K831,L831+1-K831))),"")</f>
        <v>2.7777777777777957E-3</v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>
        <v>17</v>
      </c>
      <c r="G832" s="104">
        <f>IF(F832="","",IF(E832="PC 17",F832*4.2,IF(E832="PC 19",F832*5,"")))</f>
        <v>71.400000000000006</v>
      </c>
      <c r="H832" s="80" t="s">
        <v>20</v>
      </c>
      <c r="I832" s="80"/>
      <c r="J832" s="80" t="s">
        <v>129</v>
      </c>
      <c r="K832" s="98">
        <v>0.15277777777777779</v>
      </c>
      <c r="L832" s="98">
        <v>0.15972222222222221</v>
      </c>
      <c r="M832" s="78">
        <f ca="1">IFERROR(IF(K832="","",IF(L832="",MOD(NOW()-K832,1),IF(L832&gt;=K832,L832-K832,L832+1-K832))),"")</f>
        <v>6.9444444444444198E-3</v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>
        <v>7</v>
      </c>
      <c r="G833" s="104">
        <f>IF(F833="","",IF(E833="PC 17",F833*4.2,IF(E833="PC 19",F833*5,"")))</f>
        <v>29.400000000000002</v>
      </c>
      <c r="H833" s="81" t="s">
        <v>20</v>
      </c>
      <c r="I833" s="81" t="s">
        <v>31</v>
      </c>
      <c r="J833" s="81" t="s">
        <v>36</v>
      </c>
      <c r="K833" s="98">
        <v>0.15972222222222221</v>
      </c>
      <c r="L833" s="98">
        <v>0.16597222222222222</v>
      </c>
      <c r="M833" s="79">
        <f ca="1">IFERROR(IF(K833="","",IF(L833="",MOD(NOW()-K833,1),IF(L833&gt;=K833,L833-K833,L833+1-K833))),"")</f>
        <v>6.2500000000000056E-3</v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>
        <v>10</v>
      </c>
      <c r="G834" s="104">
        <f>IF(F834="","",IF(E834="PC 17",F834*4.2,IF(E834="PC 19",F834*5,"")))</f>
        <v>42</v>
      </c>
      <c r="H834" s="80" t="s">
        <v>20</v>
      </c>
      <c r="I834" s="80" t="s">
        <v>136</v>
      </c>
      <c r="J834" s="80" t="s">
        <v>74</v>
      </c>
      <c r="K834" s="98">
        <v>0.21458333333333332</v>
      </c>
      <c r="L834" s="98">
        <v>0.22222222222222221</v>
      </c>
      <c r="M834" s="78">
        <f ca="1">IFERROR(IF(K834="","",IF(L834="",MOD(NOW()-K834,1),IF(L834&gt;=K834,L834-K834,L834+1-K834))),"")</f>
        <v>7.6388888888888895E-3</v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>
        <v>13</v>
      </c>
      <c r="G835" s="104">
        <f>IF(F835="","",IF(E835="PC 17",F835*4.2,IF(E835="PC 19",F835*5,"")))</f>
        <v>54.6</v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>
        <v>3</v>
      </c>
      <c r="G836" s="104">
        <f>IF(F836="","",IF(E836="PC 17",F836*4.2,IF(E836="PC 19",F836*5,"")))</f>
        <v>12.600000000000001</v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193</v>
      </c>
      <c r="G837" s="109">
        <f>SUM(G825:G836)</f>
        <v>823.40000000000009</v>
      </c>
      <c r="H837" s="37"/>
      <c r="I837" s="37"/>
      <c r="J837" s="37"/>
      <c r="K837" s="37"/>
      <c r="L837" s="37"/>
      <c r="M837" s="110">
        <f ca="1">IFERROR(SUM(M825:M836),"")</f>
        <v>6.944444444444435E-2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362</v>
      </c>
      <c r="G838" s="111">
        <f>G824+G837</f>
        <v>1533.2000000000003</v>
      </c>
      <c r="H838" s="41"/>
      <c r="I838" s="41"/>
      <c r="J838" s="41"/>
      <c r="K838" s="41"/>
      <c r="L838" s="41"/>
      <c r="M838" s="112">
        <f ca="1">IFERROR(M824+M837,"")</f>
        <v>0.17430555555555549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801" zoomScale="50" zoomScaleNormal="50" workbookViewId="0">
      <selection activeCell="F837" sqref="F83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358</v>
      </c>
      <c r="N166" s="27" t="s">
        <v>359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380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381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383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384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 t="s">
        <v>20</v>
      </c>
      <c r="I825" s="81" t="s">
        <v>47</v>
      </c>
      <c r="J825" s="81" t="s">
        <v>62</v>
      </c>
      <c r="K825" s="98">
        <v>8.819444444444445E-2</v>
      </c>
      <c r="L825" s="98">
        <v>9.0277777777777776E-2</v>
      </c>
      <c r="M825" s="79">
        <f ca="1">IFERROR(IF(K825="","",IF(L825="",MOD(NOW()-K825,1),IF(L825&gt;=K825,L825-K825,L825+1-K825))),"")</f>
        <v>2.0833333333333259E-3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 t="s">
        <v>19</v>
      </c>
      <c r="I826" s="80" t="s">
        <v>47</v>
      </c>
      <c r="J826" s="80" t="s">
        <v>27</v>
      </c>
      <c r="K826" s="98">
        <v>0.17916666666666667</v>
      </c>
      <c r="L826" s="98">
        <v>0.19166666666666668</v>
      </c>
      <c r="M826" s="78">
        <f ca="1">IFERROR(IF(K826="","",IF(L826="",MOD(NOW()-K826,1),IF(L826&gt;=K826,L826-K826,L826+1-K826))),"")</f>
        <v>1.2500000000000011E-2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20</v>
      </c>
      <c r="G827" s="104">
        <f>IF(F827="","",IF(E827="PC 17",F827*4.2,IF(E827="PC 19",F827*5,"")))</f>
        <v>84</v>
      </c>
      <c r="H827" s="81" t="s">
        <v>20</v>
      </c>
      <c r="I827" s="81" t="s">
        <v>136</v>
      </c>
      <c r="J827" s="81" t="s">
        <v>74</v>
      </c>
      <c r="K827" s="98">
        <v>0.22569444444444445</v>
      </c>
      <c r="L827" s="98">
        <v>0.23472222222222222</v>
      </c>
      <c r="M827" s="79">
        <f ca="1">IFERROR(IF(K827="","",IF(L827="",MOD(NOW()-K827,1),IF(L827&gt;=K827,L827-K827,L827+1-K827))),"")</f>
        <v>9.0277777777777735E-3</v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15</v>
      </c>
      <c r="G828" s="104">
        <f>IF(F828="","",IF(E828="PC 17",F828*4.2,IF(E828="PC 19",F828*5,"")))</f>
        <v>63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8</v>
      </c>
      <c r="G830" s="104">
        <f>IF(F830="","",IF(E830="PC 17",F830*4.2,IF(E830="PC 19",F830*5,"")))</f>
        <v>33.6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>
        <v>15</v>
      </c>
      <c r="G832" s="104">
        <f>IF(F832="","",IF(E832="PC 17",F832*4.2,IF(E832="PC 19",F832*5,"")))</f>
        <v>63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>
        <v>14</v>
      </c>
      <c r="G833" s="104">
        <f>IF(F833="","",IF(E833="PC 17",F833*4.2,IF(E833="PC 19",F833*5,"")))</f>
        <v>58.800000000000004</v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>
        <v>2</v>
      </c>
      <c r="G834" s="104">
        <f>IF(F834="","",IF(E834="PC 17",F834*4.2,IF(E834="PC 19",F834*5,"")))</f>
        <v>8.4</v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>
        <v>14</v>
      </c>
      <c r="G835" s="104">
        <f>IF(F835="","",IF(E835="PC 17",F835*4.2,IF(E835="PC 19",F835*5,"")))</f>
        <v>58.800000000000004</v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>
        <v>1</v>
      </c>
      <c r="G836" s="104"/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137</v>
      </c>
      <c r="G837" s="109">
        <f>SUM(G825:G836)</f>
        <v>579.99999999999989</v>
      </c>
      <c r="H837" s="37"/>
      <c r="I837" s="37"/>
      <c r="J837" s="37"/>
      <c r="K837" s="37"/>
      <c r="L837" s="37"/>
      <c r="M837" s="110">
        <f ca="1">IFERROR(SUM(M825:M836),"")</f>
        <v>2.361111111111111E-2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232</v>
      </c>
      <c r="G838" s="111">
        <f>G824+G837</f>
        <v>978.99999999999977</v>
      </c>
      <c r="H838" s="41"/>
      <c r="I838" s="41"/>
      <c r="J838" s="41"/>
      <c r="K838" s="41"/>
      <c r="L838" s="41"/>
      <c r="M838" s="112">
        <f ca="1">IFERROR(M824+M837,"")</f>
        <v>8.1250000000000017E-2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12" activePane="bottomLeft" state="frozen"/>
      <selection pane="bottomLeft" activeCell="F837" sqref="F83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389</v>
      </c>
      <c r="L58" s="29">
        <v>0.54097222222222219</v>
      </c>
      <c r="M58" s="30" t="str">
        <f t="shared" ca="1" si="13"/>
        <v/>
      </c>
      <c r="N58" s="27" t="s">
        <v>390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2.1305902781023178E-2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0.2206114583365788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0.58797256944768983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439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440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441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442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443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8</v>
      </c>
      <c r="G827" s="104">
        <f>IF(F827="","",IF(E827="PC 17",F827*4.2,IF(E827="PC 19",F827*5,"")))</f>
        <v>33.6</v>
      </c>
      <c r="H827" s="81" t="s">
        <v>20</v>
      </c>
      <c r="I827" s="81" t="s">
        <v>52</v>
      </c>
      <c r="J827" s="81" t="s">
        <v>165</v>
      </c>
      <c r="K827" s="98">
        <v>0.94097222222222221</v>
      </c>
      <c r="L827" s="98">
        <v>0.95138888888888884</v>
      </c>
      <c r="M827" s="79">
        <f ca="1">IFERROR(IF(K827="","",IF(L827="",MOD(NOW()-K827,1),IF(L827&gt;=K827,L827-K827,L827+1-K827))),"")</f>
        <v>1.041666666666663E-2</v>
      </c>
      <c r="N827" s="105" t="s">
        <v>444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11</v>
      </c>
      <c r="G828" s="104">
        <f>IF(F828="","",IF(E828="PC 17",F828*4.2,IF(E828="PC 19",F828*5,"")))</f>
        <v>46.2</v>
      </c>
      <c r="H828" s="80" t="s">
        <v>19</v>
      </c>
      <c r="I828" s="80" t="s">
        <v>57</v>
      </c>
      <c r="J828" s="80" t="s">
        <v>27</v>
      </c>
      <c r="K828" s="98">
        <v>0.95138888888888884</v>
      </c>
      <c r="L828" s="98">
        <v>0.96111111111111114</v>
      </c>
      <c r="M828" s="78">
        <f ca="1">IFERROR(IF(K828="","",IF(L828="",MOD(NOW()-K828,1),IF(L828&gt;=K828,L828-K828,L828+1-K828))),"")</f>
        <v>9.7222222222222987E-3</v>
      </c>
      <c r="N828" s="105" t="s">
        <v>329</v>
      </c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30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 t="s">
        <v>20</v>
      </c>
      <c r="I829" s="81" t="s">
        <v>57</v>
      </c>
      <c r="J829" s="81" t="s">
        <v>62</v>
      </c>
      <c r="K829" s="98">
        <v>0.97430555555555554</v>
      </c>
      <c r="L829" s="98">
        <v>0.97499999999999998</v>
      </c>
      <c r="M829" s="79">
        <f ca="1">IFERROR(IF(K829="","",IF(L829="",MOD(NOW()-K829,1),IF(L829&gt;=K829,L829-K829,L829+1-K829))),"")</f>
        <v>6.9444444444444198E-4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30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57</v>
      </c>
      <c r="J830" s="80" t="s">
        <v>56</v>
      </c>
      <c r="K830" s="98">
        <v>6.3888888888888884E-2</v>
      </c>
      <c r="L830" s="98">
        <v>8.1944444444444445E-2</v>
      </c>
      <c r="M830" s="78">
        <f ca="1">IFERROR(IF(K830="","",IF(L830="",MOD(NOW()-K830,1),IF(L830&gt;=K830,L830-K830,L830+1-K830))),"")</f>
        <v>1.8055555555555561E-2</v>
      </c>
      <c r="N830" s="105" t="s">
        <v>384</v>
      </c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30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 t="s">
        <v>20</v>
      </c>
      <c r="I831" s="81" t="s">
        <v>57</v>
      </c>
      <c r="J831" s="81" t="s">
        <v>28</v>
      </c>
      <c r="K831" s="98">
        <v>0.23749999999999999</v>
      </c>
      <c r="L831" s="98"/>
      <c r="M831" s="79">
        <f ca="1">IFERROR(IF(K831="","",IF(L831="",MOD(NOW()-K831,1),IF(L831&gt;=K831,L831-K831,L831+1-K831))),"")</f>
        <v>3.311145833140472E-2</v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30</v>
      </c>
      <c r="E832" s="108" t="s">
        <v>261</v>
      </c>
      <c r="F832" s="100">
        <v>10</v>
      </c>
      <c r="G832" s="104">
        <f>IF(F832="","",IF(E832="PC 17",F832*4.2,IF(E832="PC 19",F832*5,"")))</f>
        <v>42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>
        <v>24</v>
      </c>
      <c r="G833" s="104">
        <f>IF(F833="","",IF(E833="PC 17",F833*4.2,IF(E833="PC 19",F833*5,"")))</f>
        <v>100.80000000000001</v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>
        <v>12</v>
      </c>
      <c r="G834" s="104">
        <f>IF(F834="","",IF(E834="PC 17",F834*4.2,IF(E834="PC 19",F834*5,"")))</f>
        <v>50.400000000000006</v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>
        <v>14</v>
      </c>
      <c r="G835" s="104">
        <f>IF(F835="","",IF(E835="PC 17",F835*4.2,IF(E835="PC 19",F835*5,"")))</f>
        <v>58.800000000000004</v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>
        <v>0</v>
      </c>
      <c r="G836" s="104">
        <f>IF(F836="","",IF(E836="PC 17",F836*4.2,IF(E836="PC 19",F836*5,"")))</f>
        <v>0</v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139</v>
      </c>
      <c r="G837" s="109">
        <f>SUM(G825:G836)</f>
        <v>583.79999999999995</v>
      </c>
      <c r="H837" s="37"/>
      <c r="I837" s="37"/>
      <c r="J837" s="37"/>
      <c r="K837" s="37"/>
      <c r="L837" s="37"/>
      <c r="M837" s="110">
        <f ca="1">IFERROR(SUM(M825:M836),"")</f>
        <v>8.1722569442515838E-2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258</v>
      </c>
      <c r="G838" s="111">
        <f>G824+G837</f>
        <v>1083.5999999999999</v>
      </c>
      <c r="H838" s="41"/>
      <c r="I838" s="41"/>
      <c r="J838" s="41"/>
      <c r="K838" s="41"/>
      <c r="L838" s="41"/>
      <c r="M838" s="112">
        <f ca="1">IFERROR(M824+M837,"")</f>
        <v>0.19769479166473797</v>
      </c>
      <c r="N838" s="111" t="s">
        <v>240</v>
      </c>
      <c r="O838" s="82">
        <f>IFERROR(O824+O837,"")</f>
        <v>545810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2026-08-01T10:30:13Z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