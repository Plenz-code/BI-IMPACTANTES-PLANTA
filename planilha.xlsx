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9" documentId="8_{AF585B22-221D-4780-BB9C-493D365A6A02}" xr6:coauthVersionLast="47" xr6:coauthVersionMax="47" xr10:uidLastSave="{02B33B35-93FB-4EF1-8A63-0FCFFE12F8F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<sst xmlns="http://schemas.openxmlformats.org/spreadsheetml/2006/main" count="1674" uniqueCount="210">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</sst>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I43" sqref="I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/>
      <c r="K43" s="29">
        <v>3.125E-2</v>
      </c>
      <c r="L43" s="29"/>
      <c r="M43" s="35">
        <f t="shared" ca="1" si="10"/>
        <v>2.490740742359776E-3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8.5824074075693146E-2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0.5455462962979154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L43" sqref="L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/>
      <c r="M43" s="35"/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ref="M43:M53" ca="1" si="11">IFERROR(IF(K44="","",IF(L44="",MOD(NOW()-K44,1),IF(L44&gt;=K44,L44-K44,L44+1-K44))),"")</f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31</v>
      </c>
      <c r="G54" s="36">
        <f>SUM(G42:G53)</f>
        <v>130.19999999999999</v>
      </c>
      <c r="H54" s="37"/>
      <c r="I54" s="37"/>
      <c r="J54" s="37"/>
      <c r="K54" s="37"/>
      <c r="L54" s="37"/>
      <c r="M54" s="38">
        <f ca="1">IFERROR(SUM(M42:M53),"")</f>
        <v>4.3749999999999956E-2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119</v>
      </c>
      <c r="G55" s="40">
        <f>G41+G54</f>
        <v>499.8</v>
      </c>
      <c r="H55" s="41"/>
      <c r="I55" s="41"/>
      <c r="J55" s="41"/>
      <c r="K55" s="41"/>
      <c r="L55" s="41"/>
      <c r="M55" s="42">
        <f ca="1">IFERROR(M41+M54,"")</f>
        <v>0.12361111111111106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15</v>
      </c>
      <c r="G54" s="36">
        <f>SUM(G42:G53)</f>
        <v>63.000000000000007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86</v>
      </c>
      <c r="G55" s="40">
        <f>G41+G54</f>
        <v>361.20000000000005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7" sqref="F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68</v>
      </c>
      <c r="G54" s="36">
        <f>SUM(G42:G53)</f>
        <v>285.60000000000002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153</v>
      </c>
      <c r="G55" s="40">
        <f>G41+G54</f>
        <v>642.6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2026-07-03T04:48:57Z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