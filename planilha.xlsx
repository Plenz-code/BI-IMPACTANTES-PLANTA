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100" documentId="8_{AF585B22-221D-4780-BB9C-493D365A6A02}" xr6:coauthVersionLast="47" xr6:coauthVersionMax="47" xr10:uidLastSave="{DFA1A963-1E13-4F5C-955A-C8319002E3A0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<sst xmlns="http://schemas.openxmlformats.org/spreadsheetml/2006/main" count="9645" uniqueCount="383">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</sst>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06" activePane="bottomLeft" state="frozen"/>
      <selection pane="bottomLeft" activeCell="F624" sqref="F62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20</v>
      </c>
      <c r="G635" s="36">
        <f>SUM(G623:G634)</f>
        <v>100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20</v>
      </c>
      <c r="G649" s="40">
        <f>G635+G648</f>
        <v>100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07" activePane="bottomLeft" state="frozen"/>
      <selection pane="bottomLeft" activeCell="F624" sqref="F6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0.12303148148203036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0.28067037037091924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0.39039259259314141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0.10150370370683959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0.27233703704017298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0.41747592592906185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/>
      <c r="I623" s="33"/>
      <c r="J623" s="33"/>
      <c r="K623" s="29">
        <v>0.29166666666666669</v>
      </c>
      <c r="L623" s="29"/>
      <c r="M623" s="35">
        <f t="shared" ref="M623:M634" ca="1" si="139">IFERROR(IF(K623="","",IF(L623="",MOD(NOW()-K623,1),IF(L623&gt;=K623,L623-K623,L623+1-K623))),"")</f>
        <v>7.0948148153547663E-2</v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</v>
      </c>
      <c r="G635" s="36">
        <f>SUM(G623:G634)</f>
        <v>37.800000000000004</v>
      </c>
      <c r="H635" s="37"/>
      <c r="I635" s="37"/>
      <c r="J635" s="37"/>
      <c r="K635" s="37"/>
      <c r="L635" s="37"/>
      <c r="M635" s="38">
        <f ca="1">IFERROR(SUM(M623:M634),"")</f>
        <v>7.0948148153547663E-2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9</v>
      </c>
      <c r="G649" s="40">
        <f>G635+G648</f>
        <v>37.800000000000004</v>
      </c>
      <c r="H649" s="41"/>
      <c r="I649" s="41"/>
      <c r="J649" s="41"/>
      <c r="K649" s="41"/>
      <c r="L649" s="41"/>
      <c r="M649" s="42">
        <f ca="1">IFERROR(M635+M648,"")</f>
        <v>7.0948148153547663E-2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07" zoomScale="50" zoomScaleNormal="50" workbookViewId="0">
      <selection activeCell="F624" sqref="F6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17</v>
      </c>
      <c r="G635" s="36">
        <f>SUM(G623:G634)</f>
        <v>71.400000000000006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17</v>
      </c>
      <c r="G649" s="40">
        <f>G635+G648</f>
        <v>71.400000000000006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07" activePane="bottomLeft" state="frozen"/>
      <selection pane="bottomLeft" activeCell="K626" sqref="K62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0.11330925926449709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0.31261481482005271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0.67997592593116374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0.65428148148203036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0.70914259259314161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0.8258092592598083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/>
      <c r="I623" s="33"/>
      <c r="J623" s="33" t="s">
        <v>74</v>
      </c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18</v>
      </c>
      <c r="G635" s="36">
        <f>SUM(G623:G634)</f>
        <v>75.600000000000009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18</v>
      </c>
      <c r="G649" s="40">
        <f>G635+G648</f>
        <v>75.600000000000009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2026-07-24T12:42:13Z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