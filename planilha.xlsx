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314" documentId="8_{AF585B22-221D-4780-BB9C-493D365A6A02}" xr6:coauthVersionLast="47" xr6:coauthVersionMax="47" xr10:uidLastSave="{95E9AAA2-D20E-4843-AE25-A23800476127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<sst xmlns="http://schemas.openxmlformats.org/spreadsheetml/2006/main" count="4913" uniqueCount="293">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</sst>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88" sqref="F28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79</v>
      </c>
      <c r="G297" s="36">
        <f>SUM(G285:G296)</f>
        <v>395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1975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68" activePane="bottomLeft" state="frozen"/>
      <selection pane="bottomLeft" activeCell="H285" sqref="H2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126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 t="s">
        <v>252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100.80000000000001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30</v>
      </c>
      <c r="G287" s="34">
        <f t="shared" si="63"/>
        <v>126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75</v>
      </c>
      <c r="G297" s="36">
        <f>SUM(G285:G296)</f>
        <v>315</v>
      </c>
      <c r="H297" s="37"/>
      <c r="I297" s="37"/>
      <c r="J297" s="37"/>
      <c r="K297" s="37"/>
      <c r="L297" s="37"/>
      <c r="M297" s="38">
        <f ca="1">IFERROR(SUM(M285:M296),"")</f>
        <v>1.5277777777777724E-2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258</v>
      </c>
      <c r="G298" s="40">
        <f>G284+G297</f>
        <v>1083.5999999999999</v>
      </c>
      <c r="H298" s="41"/>
      <c r="I298" s="41"/>
      <c r="J298" s="41"/>
      <c r="K298" s="41"/>
      <c r="L298" s="41"/>
      <c r="M298" s="42">
        <f ca="1">IFERROR(M284+M297,"")</f>
        <v>0.17291666666666655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9" zoomScale="50" zoomScaleNormal="50" workbookViewId="0">
      <selection activeCell="F288" sqref="F28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261</v>
      </c>
      <c r="N166" s="27" t="s">
        <v>262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19</v>
      </c>
      <c r="G297" s="36">
        <f>SUM(G285:G296)</f>
        <v>79.800000000000011</v>
      </c>
      <c r="H297" s="37"/>
      <c r="I297" s="37"/>
      <c r="J297" s="37"/>
      <c r="K297" s="37"/>
      <c r="L297" s="37"/>
      <c r="M297" s="38">
        <f ca="1">IFERROR(SUM(M285:M296),"")</f>
        <v>7.8472222222222276E-2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19</v>
      </c>
      <c r="G298" s="40">
        <f>G284+G297</f>
        <v>386.4</v>
      </c>
      <c r="H298" s="41"/>
      <c r="I298" s="41"/>
      <c r="J298" s="41"/>
      <c r="K298" s="41"/>
      <c r="L298" s="41"/>
      <c r="M298" s="42">
        <f ca="1">IFERROR(M284+M297,"")</f>
        <v>0.1340277777777778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F288" sqref="F28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272</v>
      </c>
      <c r="L58" s="29">
        <v>0.54097222222222219</v>
      </c>
      <c r="M58" s="30" t="str">
        <f t="shared" ca="1" si="13"/>
        <v/>
      </c>
      <c r="N58" s="27" t="s">
        <v>273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0.69451469907653518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0.8938202546320908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1.2611813657432018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1</v>
      </c>
      <c r="G286" s="28">
        <f t="shared" si="63"/>
        <v>4.2</v>
      </c>
      <c r="H286" s="49" t="s">
        <v>19</v>
      </c>
      <c r="I286" s="49" t="s">
        <v>57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40</v>
      </c>
      <c r="G287" s="34">
        <f t="shared" si="63"/>
        <v>168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41</v>
      </c>
      <c r="G297" s="36">
        <f>SUM(G285:G296)</f>
        <v>172.2</v>
      </c>
      <c r="H297" s="37"/>
      <c r="I297" s="37"/>
      <c r="J297" s="37"/>
      <c r="K297" s="61"/>
      <c r="L297" s="61"/>
      <c r="M297" s="38">
        <f ca="1">IFERROR(SUM(M285:M296),"")</f>
        <v>7.986111111111116E-2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228</v>
      </c>
      <c r="G298" s="40">
        <f>G284+G297</f>
        <v>957.60000000000014</v>
      </c>
      <c r="H298" s="41"/>
      <c r="I298" s="41"/>
      <c r="J298" s="41"/>
      <c r="K298" s="63"/>
      <c r="L298" s="63"/>
      <c r="M298" s="42">
        <f ca="1">IFERROR(M284+M297,"")</f>
        <v>0.14374999999999999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2026-07-12T02:39:09Z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