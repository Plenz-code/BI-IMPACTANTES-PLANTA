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86" documentId="8_{C51EB6CB-002B-4D6B-B68F-DDEBDB4460C0}" xr6:coauthVersionLast="47" xr6:coauthVersionMax="47" xr10:uidLastSave="{F58FB26C-440B-4046-BD1B-3019A733CF9E}"/>
  <bookViews>
    <workbookView xWindow="-108" yWindow="-108" windowWidth="23256" windowHeight="12456" tabRatio="500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6" l="1"/>
  <c r="M487" i="3"/>
  <c r="M838" i="4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<sst xmlns="http://schemas.openxmlformats.org/spreadsheetml/2006/main" count="5330" uniqueCount="333">
  <si>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</si>
  <si>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</si>
  <si>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</si>
  <si>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</si>
  <si>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</si>
  <si>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</si>
  <si>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</si>
  <si>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</si>
  <si>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</si>
  <si>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</si>
  <si>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</si>
  <si>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</si>
  <si>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</si>
  <si>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</si>
  <si>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</si>
  <si>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</si>
  <si>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</si>
  <si>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</si>
  <si>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</si>
  <si>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</si>
  <si>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</si>
  <si>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</si>
  <si>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</si>
  <si>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</si>
  <si>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</si>
  <si>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</si>
  <si>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</si>
  <si>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</si>
  <si>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</si>
  <si>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</si>
  <si>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</si>
  <si>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</si>
  <si>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</si>
  <si>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</si>
  <si>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</si>
  <si>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</si>
  <si>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</si>
  <si>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</si>
  <si>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</si>
  <si>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</si>
  <si>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</si>
  <si>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</si>
  <si>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</si>
  <si>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</si>
  <si>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</si>
  <si>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</si>
  <si>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</si>
  <si>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</si>
  <si>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</si>
  <si>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</si>
  <si>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</si>
  <si>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</si>
  <si>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</si>
  <si>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</si>
  <si>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</si>
  <si>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</si>
  <si>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</si>
  <si>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</si>
  <si>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</si>
  <si>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</si>
  <si>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</si>
  <si>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</si>
  <si>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</si>
  <si>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</si>
  <si>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</si>
  <si>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</si>
  <si>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</si>
  <si>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</si>
  <si>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</si>
  <si>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</si>
  <si>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</si>
  <si>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</si>
  <si>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</si>
  <si>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</si>
  <si>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</si>
  <si>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</si>
  <si>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</si>
  <si>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</si>
  <si>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</si>
  <si>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</si>
  <si>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</si>
  <si>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</si>
  <si>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</si>
  <si>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</si>
  <si>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</si>
  <si>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</si>
  <si>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</si>
  <si>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</si>
  <si>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</si>
  <si>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</si>
  <si>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</si>
  <si>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</si>
  <si>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</si>
  <si>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</si>
  <si>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</si>
  <si>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</si>
  <si>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</si>
  <si>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</si>
  <si>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</si>
  <si>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</si>
  <si>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</si>
  <si>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</si>
  <si>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</si>
  <si>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</si>
  <si>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</si>
  <si>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</si>
  <si>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</si>
  <si>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</si>
  <si>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</si>
  <si>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</si>
  <si>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</si>
  <si>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</si>
  <si>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</si>
  <si>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</si>
  <si>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</si>
  <si>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</si>
  <si>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</si>
  <si>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</si>
  <si>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</si>
  <si>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</si>
  <si>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</si>
  <si>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</si>
  <si>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</si>
  <si>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</si>
  <si>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</si>
  <si>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</si>
  <si>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</si>
  <si>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</si>
  <si>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</si>
  <si>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</si>
  <si>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</si>
  <si>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</si>
  <si>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</si>
  <si>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</si>
  <si>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</si>
  <si>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</si>
  <si>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</si>
  <si>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</si>
  <si>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</si>
  <si>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</si>
  <si>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</si>
  <si>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</si>
  <si>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</si>
  <si>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</si>
  <si>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</si>
  <si>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</si>
  <si>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</si>
  <si>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</si>
  <si>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</si>
  <si>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</si>
  <si>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</si>
  <si>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</si>
  <si>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</si>
  <si>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</si>
  <si>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</si>
  <si>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</si>
  <si>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</si>
  <si>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</si>
  <si>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</si>
  <si>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</si>
  <si>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</si>
  <si>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</si>
  <si>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</si>
  <si>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</si>
  <si>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</si>
  <si>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</si>
  <si>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</si>
  <si>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</si>
  <si>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</si>
  <si>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</si>
  <si>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</si>
  <si>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</si>
  <si>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</si>
  <si>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</si>
  <si>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</si>
  <si>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</si>
  <si>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</si>
  <si>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</si>
  <si>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</si>
  <si>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</si>
  <si>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</si>
  <si>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</si>
  <si>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</si>
  <si>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</si>
  <si>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</si>
  <si>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</si>
  <si>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</si>
  <si>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</si>
  <si>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</si>
  <si>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</si>
  <si>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</si>
  <si>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</si>
  <si>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</si>
  <si>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</si>
  <si>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</si>
  <si>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</si>
  <si>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</si>
  <si>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</si>
  <si>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</si>
  <si>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</si>
  <si>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</si>
  <si>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</si>
  <si>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</si>
  <si>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</si>
  <si>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</si>
  <si>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</si>
  <si>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</si>
  <si>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</si>
  <si>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</si>
  <si>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</si>
  <si>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</si>
  <si>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</si>
  <si>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</si>
  <si>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</si>
  <si>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</si>
  <si>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</si>
  <si>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</si>
  <si>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</si>
  <si>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</si>
  <si>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</si>
  <si>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</si>
  <si>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</si>
  <si>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</si>
  <si>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</si>
  <si>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</si>
  <si>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</si>
  <si>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</si>
  <si>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</si>
  <si>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</si>
  <si>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</si>
  <si>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</si>
  <si>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</si>
  <si>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</si>
  <si>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</si>
  <si>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</si>
  <si>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</si>
  <si>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</si>
  <si>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</si>
  <si>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</si>
  <si>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</si>
  <si>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</si>
  <si>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</si>
  <si>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</si>
  <si>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</si>
  <si>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</si>
  <si>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</si>
  <si>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</si>
  <si>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</si>
  <si>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</si>
  <si>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</si>
  <si>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</si>
  <si>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</si>
  <si>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</si>
  <si>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</si>
  <si>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</si>
  <si>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</si>
  <si>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</si>
  <si>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</si>
  <si>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</si>
  <si>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</si>
  <si>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</si>
  <si>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</si>
  <si>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</si>
  <si>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</si>
  <si>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</si>
  <si>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</si>
  <si>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</si>
  <si>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</si>
  <si>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</si>
  <si>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</si>
  <si>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</si>
  <si>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</si>
  <si>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</si>
  <si>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</si>
  <si>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</si>
  <si>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</si>
  <si>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</si>
  <si>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</si>
  <si>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</si>
  <si>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</si>
  <si>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</si>
  <si>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</si>
  <si>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</si>
  <si>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</si>
  <si>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</si>
  <si>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</si>
  <si>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</si>
  <si>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</si>
  <si>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</si>
  <si>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</si>
  <si>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</si>
  <si>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</si>
  <si>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</si>
  <si>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</si>
  <si>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</si>
  <si>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</si>
  <si>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</si>
  <si>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</si>
  <si>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</si>
  <si>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</si>
  <si>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</si>
  <si>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</si>
  <si>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</si>
  <si>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</si>
  <si>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</si>
  <si>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</si>
  <si>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</si>
  <si>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</si>
  <si>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</si>
  <si>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</si>
  <si>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</si>
  <si>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</si>
  <si>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</si>
  <si>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</si>
  <si>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</si>
  <si>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</si>
  <si>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</si>
  <si>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</si>
  <si>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</si>
  <si>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</si>
  <si>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</si>
  <si>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</si>
  <si>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</si>
  <si>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</si>
  <si>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</si>
  <si>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</si>
  <si>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</si>
  <si>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</si>
  <si>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</si>
  <si>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</si>
  <si>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</si>
  <si>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arrebentou balatas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</si>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</sst>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546875" defaultRowHeight="14.4" x14ac:dyDescent="0.3"/>
  <cols>
    <col min="1" max="1" width="17.5546875" customWidth="1"/>
    <col min="2" max="2" width="21" style="70" customWidth="1"/>
    <col min="3" max="3" width="19.5546875" customWidth="1"/>
    <col min="4" max="4" width="23.5546875" customWidth="1"/>
    <col min="5" max="5" width="26" customWidth="1"/>
    <col min="6" max="6" width="26.44140625" customWidth="1"/>
    <col min="7" max="7" width="32" customWidth="1"/>
  </cols>
  <sheetData>
    <row r="1" spans="1:7" ht="31.5" customHeight="1" x14ac:dyDescent="0.3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 x14ac:dyDescent="0.3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 x14ac:dyDescent="0.3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 x14ac:dyDescent="0.3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 x14ac:dyDescent="0.3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 x14ac:dyDescent="0.3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 x14ac:dyDescent="0.3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 x14ac:dyDescent="0.3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 x14ac:dyDescent="0.3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 x14ac:dyDescent="0.3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 x14ac:dyDescent="0.3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 x14ac:dyDescent="0.3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 x14ac:dyDescent="0.3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 x14ac:dyDescent="0.3">
      <c r="H2" s="113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3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3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3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 x14ac:dyDescent="0.3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 x14ac:dyDescent="0.3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 x14ac:dyDescent="0.3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 x14ac:dyDescent="0.3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 x14ac:dyDescent="0.3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 x14ac:dyDescent="0.3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 x14ac:dyDescent="0.3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 x14ac:dyDescent="0.3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 x14ac:dyDescent="0.3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 x14ac:dyDescent="0.3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 x14ac:dyDescent="0.3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 x14ac:dyDescent="0.3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 x14ac:dyDescent="0.3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 x14ac:dyDescent="0.3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 x14ac:dyDescent="0.3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 x14ac:dyDescent="0.3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 x14ac:dyDescent="0.3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 x14ac:dyDescent="0.3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 x14ac:dyDescent="0.3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 x14ac:dyDescent="0.3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 x14ac:dyDescent="0.3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 x14ac:dyDescent="0.3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 x14ac:dyDescent="0.3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 x14ac:dyDescent="0.3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 x14ac:dyDescent="0.3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 x14ac:dyDescent="0.3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 x14ac:dyDescent="0.3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 x14ac:dyDescent="0.3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 x14ac:dyDescent="0.3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 x14ac:dyDescent="0.3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 x14ac:dyDescent="0.3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 x14ac:dyDescent="0.3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 x14ac:dyDescent="0.3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 x14ac:dyDescent="0.3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 x14ac:dyDescent="0.3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 x14ac:dyDescent="0.3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 x14ac:dyDescent="0.3">
      <c r="H58" s="113"/>
      <c r="I58" s="16"/>
      <c r="J58" s="16"/>
      <c r="K58" s="16" t="s">
        <v>208</v>
      </c>
      <c r="L58" s="16"/>
      <c r="M58" s="16"/>
    </row>
    <row r="59" spans="1:13" ht="15" customHeight="1" x14ac:dyDescent="0.3">
      <c r="H59" s="113"/>
      <c r="I59" s="17"/>
      <c r="J59" s="17"/>
      <c r="K59" s="17" t="s">
        <v>209</v>
      </c>
      <c r="L59" s="17"/>
      <c r="M59" s="17"/>
    </row>
    <row r="60" spans="1:13" ht="15" customHeight="1" x14ac:dyDescent="0.3">
      <c r="H60" s="113"/>
      <c r="I60" s="16"/>
      <c r="J60" s="16"/>
      <c r="K60" s="86" t="s">
        <v>105</v>
      </c>
      <c r="L60" s="16"/>
      <c r="M60" s="16"/>
    </row>
    <row r="61" spans="1:13" ht="15" customHeight="1" x14ac:dyDescent="0.3">
      <c r="H61" s="113"/>
      <c r="I61" s="17"/>
      <c r="J61" s="17"/>
      <c r="K61" s="17" t="s">
        <v>210</v>
      </c>
      <c r="L61" s="17"/>
      <c r="M61" s="17"/>
    </row>
    <row r="62" spans="1:13" ht="15" customHeight="1" x14ac:dyDescent="0.3">
      <c r="H62" s="113"/>
      <c r="I62" s="16"/>
      <c r="J62" s="16"/>
      <c r="K62" s="16" t="s">
        <v>211</v>
      </c>
      <c r="L62" s="16"/>
      <c r="M62" s="16"/>
    </row>
    <row r="63" spans="1:13" ht="15" customHeight="1" x14ac:dyDescent="0.3">
      <c r="H63" s="113"/>
      <c r="I63" s="17"/>
      <c r="J63" s="17"/>
      <c r="K63" s="17" t="s">
        <v>212</v>
      </c>
      <c r="L63" s="17"/>
      <c r="M63" s="17"/>
    </row>
    <row r="64" spans="1:13" ht="15" customHeight="1" x14ac:dyDescent="0.3">
      <c r="H64" s="113"/>
      <c r="I64" s="16"/>
      <c r="J64" s="16"/>
      <c r="K64" s="16" t="s">
        <v>213</v>
      </c>
      <c r="L64" s="16"/>
      <c r="M64" s="16"/>
    </row>
    <row r="65" spans="8:13" ht="15" customHeight="1" x14ac:dyDescent="0.3">
      <c r="H65" s="113"/>
      <c r="I65" s="17"/>
      <c r="J65" s="17"/>
      <c r="K65" s="17" t="s">
        <v>214</v>
      </c>
      <c r="L65" s="17"/>
      <c r="M65" s="17"/>
    </row>
    <row r="66" spans="8:13" ht="15" customHeight="1" x14ac:dyDescent="0.3">
      <c r="H66" s="113"/>
      <c r="I66" s="16"/>
      <c r="J66" s="16"/>
      <c r="K66" s="16" t="s">
        <v>215</v>
      </c>
      <c r="L66" s="16"/>
      <c r="M66" s="16"/>
    </row>
    <row r="67" spans="8:13" ht="15" customHeight="1" x14ac:dyDescent="0.3">
      <c r="H67" s="113"/>
      <c r="I67" s="17"/>
      <c r="J67" s="17"/>
      <c r="K67" s="17" t="s">
        <v>216</v>
      </c>
      <c r="L67" s="17"/>
      <c r="M67" s="17"/>
    </row>
    <row r="68" spans="8:13" ht="15" customHeight="1" x14ac:dyDescent="0.3">
      <c r="H68" s="113"/>
      <c r="I68" s="16"/>
      <c r="J68" s="16"/>
      <c r="K68" s="16" t="s">
        <v>217</v>
      </c>
      <c r="L68" s="16"/>
      <c r="M68" s="16"/>
    </row>
    <row r="69" spans="8:13" ht="15" customHeight="1" x14ac:dyDescent="0.3">
      <c r="H69" s="113"/>
      <c r="I69" s="17"/>
      <c r="J69" s="17"/>
      <c r="K69" s="17" t="s">
        <v>218</v>
      </c>
      <c r="L69" s="17"/>
      <c r="M69" s="17"/>
    </row>
    <row r="70" spans="8:13" ht="15" customHeight="1" x14ac:dyDescent="0.3">
      <c r="H70" s="113"/>
      <c r="I70" s="16"/>
      <c r="J70" s="16"/>
      <c r="K70" s="16" t="s">
        <v>219</v>
      </c>
      <c r="L70" s="16"/>
      <c r="M70" s="16"/>
    </row>
    <row r="71" spans="8:13" ht="15" customHeight="1" x14ac:dyDescent="0.3">
      <c r="H71" s="113"/>
      <c r="I71" s="17"/>
      <c r="J71" s="17"/>
      <c r="K71" s="17" t="s">
        <v>220</v>
      </c>
      <c r="L71" s="17"/>
      <c r="M71" s="17"/>
    </row>
    <row r="72" spans="8:13" ht="15" customHeight="1" x14ac:dyDescent="0.3">
      <c r="H72" s="113"/>
      <c r="I72" s="16"/>
      <c r="J72" s="16"/>
      <c r="K72" s="16" t="s">
        <v>221</v>
      </c>
      <c r="L72" s="16"/>
      <c r="M72" s="16"/>
    </row>
    <row r="73" spans="8:13" ht="15" customHeight="1" x14ac:dyDescent="0.3">
      <c r="H73" s="113"/>
      <c r="I73" s="17"/>
      <c r="J73" s="17"/>
      <c r="K73" s="17" t="s">
        <v>222</v>
      </c>
      <c r="L73" s="17"/>
      <c r="M73" s="17"/>
    </row>
    <row r="74" spans="8:13" ht="15" customHeight="1" x14ac:dyDescent="0.3">
      <c r="H74" s="113"/>
      <c r="I74" s="16"/>
      <c r="J74" s="16"/>
      <c r="K74" s="16" t="s">
        <v>223</v>
      </c>
      <c r="L74" s="16"/>
      <c r="M74" s="16"/>
    </row>
    <row r="75" spans="8:13" ht="15" customHeight="1" x14ac:dyDescent="0.3">
      <c r="H75" s="113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55" activePane="bottomLeft" state="frozen"/>
      <selection pane="bottomLeft" activeCell="G276" sqref="G276"/>
    </sheetView>
  </sheetViews>
  <sheetFormatPr defaultColWidth="8.5546875" defaultRowHeight="14.4" x14ac:dyDescent="0.3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43.554687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 x14ac:dyDescent="0.3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 x14ac:dyDescent="0.3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 x14ac:dyDescent="0.3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 x14ac:dyDescent="0.3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 x14ac:dyDescent="0.3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 x14ac:dyDescent="0.3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 x14ac:dyDescent="0.3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3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3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3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 x14ac:dyDescent="0.3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 x14ac:dyDescent="0.3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 x14ac:dyDescent="0.3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 x14ac:dyDescent="0.3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 x14ac:dyDescent="0.3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3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3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3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3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3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3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 x14ac:dyDescent="0.3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3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3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3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3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3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3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3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3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 x14ac:dyDescent="0.3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 x14ac:dyDescent="0.3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 x14ac:dyDescent="0.3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 x14ac:dyDescent="0.3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 x14ac:dyDescent="0.3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/>
      <c r="M276" s="30">
        <f t="shared" ca="1" si="61"/>
        <v>1.0517361108213663E-2</v>
      </c>
      <c r="N276" s="46" t="s">
        <v>331</v>
      </c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180</v>
      </c>
      <c r="G284" s="36">
        <f>SUM(G272:G283)</f>
        <v>900</v>
      </c>
      <c r="H284" s="37"/>
      <c r="I284" s="37"/>
      <c r="J284" s="37"/>
      <c r="K284" s="37"/>
      <c r="L284" s="37"/>
      <c r="M284" s="38">
        <f ca="1">IFERROR(SUM(M272:M283),"")</f>
        <v>0.11260069444154691</v>
      </c>
      <c r="N284" s="36" t="s">
        <v>236</v>
      </c>
      <c r="O284" s="39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 x14ac:dyDescent="0.3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180</v>
      </c>
      <c r="G298" s="40">
        <f>G284+G297</f>
        <v>900</v>
      </c>
      <c r="H298" s="41"/>
      <c r="I298" s="41"/>
      <c r="J298" s="41"/>
      <c r="K298" s="41"/>
      <c r="L298" s="41"/>
      <c r="M298" s="42">
        <f ca="1">IFERROR(M284+M297,"")</f>
        <v>0.11260069444154691</v>
      </c>
      <c r="N298" s="40" t="s">
        <v>240</v>
      </c>
      <c r="O298" s="48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 x14ac:dyDescent="0.3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3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3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3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 x14ac:dyDescent="0.3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3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3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3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 x14ac:dyDescent="0.3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3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3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3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3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3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3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3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3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3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3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3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3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3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3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3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3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3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3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3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3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3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3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3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3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44" activePane="bottomLeft" state="frozen"/>
      <selection pane="bottomLeft" activeCell="P274" sqref="P274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9.332031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48.5546875" style="20" customWidth="1"/>
    <col min="15" max="15" width="20" customWidth="1"/>
    <col min="16" max="16" width="20.109375" customWidth="1"/>
  </cols>
  <sheetData>
    <row r="1" spans="1:15" ht="37.5" customHeight="1" x14ac:dyDescent="0.3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 x14ac:dyDescent="0.3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 x14ac:dyDescent="0.3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 x14ac:dyDescent="0.3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 x14ac:dyDescent="0.3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 x14ac:dyDescent="0.3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 x14ac:dyDescent="0.3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 x14ac:dyDescent="0.3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 x14ac:dyDescent="0.3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 x14ac:dyDescent="0.3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 x14ac:dyDescent="0.3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 x14ac:dyDescent="0.3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 x14ac:dyDescent="0.3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 x14ac:dyDescent="0.3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0.48551736110675847</v>
      </c>
      <c r="N53" s="46" t="s">
        <v>265</v>
      </c>
      <c r="O53" s="31"/>
    </row>
    <row r="54" spans="1:15" ht="15.75" customHeight="1" x14ac:dyDescent="0.3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0.62440624999564731</v>
      </c>
      <c r="N54" s="36" t="s">
        <v>236</v>
      </c>
      <c r="O54" s="84">
        <v>352430</v>
      </c>
    </row>
    <row r="55" spans="1:15" ht="18" customHeight="1" x14ac:dyDescent="0.3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0.70912847221786968</v>
      </c>
      <c r="N55" s="40" t="s">
        <v>240</v>
      </c>
      <c r="O55" s="82">
        <f>IFERROR(O41+O54,"")</f>
        <v>663500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 x14ac:dyDescent="0.3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 x14ac:dyDescent="0.3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 x14ac:dyDescent="0.3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 x14ac:dyDescent="0.3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 x14ac:dyDescent="0.3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 x14ac:dyDescent="0.3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 x14ac:dyDescent="0.3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 x14ac:dyDescent="0.3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 x14ac:dyDescent="0.3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 x14ac:dyDescent="0.3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 x14ac:dyDescent="0.3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 x14ac:dyDescent="0.4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 x14ac:dyDescent="0.3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 x14ac:dyDescent="0.3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 x14ac:dyDescent="0.3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 x14ac:dyDescent="0.3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 x14ac:dyDescent="0.3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 x14ac:dyDescent="0.3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 x14ac:dyDescent="0.3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 x14ac:dyDescent="0.3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 x14ac:dyDescent="0.3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 x14ac:dyDescent="0.3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 x14ac:dyDescent="0.3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 x14ac:dyDescent="0.3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 x14ac:dyDescent="0.3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 x14ac:dyDescent="0.3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 x14ac:dyDescent="0.4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 x14ac:dyDescent="0.3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 x14ac:dyDescent="0.3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 x14ac:dyDescent="0.3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 x14ac:dyDescent="0.3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 x14ac:dyDescent="0.3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 x14ac:dyDescent="0.3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 x14ac:dyDescent="0.3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 x14ac:dyDescent="0.3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 x14ac:dyDescent="0.3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 x14ac:dyDescent="0.3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 x14ac:dyDescent="0.3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 x14ac:dyDescent="0.3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 x14ac:dyDescent="0.3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 x14ac:dyDescent="0.3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 x14ac:dyDescent="0.3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332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 x14ac:dyDescent="0.3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284</v>
      </c>
      <c r="O273" s="47"/>
    </row>
    <row r="274" spans="1:15" ht="15" customHeight="1" x14ac:dyDescent="0.3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 x14ac:dyDescent="0.3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285</v>
      </c>
      <c r="O275" s="47"/>
    </row>
    <row r="276" spans="1:15" ht="15" customHeight="1" x14ac:dyDescent="0.3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 x14ac:dyDescent="0.3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 x14ac:dyDescent="0.3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 x14ac:dyDescent="0.3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2"/>
        <v/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 x14ac:dyDescent="0.3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2"/>
        <v/>
      </c>
      <c r="H280" s="26"/>
      <c r="I280" s="26"/>
      <c r="J280" s="26"/>
      <c r="K280" s="29"/>
      <c r="L280" s="29"/>
      <c r="M280" s="30" t="str">
        <f t="shared" ca="1" si="60"/>
        <v/>
      </c>
      <c r="N280" s="46"/>
      <c r="O280" s="47"/>
    </row>
    <row r="281" spans="1:15" ht="15" customHeight="1" x14ac:dyDescent="0.3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2"/>
        <v/>
      </c>
      <c r="H281" s="33"/>
      <c r="I281" s="33"/>
      <c r="J281" s="33"/>
      <c r="K281" s="29"/>
      <c r="L281" s="29"/>
      <c r="M281" s="35" t="str">
        <f t="shared" ca="1" si="60"/>
        <v/>
      </c>
      <c r="N281" s="46"/>
      <c r="O281" s="47"/>
    </row>
    <row r="282" spans="1:15" ht="15" customHeight="1" x14ac:dyDescent="0.3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2"/>
        <v/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 x14ac:dyDescent="0.3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2"/>
        <v/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 x14ac:dyDescent="0.3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69</v>
      </c>
      <c r="G284" s="90">
        <f>SUM(G272:G283)</f>
        <v>260.40000000000003</v>
      </c>
      <c r="H284" s="37"/>
      <c r="I284" s="37"/>
      <c r="J284" s="37"/>
      <c r="K284" s="37"/>
      <c r="L284" s="37"/>
      <c r="M284" s="38">
        <f ca="1">IFERROR(SUM(M272:M283),"")</f>
        <v>8.1249999999999989E-2</v>
      </c>
      <c r="N284" s="36" t="s">
        <v>236</v>
      </c>
      <c r="O284" s="77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 x14ac:dyDescent="0.3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69</v>
      </c>
      <c r="G298" s="40">
        <f>G284+G297</f>
        <v>260.40000000000003</v>
      </c>
      <c r="H298" s="41"/>
      <c r="I298" s="41"/>
      <c r="J298" s="41"/>
      <c r="K298" s="41"/>
      <c r="L298" s="41"/>
      <c r="M298" s="42">
        <f ca="1">IFERROR(M284+M297,"")</f>
        <v>8.1249999999999989E-2</v>
      </c>
      <c r="N298" s="40" t="s">
        <v>240</v>
      </c>
      <c r="O298" s="83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 x14ac:dyDescent="0.3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 x14ac:dyDescent="0.3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 x14ac:dyDescent="0.3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 x14ac:dyDescent="0.3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 x14ac:dyDescent="0.3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 x14ac:dyDescent="0.3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 x14ac:dyDescent="0.3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 x14ac:dyDescent="0.3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 x14ac:dyDescent="0.3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 x14ac:dyDescent="0.3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 x14ac:dyDescent="0.3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 x14ac:dyDescent="0.3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 x14ac:dyDescent="0.3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 x14ac:dyDescent="0.3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 x14ac:dyDescent="0.3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 x14ac:dyDescent="0.3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3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3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3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 x14ac:dyDescent="0.3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 x14ac:dyDescent="0.3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 x14ac:dyDescent="0.3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Y289" sqref="Y289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57.10937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286</v>
      </c>
      <c r="O15" s="31"/>
    </row>
    <row r="16" spans="1:15" ht="15" customHeight="1" x14ac:dyDescent="0.3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 x14ac:dyDescent="0.3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 x14ac:dyDescent="0.3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 x14ac:dyDescent="0.3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287</v>
      </c>
      <c r="O19" s="31"/>
    </row>
    <row r="20" spans="1:15" ht="15" customHeight="1" x14ac:dyDescent="0.3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 x14ac:dyDescent="0.3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286</v>
      </c>
      <c r="O43" s="31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286</v>
      </c>
      <c r="O50" s="31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 x14ac:dyDescent="0.3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 x14ac:dyDescent="0.3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288</v>
      </c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289</v>
      </c>
      <c r="O69" s="31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 x14ac:dyDescent="0.3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290</v>
      </c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291</v>
      </c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292</v>
      </c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 x14ac:dyDescent="0.3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293</v>
      </c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 x14ac:dyDescent="0.3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294</v>
      </c>
      <c r="O137" s="31"/>
    </row>
    <row r="138" spans="1:15" ht="15" customHeight="1" x14ac:dyDescent="0.3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 x14ac:dyDescent="0.3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 x14ac:dyDescent="0.3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 x14ac:dyDescent="0.3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 x14ac:dyDescent="0.3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 x14ac:dyDescent="0.3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295</v>
      </c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296</v>
      </c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 x14ac:dyDescent="0.3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 x14ac:dyDescent="0.3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297</v>
      </c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 x14ac:dyDescent="0.3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 x14ac:dyDescent="0.3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298</v>
      </c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299</v>
      </c>
      <c r="M222" s="30" t="str">
        <f t="shared" ca="1" si="49"/>
        <v/>
      </c>
      <c r="N222" s="27" t="s">
        <v>300</v>
      </c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 x14ac:dyDescent="0.3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 x14ac:dyDescent="0.3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 x14ac:dyDescent="0.3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301</v>
      </c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 x14ac:dyDescent="0.3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0.41260069444251712</v>
      </c>
      <c r="N259" s="27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0.47440624999807268</v>
      </c>
      <c r="N270" s="36" t="s">
        <v>236</v>
      </c>
      <c r="O270" s="39">
        <v>327900</v>
      </c>
    </row>
    <row r="271" spans="1:15" ht="18" customHeight="1" x14ac:dyDescent="0.3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0.53551736110918391</v>
      </c>
      <c r="N271" s="40" t="s">
        <v>240</v>
      </c>
      <c r="O271" s="48">
        <f>IFERROR(O257+O270,"")</f>
        <v>877340</v>
      </c>
    </row>
    <row r="272" spans="1:15" ht="15" customHeight="1" x14ac:dyDescent="0.3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302</v>
      </c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56</v>
      </c>
      <c r="G284" s="36">
        <f>SUM(G272:G283)</f>
        <v>235.20000000000002</v>
      </c>
      <c r="H284" s="37"/>
      <c r="I284" s="37"/>
      <c r="J284" s="37"/>
      <c r="K284" s="37"/>
      <c r="L284" s="37"/>
      <c r="M284" s="38">
        <f ca="1">IFERROR(SUM(M272:M283),"")</f>
        <v>0.10138888888888892</v>
      </c>
      <c r="N284" s="36" t="s">
        <v>236</v>
      </c>
      <c r="O284" s="39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 x14ac:dyDescent="0.3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56</v>
      </c>
      <c r="G298" s="40">
        <f>G284+G297</f>
        <v>235.20000000000002</v>
      </c>
      <c r="H298" s="41"/>
      <c r="I298" s="41"/>
      <c r="J298" s="41"/>
      <c r="K298" s="41"/>
      <c r="L298" s="41"/>
      <c r="M298" s="42">
        <f ca="1">IFERROR(M284+M297,"")</f>
        <v>0.10138888888888892</v>
      </c>
      <c r="N298" s="40" t="s">
        <v>240</v>
      </c>
      <c r="O298" s="48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 x14ac:dyDescent="0.3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3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3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3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3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 x14ac:dyDescent="0.3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3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3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3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3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3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3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3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3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3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3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3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3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3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3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3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3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3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53" activePane="bottomLeft" state="frozen"/>
      <selection pane="bottomLeft" activeCell="G272" sqref="G272:G278"/>
    </sheetView>
  </sheetViews>
  <sheetFormatPr defaultColWidth="8.5546875" defaultRowHeight="14.4" x14ac:dyDescent="0.3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42.33203125" style="57" customWidth="1"/>
    <col min="11" max="11" width="18.44140625" style="57" customWidth="1"/>
    <col min="12" max="12" width="14" style="58" customWidth="1"/>
    <col min="13" max="13" width="14" style="57" customWidth="1"/>
    <col min="14" max="14" width="64.88671875" style="57" customWidth="1"/>
    <col min="15" max="15" width="14" customWidth="1"/>
    <col min="16" max="16" width="9.44140625" bestFit="1" customWidth="1"/>
  </cols>
  <sheetData>
    <row r="1" spans="1:15" ht="37.5" customHeight="1" x14ac:dyDescent="0.3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303</v>
      </c>
      <c r="O16" s="60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286</v>
      </c>
      <c r="O18" s="60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304</v>
      </c>
      <c r="O19" s="60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305</v>
      </c>
      <c r="O22" s="60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 x14ac:dyDescent="0.3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306</v>
      </c>
      <c r="O45" s="60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 x14ac:dyDescent="0.3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307</v>
      </c>
      <c r="O59" s="60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308</v>
      </c>
      <c r="O60" s="60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309</v>
      </c>
      <c r="O69" s="60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286</v>
      </c>
      <c r="O72" s="60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 x14ac:dyDescent="0.3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286</v>
      </c>
      <c r="O97" s="60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 x14ac:dyDescent="0.3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310</v>
      </c>
      <c r="O114" s="60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311</v>
      </c>
      <c r="O124" s="60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286</v>
      </c>
      <c r="O129" s="60"/>
    </row>
    <row r="130" spans="1:18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 x14ac:dyDescent="0.3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 x14ac:dyDescent="0.3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312</v>
      </c>
      <c r="O138" s="31"/>
    </row>
    <row r="139" spans="1:18" ht="15" customHeight="1" x14ac:dyDescent="0.3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313</v>
      </c>
      <c r="O139" s="31"/>
    </row>
    <row r="140" spans="1:18" ht="15" customHeight="1" x14ac:dyDescent="0.3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 x14ac:dyDescent="0.3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 x14ac:dyDescent="0.3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 x14ac:dyDescent="0.3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 x14ac:dyDescent="0.3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314</v>
      </c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315</v>
      </c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 x14ac:dyDescent="0.3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316</v>
      </c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317</v>
      </c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 x14ac:dyDescent="0.3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318</v>
      </c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 x14ac:dyDescent="0.3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319</v>
      </c>
      <c r="O204" s="60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 x14ac:dyDescent="0.3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321</v>
      </c>
      <c r="O206" s="60"/>
    </row>
    <row r="207" spans="1:15" ht="15" customHeight="1" x14ac:dyDescent="0.3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 x14ac:dyDescent="0.3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 x14ac:dyDescent="0.3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 x14ac:dyDescent="0.3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322</v>
      </c>
      <c r="O220" s="60"/>
    </row>
    <row r="221" spans="1:15" ht="15" customHeight="1" x14ac:dyDescent="0.3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323</v>
      </c>
      <c r="O221" s="60"/>
    </row>
    <row r="222" spans="1:15" ht="15" customHeight="1" x14ac:dyDescent="0.3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 x14ac:dyDescent="0.3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 x14ac:dyDescent="0.3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324</v>
      </c>
      <c r="O231" s="60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325</v>
      </c>
      <c r="O232" s="60"/>
    </row>
    <row r="233" spans="1:15" ht="15" customHeight="1" x14ac:dyDescent="0.3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 x14ac:dyDescent="0.3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 x14ac:dyDescent="0.3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 x14ac:dyDescent="0.3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 x14ac:dyDescent="0.3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 x14ac:dyDescent="0.3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 x14ac:dyDescent="0.3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 x14ac:dyDescent="0.3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326</v>
      </c>
      <c r="O249" s="60"/>
    </row>
    <row r="250" spans="1:15" ht="15" customHeight="1" x14ac:dyDescent="0.3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 x14ac:dyDescent="0.3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 x14ac:dyDescent="0.3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327</v>
      </c>
      <c r="O252" s="60"/>
    </row>
    <row r="253" spans="1:15" ht="15" customHeight="1" x14ac:dyDescent="0.3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293</v>
      </c>
      <c r="O253" s="60"/>
    </row>
    <row r="254" spans="1:15" ht="15" customHeight="1" x14ac:dyDescent="0.3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 x14ac:dyDescent="0.3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328</v>
      </c>
      <c r="O258" s="60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329</v>
      </c>
      <c r="O259" s="60"/>
    </row>
    <row r="260" spans="1:15" ht="15" customHeight="1" x14ac:dyDescent="0.3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 x14ac:dyDescent="0.3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 x14ac:dyDescent="0.3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 x14ac:dyDescent="0.3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 x14ac:dyDescent="0.3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 x14ac:dyDescent="0.3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 x14ac:dyDescent="0.3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330</v>
      </c>
      <c r="O276" s="60"/>
    </row>
    <row r="277" spans="1:15" ht="15" customHeight="1" x14ac:dyDescent="0.3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 x14ac:dyDescent="0.3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 x14ac:dyDescent="0.3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52</v>
      </c>
      <c r="J279" s="33" t="s">
        <v>56</v>
      </c>
      <c r="K279" s="29">
        <v>0.53263888888888888</v>
      </c>
      <c r="L279" s="29"/>
      <c r="M279" s="35">
        <f ca="1">IFERROR(IF(K279="","",IF(L279="",MOD(NOW()-K279,1),IF(L279&gt;=K279,L279-K279,L279+1-K279))),"")</f>
        <v>7.4406250001629815E-2</v>
      </c>
      <c r="N279" s="27"/>
      <c r="O279" s="60"/>
    </row>
    <row r="280" spans="1:15" ht="15" customHeight="1" x14ac:dyDescent="0.3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94</v>
      </c>
      <c r="G284" s="36">
        <f>SUM(G272:G283)</f>
        <v>394.8</v>
      </c>
      <c r="H284" s="37"/>
      <c r="I284" s="37"/>
      <c r="J284" s="37"/>
      <c r="K284" s="61"/>
      <c r="L284" s="61"/>
      <c r="M284" s="38">
        <f ca="1">IFERROR(SUM(M272:M283),"")</f>
        <v>0.12440625000162975</v>
      </c>
      <c r="N284" s="36" t="s">
        <v>236</v>
      </c>
      <c r="O284" s="39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 x14ac:dyDescent="0.3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94</v>
      </c>
      <c r="G298" s="40">
        <f>G284+G297</f>
        <v>394.8</v>
      </c>
      <c r="H298" s="41"/>
      <c r="I298" s="41"/>
      <c r="J298" s="41"/>
      <c r="K298" s="63"/>
      <c r="L298" s="63"/>
      <c r="M298" s="42">
        <f ca="1">IFERROR(M284+M297,"")</f>
        <v>0.12440625000162975</v>
      </c>
      <c r="N298" s="40" t="s">
        <v>240</v>
      </c>
      <c r="O298" s="48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 x14ac:dyDescent="0.3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3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3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3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3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3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3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3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3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3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3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3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3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3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3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 x14ac:dyDescent="0.3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3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3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3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3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 x14ac:dyDescent="0.3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 x14ac:dyDescent="0.3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 x14ac:dyDescent="0.3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3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3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3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3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3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3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3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3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3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3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3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3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3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3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3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3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3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3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3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 x14ac:dyDescent="0.3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 x14ac:dyDescent="0.3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3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2026-08-11T18:46:15Z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