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122" documentId="8_{AF585B22-221D-4780-BB9C-493D365A6A02}" xr6:coauthVersionLast="47" xr6:coauthVersionMax="47" xr10:uidLastSave="{41CF67E0-DC61-4083-93BF-FE43ECE0C31F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<sst xmlns="http://schemas.openxmlformats.org/spreadsheetml/2006/main" count="2372" uniqueCount="230">
  <si>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</si>
  <si>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</si>
  <si>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</si>
  <si>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</si>
  <si>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</si>
  <si>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</si>
  <si>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</si>
  <si>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</si>
  <si>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</si>
  <si>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</si>
  <si>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</si>
  <si>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</si>
  <si>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</si>
  <si>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</si>
  <si>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</si>
  <si>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</si>
  <si>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</si>
  <si>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</si>
  <si>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</si>
  <si>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</si>
  <si>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</si>
  <si>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</si>
  <si>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</si>
  <si>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</si>
  <si>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</si>
  <si>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</si>
  <si>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</si>
  <si>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</si>
  <si>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</si>
  <si>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</si>
  <si>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</si>
  <si>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</si>
  <si>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</si>
  <si>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</si>
  <si>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</si>
  <si>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</si>
  <si>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</si>
  <si>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</si>
  <si>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</si>
  <si>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</si>
  <si>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</si>
  <si>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</si>
  <si>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</si>
  <si>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</si>
  <si>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</si>
  <si>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</si>
  <si>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</si>
  <si>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</si>
  <si>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</si>
  <si>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</si>
  <si>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</si>
  <si>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</si>
  <si>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</si>
  <si>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</si>
  <si>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</si>
  <si>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</si>
  <si>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</si>
  <si>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</si>
  <si>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</si>
  <si>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</si>
  <si>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</si>
  <si>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</si>
  <si>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</si>
  <si>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</si>
  <si>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</si>
  <si>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</si>
  <si>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</si>
  <si>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</si>
  <si>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</si>
  <si>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</si>
  <si>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</si>
  <si>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</si>
  <si>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</si>
  <si>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</si>
  <si>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</si>
  <si>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</si>
  <si>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</si>
  <si>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</si>
  <si>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</si>
  <si>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</si>
  <si>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</si>
  <si>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</si>
  <si>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</si>
  <si>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</si>
  <si>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</si>
  <si>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</si>
  <si>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</si>
  <si>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</si>
  <si>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</si>
  <si>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</si>
  <si>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</si>
  <si>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</si>
  <si>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</si>
  <si>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</si>
  <si>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</si>
  <si>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</si>
  <si>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</si>
  <si>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</si>
  <si>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</si>
  <si>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</si>
  <si>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</si>
  <si>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</si>
  <si>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</si>
  <si>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</si>
  <si>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</si>
  <si>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</si>
  <si>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</si>
  <si>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</si>
  <si>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</si>
  <si>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</si>
  <si>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</si>
  <si>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</si>
  <si>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</si>
  <si>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</si>
  <si>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</si>
  <si>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</si>
  <si>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</si>
  <si>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</si>
  <si>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</si>
  <si>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</si>
  <si>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</si>
  <si>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</si>
  <si>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</si>
  <si>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</si>
  <si>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</si>
  <si>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</si>
  <si>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</si>
  <si>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</si>
  <si>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</si>
  <si>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</si>
  <si>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</si>
  <si>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</si>
  <si>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</si>
  <si>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</si>
  <si>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</si>
  <si>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</si>
  <si>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</si>
  <si>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</si>
  <si>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</si>
  <si>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</si>
  <si>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</si>
  <si>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</si>
  <si>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</si>
  <si>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</si>
  <si>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</si>
  <si>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</si>
  <si>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</si>
  <si>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</si>
  <si>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</si>
  <si>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</si>
  <si>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</si>
  <si>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</si>
  <si>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</si>
  <si>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</si>
  <si>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</si>
  <si>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</si>
  <si>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</si>
  <si>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</si>
  <si>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</si>
  <si>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</si>
  <si>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</si>
  <si>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</si>
  <si>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</si>
  <si>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</si>
  <si>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</si>
  <si>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</si>
  <si>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</si>
  <si>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</si>
  <si>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</si>
  <si>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</si>
  <si>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</si>
  <si>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</si>
  <si>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</si>
  <si>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</si>
  <si>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</si>
  <si>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</si>
  <si>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</si>
  <si>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</si>
  <si>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</si>
  <si>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</si>
  <si>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</si>
  <si>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</si>
  <si>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</si>
  <si>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</si>
  <si>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</si>
  <si>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</si>
  <si>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</si>
  <si>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</si>
  <si>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</si>
  <si>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</si>
  <si>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</si>
  <si>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</si>
  <si>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</si>
  <si>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</si>
  <si>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</si>
  <si>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</si>
  <si>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</si>
  <si>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</si>
  <si>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</si>
  <si>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</si>
  <si>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</si>
  <si>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</si>
  <si>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</si>
  <si>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</si>
  <si>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</si>
  <si>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</si>
  <si>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</si>
  <si>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</si>
  <si>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</si>
  <si>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</si>
  <si>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</si>
  <si>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</si>
  <si>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rolamento do moinho 1 estourado, operando apenas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</si>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</sst>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2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/>
      <c r="L54" s="16"/>
      <c r="M54" s="16"/>
    </row>
    <row r="55" spans="1:13" ht="15" customHeight="1">
      <c r="H55" s="96"/>
      <c r="I55" s="17"/>
      <c r="J55" s="17"/>
      <c r="K55" s="17"/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N97" sqref="N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101" sqref="F1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206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85">
        <v>276360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209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134</v>
      </c>
      <c r="K96" s="29">
        <v>0.98263888888888884</v>
      </c>
      <c r="L96" s="29"/>
      <c r="M96" s="30">
        <f t="shared" ref="M96:M107" ca="1" si="22">IFERROR(IF(K96="","",IF(L96="",MOD(NOW()-K96,1),IF(L96&gt;=K96,L96-K96,L96+1-K96))),"")</f>
        <v>2.1870717588171829E-2</v>
      </c>
      <c r="N96" s="46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10</v>
      </c>
      <c r="G97" s="28">
        <f t="shared" si="21"/>
        <v>42</v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16</v>
      </c>
      <c r="G98" s="34">
        <f t="shared" si="21"/>
        <v>67.2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76</v>
      </c>
      <c r="G108" s="36">
        <f>SUM(G96:G107)</f>
        <v>319.2</v>
      </c>
      <c r="H108" s="37"/>
      <c r="I108" s="37"/>
      <c r="J108" s="37"/>
      <c r="K108" s="37"/>
      <c r="L108" s="37"/>
      <c r="M108" s="38">
        <f ca="1">IFERROR(SUM(M96:M107),"")</f>
        <v>2.1870717588171829E-2</v>
      </c>
      <c r="N108" s="36" t="s">
        <v>198</v>
      </c>
      <c r="O108" s="54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188</v>
      </c>
      <c r="G109" s="40">
        <f>G95+G108</f>
        <v>838.40000000000009</v>
      </c>
      <c r="H109" s="41"/>
      <c r="I109" s="41"/>
      <c r="J109" s="41"/>
      <c r="K109" s="41"/>
      <c r="L109" s="41"/>
      <c r="M109" s="42">
        <f ca="1">IFERROR(M95+M108,"")</f>
        <v>0.2836762731437274</v>
      </c>
      <c r="N109" s="40" t="s">
        <v>201</v>
      </c>
      <c r="O109" s="83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0" activePane="bottomLeft" state="frozen"/>
      <selection pane="bottomLeft" activeCell="F100" sqref="F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/>
      <c r="M96" s="30">
        <f t="shared" ref="M96:M107" ca="1" si="22">IFERROR(IF(K96="","",IF(L96="",MOD(NOW()-K96,1),IF(L96&gt;=K96,L96-K96,L96+1-K96))),"")</f>
        <v>0.12881516203196952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0.12881516203196952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0.33020405092085842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H98" sqref="H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197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199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6" t="s">
        <v>200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197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199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6" t="s">
        <v>200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223</v>
      </c>
      <c r="L58" s="29">
        <v>0.54097222222222219</v>
      </c>
      <c r="M58" s="30" t="str">
        <f t="shared" ca="1" si="13"/>
        <v/>
      </c>
      <c r="N58" s="27" t="s">
        <v>224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197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199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6" t="s">
        <v>200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197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206</v>
      </c>
      <c r="F98" s="27">
        <v>20</v>
      </c>
      <c r="G98" s="34">
        <f t="shared" si="21"/>
        <v>84</v>
      </c>
      <c r="H98" s="26" t="s">
        <v>18</v>
      </c>
      <c r="I98" s="26"/>
      <c r="J98" s="26"/>
      <c r="K98" s="29">
        <v>0.99791666666666667</v>
      </c>
      <c r="L98" s="29"/>
      <c r="M98" s="35">
        <f t="shared" ca="1" si="22"/>
        <v>6.5929398115258664E-3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206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206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206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206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206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206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206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199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4.1315162033748187E-2</v>
      </c>
      <c r="N108" s="36" t="s">
        <v>198</v>
      </c>
      <c r="O108" s="39"/>
    </row>
    <row r="109" spans="1:15" ht="18" customHeight="1">
      <c r="A109" s="86" t="s">
        <v>200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0.22950960647819268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197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199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6" t="s">
        <v>200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197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199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6" t="s">
        <v>200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197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199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6" t="s">
        <v>200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197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199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6" t="s">
        <v>200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197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199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6" t="s">
        <v>200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197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199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6" t="s">
        <v>200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197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199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6" t="s">
        <v>200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197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199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6" t="s">
        <v>200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197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199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6" t="s">
        <v>200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197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199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6" t="s">
        <v>200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197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199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6" t="s">
        <v>200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197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199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6" t="s">
        <v>200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197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199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6" t="s">
        <v>200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197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199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6" t="s">
        <v>200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197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199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6" t="s">
        <v>200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197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199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6" t="s">
        <v>200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197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199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6" t="s">
        <v>200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197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199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6" t="s">
        <v>200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197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199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6" t="s">
        <v>200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197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199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6" t="s">
        <v>200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197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199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6" t="s">
        <v>200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197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199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6" t="s">
        <v>200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197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199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6" t="s">
        <v>200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197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199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6" t="s">
        <v>200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197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199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6" t="s">
        <v>200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197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199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6" t="s">
        <v>200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2026-07-05T04:06:57Z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