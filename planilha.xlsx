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57" documentId="8_{AF585B22-221D-4780-BB9C-493D365A6A02}" xr6:coauthVersionLast="47" xr6:coauthVersionMax="47" xr10:uidLastSave="{4F23A6B6-74B3-4223-8EEA-B2CBA392D9A2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" i="6" l="1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52" i="3"/>
  <c r="M51" i="3"/>
  <c r="M50" i="3"/>
  <c r="M49" i="3"/>
  <c r="M48" i="3"/>
  <c r="M47" i="3"/>
  <c r="M46" i="3"/>
  <c r="M45" i="3"/>
  <c r="M44" i="3"/>
  <c r="M43" i="3"/>
  <c r="M42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F19" i="1"/>
  <c r="E19" i="1"/>
  <c r="D19" i="1"/>
  <c r="G19" i="1" s="1"/>
  <c r="C19" i="1"/>
  <c r="E18" i="1"/>
  <c r="D18" i="1"/>
  <c r="G18" i="1" s="1"/>
  <c r="C18" i="1"/>
  <c r="D17" i="1"/>
  <c r="F16" i="1"/>
  <c r="C16" i="1"/>
  <c r="E15" i="1"/>
  <c r="D15" i="1"/>
  <c r="F14" i="1"/>
  <c r="E14" i="1"/>
  <c r="D14" i="1"/>
  <c r="F13" i="1"/>
  <c r="D13" i="1"/>
  <c r="G13" i="1" s="1"/>
  <c r="C13" i="1"/>
  <c r="G12" i="1"/>
  <c r="C12" i="1"/>
  <c r="G11" i="1"/>
  <c r="F11" i="1"/>
  <c r="E10" i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B47" i="6"/>
  <c r="B48" i="6" s="1"/>
  <c r="B49" i="6" s="1"/>
  <c r="B50" i="6" s="1"/>
  <c r="B51" i="6" s="1"/>
  <c r="B52" i="6" s="1"/>
  <c r="B53" i="6" s="1"/>
  <c r="M46" i="6"/>
  <c r="G46" i="6"/>
  <c r="M45" i="6"/>
  <c r="G45" i="6"/>
  <c r="M44" i="6"/>
  <c r="G44" i="6"/>
  <c r="B44" i="6"/>
  <c r="B45" i="6" s="1"/>
  <c r="B46" i="6" s="1"/>
  <c r="M43" i="6"/>
  <c r="G43" i="6"/>
  <c r="B43" i="6"/>
  <c r="M42" i="6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22" i="1" l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784" i="5" l="1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<sst xmlns="http://schemas.openxmlformats.org/spreadsheetml/2006/main" count="1505" uniqueCount="207">
  <si>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</si>
  <si>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</si>
  <si>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</si>
  <si>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</si>
  <si>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</si>
  <si>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</si>
  <si>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</si>
  <si>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</si>
  <si>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</si>
  <si>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</si>
  <si>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</si>
  <si>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</si>
  <si>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</si>
  <si>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</si>
  <si>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</si>
  <si>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</si>
  <si>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</si>
  <si>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</si>
  <si>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</si>
  <si>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</si>
  <si>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</si>
  <si>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</si>
  <si>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</si>
  <si>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</si>
  <si>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</si>
  <si>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</si>
  <si>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</si>
  <si>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</si>
  <si>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</si>
  <si>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</si>
  <si>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</si>
  <si>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</si>
  <si>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</si>
  <si>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</si>
  <si>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</si>
  <si>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</si>
  <si>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</si>
  <si>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</si>
  <si>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</si>
  <si>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</si>
  <si>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</si>
  <si>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</si>
  <si>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</si>
  <si>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</si>
  <si>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</si>
  <si>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</si>
  <si>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</si>
  <si>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</si>
  <si>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</si>
  <si>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</si>
  <si>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</si>
  <si>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</si>
  <si>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</si>
  <si>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</si>
  <si>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</si>
  <si>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</si>
  <si>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</si>
  <si>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</si>
  <si>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</si>
  <si>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</si>
  <si>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</si>
  <si>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</si>
  <si>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</si>
  <si>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</si>
  <si>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</si>
  <si>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</si>
  <si>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</si>
  <si>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</si>
  <si>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</si>
  <si>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</si>
  <si>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</si>
  <si>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</si>
  <si>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</si>
  <si>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</si>
  <si>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</si>
  <si>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</si>
  <si>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</si>
  <si>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</si>
  <si>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</si>
  <si>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</si>
  <si>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</si>
  <si>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</si>
  <si>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</si>
  <si>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</si>
  <si>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</si>
  <si>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</si>
  <si>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</si>
  <si>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</si>
  <si>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</si>
  <si>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</si>
  <si>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</si>
  <si>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</si>
  <si>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</si>
  <si>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</si>
  <si>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</si>
  <si>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</si>
  <si>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</si>
  <si>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</si>
  <si>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</si>
  <si>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</si>
  <si>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</si>
  <si>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</si>
  <si>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</si>
  <si>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</si>
  <si>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</si>
  <si>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</si>
  <si>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</si>
  <si>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</si>
  <si>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</si>
  <si>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</si>
  <si>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</si>
  <si>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</si>
  <si>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</si>
  <si>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</si>
  <si>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</si>
  <si>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</si>
  <si>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</si>
  <si>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</si>
  <si>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</si>
  <si>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</si>
  <si>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</si>
  <si>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</si>
  <si>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</si>
  <si>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</si>
  <si>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</si>
  <si>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</si>
  <si>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</si>
  <si>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</si>
  <si>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</si>
  <si>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</si>
  <si>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</si>
  <si>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</si>
  <si>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</si>
  <si>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</si>
  <si>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</si>
  <si>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</si>
  <si>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</si>
  <si>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</si>
  <si>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</si>
  <si>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</si>
  <si>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</si>
  <si>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</si>
  <si>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</si>
  <si>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</si>
  <si>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</si>
  <si>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</si>
  <si>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</si>
  <si>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</si>
  <si>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</si>
  <si>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</si>
  <si>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</si>
  <si>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</si>
  <si>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</si>
  <si>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</si>
  <si>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</si>
  <si>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</si>
  <si>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</si>
  <si>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</si>
  <si>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</si>
  <si>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</si>
  <si>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</si>
  <si>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</si>
  <si>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</si>
  <si>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</si>
  <si>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</si>
  <si>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</si>
  <si>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</si>
  <si>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</si>
  <si>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</si>
  <si>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</si>
  <si>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</si>
  <si>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</si>
  <si>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</si>
  <si>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</si>
  <si>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</si>
  <si>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</si>
  <si>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</si>
  <si>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</si>
  <si>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</si>
  <si>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</si>
  <si>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</si>
  <si>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</si>
  <si>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</si>
  <si>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</si>
  <si>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</si>
  <si>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</si>
  <si>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</si>
  <si>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</si>
  <si>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</si>
  <si>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</si>
  <si>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</si>
  <si>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</si>
  <si>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</si>
  <si>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</si>
  <si>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</si>
  <si>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</si>
  <si>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</si>
  <si>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</si>
  <si>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>9;06</t>
  </si>
  <si>
    <t>martelo soltou, troca de martelo, aperto de parafuso do mancal, manutenção bomba de rejeito</t>
  </si>
  <si>
    <t>solda na grelha</t>
  </si>
  <si>
    <t>solda na tampa do moinho</t>
  </si>
  <si>
    <t>troca de grelha e martelo, manutenção bomba de rejeito</t>
  </si>
  <si>
    <t>manutençao no rolamento do moinho 4</t>
  </si>
  <si>
    <t>troca de martelo</t>
  </si>
  <si>
    <t>OBS: APENAS MM 05 EM OPERACÃO</t>
  </si>
  <si>
    <t>bola 4 entupido, acoplamento do bola 3 solto, troca de martelo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</si>
</sst>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B3" sqref="B3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3" t="s">
        <v>0</v>
      </c>
      <c r="B1" s="83"/>
      <c r="C1" s="83"/>
      <c r="D1" s="83"/>
      <c r="E1" s="83"/>
      <c r="F1" s="83"/>
      <c r="G1" s="83"/>
    </row>
    <row r="2" spans="1:7" ht="24.75" customHeight="1">
      <c r="A2" s="84"/>
      <c r="B2" s="8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5" t="s">
        <v>9</v>
      </c>
      <c r="B35" s="85"/>
      <c r="C35" s="13">
        <f>IFERROR(SUM(C4:C34),"")</f>
        <v>2672480</v>
      </c>
      <c r="D35" s="13">
        <f>IFERROR(SUM(D4:D34),"")</f>
        <v>1020460</v>
      </c>
      <c r="E35" s="13">
        <f>IFERROR(SUM(E4:E34),"")</f>
        <v>601030</v>
      </c>
      <c r="F35" s="13">
        <f>IFERROR(SUM(F4:F34),"")</f>
        <v>529300</v>
      </c>
      <c r="G35" s="13">
        <f>IFERROR(SUM(G4:G34),"")</f>
        <v>2150790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9" zoomScale="85" zoomScaleNormal="85" workbookViewId="0">
      <selection activeCell="K53" sqref="K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6" t="s">
        <v>10</v>
      </c>
      <c r="B1" s="86"/>
      <c r="C1" s="86"/>
      <c r="D1" s="86"/>
      <c r="E1" s="86"/>
      <c r="F1" s="86"/>
      <c r="G1" s="86"/>
      <c r="H1" s="87"/>
      <c r="I1" s="88" t="s">
        <v>11</v>
      </c>
      <c r="J1" s="88"/>
      <c r="K1" s="88"/>
      <c r="L1" s="88"/>
      <c r="M1" s="88"/>
    </row>
    <row r="2" spans="1:13" ht="4.5" customHeight="1">
      <c r="H2" s="8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8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8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8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8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8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8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8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8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8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8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8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8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8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8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8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8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87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87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87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87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87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87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87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87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87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87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87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87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87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87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87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87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87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87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87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87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87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87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87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87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87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87"/>
      <c r="I44" s="16"/>
      <c r="J44" s="16"/>
      <c r="K44" s="16" t="s">
        <v>170</v>
      </c>
      <c r="L44" s="16"/>
      <c r="M44" s="16"/>
    </row>
    <row r="45" spans="1:13" ht="15.75" customHeight="1">
      <c r="A45" s="17"/>
      <c r="C45" s="17"/>
      <c r="E45" s="17"/>
      <c r="G45" s="17"/>
      <c r="H45" s="87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87"/>
      <c r="I46" s="16"/>
      <c r="J46" s="16"/>
      <c r="K46" s="16" t="s">
        <v>171</v>
      </c>
      <c r="L46" s="16"/>
      <c r="M46" s="16"/>
    </row>
    <row r="47" spans="1:13" ht="15.75" customHeight="1">
      <c r="A47" s="17"/>
      <c r="C47" s="17"/>
      <c r="E47" s="17"/>
      <c r="G47" s="17"/>
      <c r="H47" s="87"/>
      <c r="I47" s="17"/>
      <c r="J47" s="17"/>
      <c r="K47" s="17" t="s">
        <v>172</v>
      </c>
      <c r="L47" s="17"/>
      <c r="M47" s="17"/>
    </row>
    <row r="48" spans="1:13" ht="15.75" customHeight="1">
      <c r="A48" s="16"/>
      <c r="C48" s="16"/>
      <c r="E48" s="16"/>
      <c r="G48" s="16"/>
      <c r="H48" s="87"/>
      <c r="I48" s="16"/>
      <c r="J48" s="16"/>
      <c r="K48" s="16" t="s">
        <v>173</v>
      </c>
      <c r="L48" s="16"/>
      <c r="M48" s="16"/>
    </row>
    <row r="49" spans="1:13" ht="18" customHeight="1">
      <c r="H49" s="87"/>
      <c r="I49" s="17"/>
      <c r="J49" s="17"/>
      <c r="K49" s="17" t="s">
        <v>174</v>
      </c>
      <c r="L49" s="17"/>
      <c r="M49" s="17"/>
    </row>
    <row r="50" spans="1:13" ht="21" customHeight="1">
      <c r="A50" s="19" t="s">
        <v>175</v>
      </c>
      <c r="B50" s="19"/>
      <c r="C50" s="19"/>
      <c r="D50" s="19"/>
      <c r="E50" s="19"/>
      <c r="F50" s="19"/>
      <c r="G50" s="19"/>
      <c r="H50" s="87"/>
      <c r="I50" s="16"/>
      <c r="J50" s="16"/>
      <c r="K50" s="16" t="s">
        <v>176</v>
      </c>
      <c r="L50" s="16"/>
      <c r="M50" s="16"/>
    </row>
    <row r="51" spans="1:13" ht="24" customHeight="1">
      <c r="H51" s="87"/>
      <c r="I51" s="17"/>
      <c r="J51" s="17"/>
      <c r="K51" s="17" t="s">
        <v>177</v>
      </c>
      <c r="L51" s="17"/>
      <c r="M51" s="17"/>
    </row>
    <row r="52" spans="1:13" ht="24" customHeight="1">
      <c r="H52" s="87"/>
      <c r="I52" s="16"/>
      <c r="J52" s="16"/>
      <c r="K52" s="16" t="s">
        <v>178</v>
      </c>
      <c r="L52" s="16"/>
      <c r="M52" s="16"/>
    </row>
    <row r="53" spans="1:13" ht="36" customHeight="1">
      <c r="H53" s="87"/>
      <c r="I53" s="17"/>
      <c r="J53" s="17"/>
      <c r="K53" s="17"/>
      <c r="L53" s="17"/>
      <c r="M53" s="17"/>
    </row>
    <row r="54" spans="1:13" ht="15" customHeight="1">
      <c r="H54" s="87"/>
      <c r="I54" s="16"/>
      <c r="J54" s="16"/>
      <c r="K54" s="16"/>
      <c r="L54" s="16"/>
      <c r="M54" s="16"/>
    </row>
    <row r="55" spans="1:13" ht="15" customHeight="1">
      <c r="H55" s="87"/>
      <c r="I55" s="17"/>
      <c r="J55" s="17"/>
      <c r="K55" s="17"/>
      <c r="L55" s="17"/>
      <c r="M55" s="17"/>
    </row>
    <row r="56" spans="1:13" ht="15" customHeight="1">
      <c r="H56" s="87"/>
      <c r="I56" s="16"/>
      <c r="J56" s="16"/>
      <c r="K56" s="16"/>
      <c r="L56" s="16"/>
      <c r="M56" s="16"/>
    </row>
    <row r="57" spans="1:13" ht="15" customHeight="1">
      <c r="H57" s="87"/>
      <c r="I57" s="17"/>
      <c r="J57" s="17"/>
      <c r="K57" s="17"/>
      <c r="L57" s="17"/>
      <c r="M57" s="17"/>
    </row>
    <row r="58" spans="1:13" ht="15" customHeight="1">
      <c r="H58" s="87"/>
      <c r="I58" s="16"/>
      <c r="J58" s="16"/>
      <c r="K58" s="16"/>
      <c r="L58" s="16"/>
      <c r="M58" s="16"/>
    </row>
    <row r="59" spans="1:13" ht="15" customHeight="1">
      <c r="H59" s="87"/>
      <c r="I59" s="17"/>
      <c r="J59" s="17"/>
      <c r="K59" s="17"/>
      <c r="L59" s="17"/>
      <c r="M59" s="17"/>
    </row>
    <row r="60" spans="1:13" ht="15" customHeight="1">
      <c r="H60" s="87"/>
      <c r="I60" s="16"/>
      <c r="J60" s="16"/>
      <c r="K60" s="16"/>
      <c r="L60" s="16"/>
      <c r="M60" s="16"/>
    </row>
    <row r="61" spans="1:13" ht="15" customHeight="1">
      <c r="H61" s="87"/>
      <c r="I61" s="17"/>
      <c r="J61" s="17"/>
      <c r="K61" s="17"/>
      <c r="L61" s="17"/>
      <c r="M61" s="17"/>
    </row>
    <row r="62" spans="1:13" ht="15" customHeight="1">
      <c r="H62" s="87"/>
      <c r="I62" s="16"/>
      <c r="J62" s="16"/>
      <c r="K62" s="16"/>
      <c r="L62" s="16"/>
      <c r="M62" s="16"/>
    </row>
    <row r="63" spans="1:13" ht="15" customHeight="1">
      <c r="H63" s="87"/>
      <c r="I63" s="17"/>
      <c r="J63" s="17"/>
      <c r="K63" s="17"/>
      <c r="L63" s="17"/>
      <c r="M63" s="17"/>
    </row>
    <row r="64" spans="1:13" ht="15" customHeight="1">
      <c r="H64" s="87"/>
      <c r="I64" s="16"/>
      <c r="J64" s="16"/>
      <c r="K64" s="16"/>
      <c r="L64" s="16"/>
      <c r="M64" s="16"/>
    </row>
    <row r="65" spans="8:13" ht="15" customHeight="1">
      <c r="H65" s="87"/>
      <c r="I65" s="17"/>
      <c r="J65" s="17"/>
      <c r="K65" s="17"/>
      <c r="L65" s="17"/>
      <c r="M65" s="17"/>
    </row>
    <row r="66" spans="8:13" ht="15" customHeight="1">
      <c r="H66" s="87"/>
      <c r="I66" s="16"/>
      <c r="J66" s="16"/>
      <c r="K66" s="16"/>
      <c r="L66" s="16"/>
      <c r="M66" s="16"/>
    </row>
    <row r="67" spans="8:13" ht="15" customHeight="1">
      <c r="H67" s="87"/>
      <c r="I67" s="17"/>
      <c r="J67" s="17"/>
      <c r="K67" s="17"/>
      <c r="L67" s="17"/>
      <c r="M67" s="17"/>
    </row>
    <row r="68" spans="8:13" ht="15" customHeight="1">
      <c r="H68" s="87"/>
      <c r="I68" s="16"/>
      <c r="J68" s="16"/>
      <c r="K68" s="16"/>
      <c r="L68" s="16"/>
      <c r="M68" s="16"/>
    </row>
    <row r="69" spans="8:13" ht="15" customHeight="1">
      <c r="H69" s="87"/>
      <c r="I69" s="17"/>
      <c r="J69" s="17"/>
      <c r="K69" s="17"/>
      <c r="L69" s="17"/>
      <c r="M69" s="17"/>
    </row>
    <row r="70" spans="8:13" ht="15" customHeight="1">
      <c r="H70" s="87"/>
      <c r="I70" s="16"/>
      <c r="J70" s="16"/>
      <c r="K70" s="16"/>
      <c r="L70" s="16"/>
      <c r="M70" s="16"/>
    </row>
    <row r="71" spans="8:13" ht="15" customHeight="1">
      <c r="H71" s="87"/>
      <c r="I71" s="17"/>
      <c r="J71" s="17"/>
      <c r="K71" s="17"/>
      <c r="L71" s="17"/>
      <c r="M71" s="17"/>
    </row>
    <row r="72" spans="8:13" ht="15" customHeight="1">
      <c r="H72" s="87"/>
      <c r="I72" s="16"/>
      <c r="J72" s="16"/>
      <c r="K72" s="16"/>
      <c r="L72" s="16"/>
      <c r="M72" s="16"/>
    </row>
    <row r="73" spans="8:13" ht="15" customHeight="1">
      <c r="H73" s="87"/>
      <c r="I73" s="17"/>
      <c r="J73" s="17"/>
      <c r="K73" s="17"/>
      <c r="L73" s="17"/>
      <c r="M73" s="17"/>
    </row>
    <row r="74" spans="8:13" ht="15" customHeight="1">
      <c r="H74" s="87"/>
      <c r="I74" s="16"/>
      <c r="J74" s="16"/>
      <c r="K74" s="16"/>
      <c r="L74" s="16"/>
      <c r="M74" s="16"/>
    </row>
    <row r="75" spans="8:13" ht="15" customHeight="1">
      <c r="H75" s="8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" activePane="bottomLeft" state="frozen"/>
      <selection pane="bottomLeft" activeCell="L30" sqref="L3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179</v>
      </c>
      <c r="C1" s="23" t="s">
        <v>12</v>
      </c>
      <c r="D1" s="22" t="s">
        <v>13</v>
      </c>
      <c r="E1" s="22" t="s">
        <v>180</v>
      </c>
      <c r="F1" s="23" t="s">
        <v>181</v>
      </c>
      <c r="G1" s="23" t="s">
        <v>182</v>
      </c>
      <c r="H1" s="23" t="s">
        <v>14</v>
      </c>
      <c r="I1" s="23" t="s">
        <v>15</v>
      </c>
      <c r="J1" s="23" t="s">
        <v>183</v>
      </c>
      <c r="K1" s="23" t="s">
        <v>184</v>
      </c>
      <c r="L1" s="23" t="s">
        <v>185</v>
      </c>
      <c r="M1" s="24" t="s">
        <v>186</v>
      </c>
      <c r="N1" s="23" t="s">
        <v>187</v>
      </c>
      <c r="O1" s="23" t="s">
        <v>188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189</v>
      </c>
      <c r="E2" s="59" t="s">
        <v>190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77" t="s">
        <v>192</v>
      </c>
      <c r="B14" s="78"/>
      <c r="C14" s="78"/>
      <c r="D14" s="78"/>
      <c r="E14" s="7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194</v>
      </c>
      <c r="B27" s="78"/>
      <c r="C27" s="78"/>
      <c r="D27" s="78"/>
      <c r="E27" s="7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193</v>
      </c>
      <c r="O27" s="39">
        <v>1183060</v>
      </c>
    </row>
    <row r="28" spans="1:15" ht="18" customHeight="1">
      <c r="A28" s="80" t="s">
        <v>195</v>
      </c>
      <c r="B28" s="81"/>
      <c r="C28" s="81"/>
      <c r="D28" s="81"/>
      <c r="E28" s="8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172</v>
      </c>
      <c r="K30" s="29">
        <v>0.37916666666666665</v>
      </c>
      <c r="L30" s="29"/>
      <c r="M30" s="30">
        <f t="shared" ca="1" si="7"/>
        <v>0.17781539352290565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190</v>
      </c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190</v>
      </c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190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190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190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190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190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190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190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192</v>
      </c>
      <c r="B41" s="78"/>
      <c r="C41" s="78"/>
      <c r="D41" s="78"/>
      <c r="E41" s="7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0.22503761574512787</v>
      </c>
      <c r="N41" s="36" t="s">
        <v>193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194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193</v>
      </c>
      <c r="O54" s="39"/>
    </row>
    <row r="55" spans="1:15" ht="18" customHeight="1">
      <c r="A55" s="80" t="s">
        <v>195</v>
      </c>
      <c r="B55" s="81"/>
      <c r="C55" s="81"/>
      <c r="D55" s="81"/>
      <c r="E55" s="82">
        <f>E41+E54</f>
        <v>0</v>
      </c>
      <c r="F55" s="40">
        <f>F41+F54</f>
        <v>21</v>
      </c>
      <c r="G55" s="40">
        <f>G41+G54</f>
        <v>105</v>
      </c>
      <c r="H55" s="41"/>
      <c r="I55" s="41"/>
      <c r="J55" s="41"/>
      <c r="K55" s="41"/>
      <c r="L55" s="41"/>
      <c r="M55" s="42">
        <f ca="1">IFERROR(M41+M54,"")</f>
        <v>0.22503761574512787</v>
      </c>
      <c r="N55" s="40" t="s">
        <v>196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192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193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194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193</v>
      </c>
      <c r="O81" s="39"/>
    </row>
    <row r="82" spans="1:15" ht="18" customHeight="1">
      <c r="A82" s="80" t="s">
        <v>195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196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192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193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194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193</v>
      </c>
      <c r="O108" s="39"/>
    </row>
    <row r="109" spans="1:15" ht="18" customHeight="1">
      <c r="A109" s="80" t="s">
        <v>195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196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192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193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194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193</v>
      </c>
      <c r="O135" s="39"/>
    </row>
    <row r="136" spans="1:15" ht="18" customHeight="1">
      <c r="A136" s="80" t="s">
        <v>195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196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192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193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194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193</v>
      </c>
      <c r="O162" s="44"/>
    </row>
    <row r="163" spans="1:15" ht="18" customHeight="1">
      <c r="A163" s="80" t="s">
        <v>195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196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192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193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194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193</v>
      </c>
      <c r="O189" s="39"/>
    </row>
    <row r="190" spans="1:15" ht="18" customHeight="1">
      <c r="A190" s="80" t="s">
        <v>195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196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192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193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194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193</v>
      </c>
      <c r="O216" s="45"/>
    </row>
    <row r="217" spans="1:15" ht="18" customHeight="1">
      <c r="A217" s="80" t="s">
        <v>195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196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192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193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194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193</v>
      </c>
      <c r="O243" s="39"/>
    </row>
    <row r="244" spans="1:15" ht="18" customHeight="1">
      <c r="A244" s="80" t="s">
        <v>195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196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192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194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193</v>
      </c>
      <c r="O270" s="39"/>
    </row>
    <row r="271" spans="1:15" ht="18" customHeight="1">
      <c r="A271" s="80" t="s">
        <v>195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192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194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193</v>
      </c>
      <c r="O297" s="39"/>
    </row>
    <row r="298" spans="1:15" ht="18" customHeight="1">
      <c r="A298" s="80" t="s">
        <v>195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192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194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193</v>
      </c>
      <c r="O324" s="39"/>
    </row>
    <row r="325" spans="1:15" ht="18" customHeight="1">
      <c r="A325" s="80" t="s">
        <v>195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192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194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193</v>
      </c>
      <c r="O351" s="39"/>
    </row>
    <row r="352" spans="1:15" ht="18" customHeight="1">
      <c r="A352" s="80" t="s">
        <v>195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192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194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193</v>
      </c>
      <c r="O378" s="39"/>
    </row>
    <row r="379" spans="1:15" ht="18" customHeight="1">
      <c r="A379" s="80" t="s">
        <v>195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192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194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193</v>
      </c>
      <c r="O405" s="39"/>
    </row>
    <row r="406" spans="1:15" ht="18" customHeight="1">
      <c r="A406" s="80" t="s">
        <v>195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192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194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193</v>
      </c>
      <c r="O432" s="39"/>
    </row>
    <row r="433" spans="1:15" ht="18" customHeight="1">
      <c r="A433" s="80" t="s">
        <v>195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192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194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193</v>
      </c>
      <c r="O459" s="39"/>
    </row>
    <row r="460" spans="1:15" ht="18" customHeight="1">
      <c r="A460" s="80" t="s">
        <v>195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192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194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193</v>
      </c>
      <c r="O486" s="39"/>
    </row>
    <row r="487" spans="1:15" ht="18" customHeight="1">
      <c r="A487" s="80" t="s">
        <v>195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192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194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193</v>
      </c>
      <c r="O513" s="39"/>
    </row>
    <row r="514" spans="1:15" ht="18" customHeight="1">
      <c r="A514" s="80" t="s">
        <v>195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192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194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193</v>
      </c>
      <c r="O540" s="39"/>
    </row>
    <row r="541" spans="1:15" ht="18" customHeight="1">
      <c r="A541" s="80" t="s">
        <v>195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192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194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193</v>
      </c>
      <c r="O567" s="39"/>
    </row>
    <row r="568" spans="1:15" ht="18" customHeight="1">
      <c r="A568" s="80" t="s">
        <v>195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192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194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193</v>
      </c>
      <c r="O594" s="39"/>
    </row>
    <row r="595" spans="1:15" ht="18" customHeight="1">
      <c r="A595" s="80" t="s">
        <v>195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192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194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193</v>
      </c>
      <c r="O621" s="39"/>
    </row>
    <row r="622" spans="1:15" ht="18" customHeight="1">
      <c r="A622" s="80" t="s">
        <v>195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192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194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193</v>
      </c>
      <c r="O648" s="39"/>
    </row>
    <row r="649" spans="1:15" ht="18" customHeight="1">
      <c r="A649" s="80" t="s">
        <v>195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192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194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193</v>
      </c>
      <c r="O675" s="39"/>
    </row>
    <row r="676" spans="1:15" ht="18" customHeight="1">
      <c r="A676" s="80" t="s">
        <v>195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192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194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193</v>
      </c>
      <c r="O702" s="39"/>
    </row>
    <row r="703" spans="1:15" ht="18" customHeight="1">
      <c r="A703" s="80" t="s">
        <v>195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192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194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193</v>
      </c>
      <c r="O729" s="39"/>
    </row>
    <row r="730" spans="1:15" ht="18" customHeight="1">
      <c r="A730" s="80" t="s">
        <v>195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192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194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193</v>
      </c>
      <c r="O756" s="39"/>
    </row>
    <row r="757" spans="1:15" ht="18" customHeight="1">
      <c r="A757" s="80" t="s">
        <v>195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192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194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193</v>
      </c>
      <c r="O783" s="39"/>
    </row>
    <row r="784" spans="1:15" ht="18" customHeight="1">
      <c r="A784" s="80" t="s">
        <v>195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192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194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193</v>
      </c>
      <c r="O810" s="39"/>
    </row>
    <row r="811" spans="1:15" ht="18" customHeight="1">
      <c r="A811" s="80" t="s">
        <v>195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" activePane="bottomLeft" state="frozen"/>
      <selection pane="bottomLeft" activeCell="J34" sqref="J3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179</v>
      </c>
      <c r="C1" s="23" t="s">
        <v>12</v>
      </c>
      <c r="D1" s="22" t="s">
        <v>13</v>
      </c>
      <c r="E1" s="22" t="s">
        <v>180</v>
      </c>
      <c r="F1" s="23" t="s">
        <v>181</v>
      </c>
      <c r="G1" s="23" t="s">
        <v>182</v>
      </c>
      <c r="H1" s="23" t="s">
        <v>14</v>
      </c>
      <c r="I1" s="23" t="s">
        <v>15</v>
      </c>
      <c r="J1" s="23" t="s">
        <v>183</v>
      </c>
      <c r="K1" s="23" t="s">
        <v>184</v>
      </c>
      <c r="L1" s="23" t="s">
        <v>185</v>
      </c>
      <c r="M1" s="24" t="s">
        <v>186</v>
      </c>
      <c r="N1" s="23" t="s">
        <v>187</v>
      </c>
      <c r="O1" s="23" t="s">
        <v>188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197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197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77" t="s">
        <v>192</v>
      </c>
      <c r="B14" s="78"/>
      <c r="C14" s="78"/>
      <c r="D14" s="78"/>
      <c r="E14" s="7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193</v>
      </c>
      <c r="O14" s="90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197</v>
      </c>
      <c r="F23" s="89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77" t="s">
        <v>194</v>
      </c>
      <c r="B27" s="78"/>
      <c r="C27" s="78"/>
      <c r="D27" s="78"/>
      <c r="E27" s="7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193</v>
      </c>
      <c r="O27" s="90">
        <v>393200</v>
      </c>
    </row>
    <row r="28" spans="1:15" ht="18" customHeight="1">
      <c r="A28" s="80" t="s">
        <v>195</v>
      </c>
      <c r="B28" s="81"/>
      <c r="C28" s="81"/>
      <c r="D28" s="81"/>
      <c r="E28" s="8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196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 t="s">
        <v>198</v>
      </c>
      <c r="M29" s="35" t="str">
        <f t="shared" ref="M29:M40" ca="1" si="7">IFERROR(IF(K29="","",IF(L29="",MOD(NOW()-K29,1),IF(L29&gt;=K29,L29-K29,L29+1-K29))),"")</f>
        <v/>
      </c>
      <c r="N29" s="46" t="s">
        <v>199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177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197</v>
      </c>
      <c r="F32" s="27">
        <v>0</v>
      </c>
      <c r="G32" s="34">
        <f t="shared" si="6"/>
        <v>0</v>
      </c>
      <c r="H32" s="26" t="s">
        <v>17</v>
      </c>
      <c r="I32" s="26"/>
      <c r="J32" s="26" t="s">
        <v>25</v>
      </c>
      <c r="K32" s="29">
        <v>0.55138888888888893</v>
      </c>
      <c r="L32" s="29"/>
      <c r="M32" s="30">
        <f t="shared" ca="1" si="7"/>
        <v>5.5931712995516136E-3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197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197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197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197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197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197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197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77" t="s">
        <v>192</v>
      </c>
      <c r="B41" s="78"/>
      <c r="C41" s="78"/>
      <c r="D41" s="78"/>
      <c r="E41" s="79">
        <f>SUM(E29:E40)</f>
        <v>0</v>
      </c>
      <c r="F41" s="36">
        <f>SUM(F29:F40)</f>
        <v>37</v>
      </c>
      <c r="G41" s="36">
        <f>SUM(G29:G40)</f>
        <v>155.4</v>
      </c>
      <c r="H41" s="37"/>
      <c r="I41" s="37"/>
      <c r="J41" s="37"/>
      <c r="K41" s="37"/>
      <c r="L41" s="37"/>
      <c r="M41" s="38">
        <f ca="1">IFERROR(SUM(M29:M40),"")</f>
        <v>5.6982060188440486E-2</v>
      </c>
      <c r="N41" s="36" t="s">
        <v>193</v>
      </c>
      <c r="O41" s="54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46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>
      <c r="A54" s="77" t="s">
        <v>194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193</v>
      </c>
      <c r="O54" s="54"/>
    </row>
    <row r="55" spans="1:15" ht="18" customHeight="1">
      <c r="A55" s="80" t="s">
        <v>195</v>
      </c>
      <c r="B55" s="81"/>
      <c r="C55" s="81"/>
      <c r="D55" s="81"/>
      <c r="E55" s="82">
        <f>E41+E54</f>
        <v>0</v>
      </c>
      <c r="F55" s="40">
        <f>F41+F54</f>
        <v>37</v>
      </c>
      <c r="G55" s="40">
        <f>G41+G54</f>
        <v>155.4</v>
      </c>
      <c r="H55" s="41"/>
      <c r="I55" s="41"/>
      <c r="J55" s="41"/>
      <c r="K55" s="41"/>
      <c r="L55" s="41"/>
      <c r="M55" s="42">
        <f ca="1">IFERROR(M41+M54,"")</f>
        <v>5.6982060188440486E-2</v>
      </c>
      <c r="N55" s="40" t="s">
        <v>196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77" t="s">
        <v>192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193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77" t="s">
        <v>194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193</v>
      </c>
      <c r="O81" s="54"/>
    </row>
    <row r="82" spans="1:15" ht="18" customHeight="1">
      <c r="A82" s="80" t="s">
        <v>195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196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77" t="s">
        <v>192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193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77" t="s">
        <v>194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193</v>
      </c>
      <c r="O108" s="54"/>
    </row>
    <row r="109" spans="1:15" ht="18" customHeight="1">
      <c r="A109" s="80" t="s">
        <v>195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196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77" t="s">
        <v>192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193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77" t="s">
        <v>194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193</v>
      </c>
      <c r="O135" s="54"/>
    </row>
    <row r="136" spans="1:15" ht="18" customHeight="1">
      <c r="A136" s="80" t="s">
        <v>195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196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77" t="s">
        <v>192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193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77" t="s">
        <v>194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193</v>
      </c>
      <c r="O162" s="54"/>
    </row>
    <row r="163" spans="1:15" ht="18" customHeight="1">
      <c r="A163" s="80" t="s">
        <v>195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196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77" t="s">
        <v>192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193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77" t="s">
        <v>194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193</v>
      </c>
      <c r="O189" s="39"/>
    </row>
    <row r="190" spans="1:15" ht="18" customHeight="1">
      <c r="A190" s="80" t="s">
        <v>195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196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77" t="s">
        <v>192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193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194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193</v>
      </c>
      <c r="O216" s="45"/>
    </row>
    <row r="217" spans="1:15" ht="18" customHeight="1">
      <c r="A217" s="80" t="s">
        <v>195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196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192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193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194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193</v>
      </c>
      <c r="O243" s="39"/>
    </row>
    <row r="244" spans="1:15" ht="18" customHeight="1">
      <c r="A244" s="80" t="s">
        <v>195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196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192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194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193</v>
      </c>
      <c r="O270" s="39"/>
    </row>
    <row r="271" spans="1:15" ht="18" customHeight="1">
      <c r="A271" s="80" t="s">
        <v>195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192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194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193</v>
      </c>
      <c r="O297" s="39"/>
    </row>
    <row r="298" spans="1:15" ht="18" customHeight="1">
      <c r="A298" s="80" t="s">
        <v>195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192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194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193</v>
      </c>
      <c r="O324" s="39"/>
    </row>
    <row r="325" spans="1:15" ht="18" customHeight="1">
      <c r="A325" s="80" t="s">
        <v>195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192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194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193</v>
      </c>
      <c r="O351" s="39"/>
    </row>
    <row r="352" spans="1:15" ht="18" customHeight="1">
      <c r="A352" s="80" t="s">
        <v>195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192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194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193</v>
      </c>
      <c r="O378" s="39"/>
    </row>
    <row r="379" spans="1:15" ht="18" customHeight="1">
      <c r="A379" s="80" t="s">
        <v>195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192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194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193</v>
      </c>
      <c r="O405" s="39"/>
    </row>
    <row r="406" spans="1:15" ht="18" customHeight="1">
      <c r="A406" s="80" t="s">
        <v>195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192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194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193</v>
      </c>
      <c r="O432" s="39"/>
    </row>
    <row r="433" spans="1:15" ht="18" customHeight="1">
      <c r="A433" s="80" t="s">
        <v>195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192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194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193</v>
      </c>
      <c r="O459" s="39"/>
    </row>
    <row r="460" spans="1:15" ht="18" customHeight="1">
      <c r="A460" s="80" t="s">
        <v>195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192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194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193</v>
      </c>
      <c r="O486" s="39"/>
    </row>
    <row r="487" spans="1:15" ht="18" customHeight="1">
      <c r="A487" s="80" t="s">
        <v>195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192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194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193</v>
      </c>
      <c r="O513" s="39"/>
    </row>
    <row r="514" spans="1:15" ht="18" customHeight="1">
      <c r="A514" s="80" t="s">
        <v>195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192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194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193</v>
      </c>
      <c r="O540" s="39"/>
    </row>
    <row r="541" spans="1:15" ht="18" customHeight="1">
      <c r="A541" s="80" t="s">
        <v>195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192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194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193</v>
      </c>
      <c r="O567" s="39"/>
    </row>
    <row r="568" spans="1:15" ht="18" customHeight="1">
      <c r="A568" s="80" t="s">
        <v>195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192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194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193</v>
      </c>
      <c r="O594" s="39"/>
    </row>
    <row r="595" spans="1:15" ht="18" customHeight="1">
      <c r="A595" s="80" t="s">
        <v>195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192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194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193</v>
      </c>
      <c r="O621" s="39"/>
    </row>
    <row r="622" spans="1:15" ht="18" customHeight="1">
      <c r="A622" s="80" t="s">
        <v>195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196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192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193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194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193</v>
      </c>
      <c r="O648" s="39"/>
    </row>
    <row r="649" spans="1:15" ht="18" customHeight="1">
      <c r="A649" s="80" t="s">
        <v>195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196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192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194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193</v>
      </c>
      <c r="O675" s="39"/>
    </row>
    <row r="676" spans="1:15" ht="18" customHeight="1">
      <c r="A676" s="80" t="s">
        <v>195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192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194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193</v>
      </c>
      <c r="O702" s="39"/>
    </row>
    <row r="703" spans="1:15" ht="18" customHeight="1">
      <c r="A703" s="80" t="s">
        <v>195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192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194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193</v>
      </c>
      <c r="O729" s="39"/>
    </row>
    <row r="730" spans="1:15" ht="18" customHeight="1">
      <c r="A730" s="80" t="s">
        <v>195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192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194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193</v>
      </c>
      <c r="O756" s="39"/>
    </row>
    <row r="757" spans="1:15" ht="18" customHeight="1">
      <c r="A757" s="80" t="s">
        <v>195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192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194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193</v>
      </c>
      <c r="O783" s="39"/>
    </row>
    <row r="784" spans="1:15" ht="18" customHeight="1">
      <c r="A784" s="80" t="s">
        <v>195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192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194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193</v>
      </c>
      <c r="O810" s="39"/>
    </row>
    <row r="811" spans="1:15" ht="18" customHeight="1">
      <c r="A811" s="80" t="s">
        <v>195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196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9" activePane="bottomLeft" state="frozen"/>
      <selection pane="bottomLeft" activeCell="J31" sqref="J3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179</v>
      </c>
      <c r="C1" s="23" t="s">
        <v>12</v>
      </c>
      <c r="D1" s="22" t="s">
        <v>13</v>
      </c>
      <c r="E1" s="22" t="s">
        <v>180</v>
      </c>
      <c r="F1" s="23" t="s">
        <v>181</v>
      </c>
      <c r="G1" s="23" t="s">
        <v>182</v>
      </c>
      <c r="H1" s="23" t="s">
        <v>14</v>
      </c>
      <c r="I1" s="23" t="s">
        <v>15</v>
      </c>
      <c r="J1" s="23" t="s">
        <v>183</v>
      </c>
      <c r="K1" s="23" t="s">
        <v>184</v>
      </c>
      <c r="L1" s="23" t="s">
        <v>185</v>
      </c>
      <c r="M1" s="24" t="s">
        <v>186</v>
      </c>
      <c r="N1" s="23" t="s">
        <v>187</v>
      </c>
      <c r="O1" s="23" t="s">
        <v>188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200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201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77" t="s">
        <v>192</v>
      </c>
      <c r="B14" s="78"/>
      <c r="C14" s="78"/>
      <c r="D14" s="78"/>
      <c r="E14" s="7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197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197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197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197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197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197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197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197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197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197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197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77" t="s">
        <v>194</v>
      </c>
      <c r="B27" s="78"/>
      <c r="C27" s="78"/>
      <c r="D27" s="78"/>
      <c r="E27" s="7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193</v>
      </c>
      <c r="O27" s="39">
        <v>308500</v>
      </c>
    </row>
    <row r="28" spans="1:15" ht="18" customHeight="1">
      <c r="A28" s="80" t="s">
        <v>195</v>
      </c>
      <c r="B28" s="81"/>
      <c r="C28" s="81"/>
      <c r="D28" s="81"/>
      <c r="E28" s="8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/>
      <c r="M30" s="30">
        <f t="shared" ca="1" si="7"/>
        <v>5.5931712995516136E-3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197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197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197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197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197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197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197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192</v>
      </c>
      <c r="B41" s="78"/>
      <c r="C41" s="78"/>
      <c r="D41" s="78"/>
      <c r="E41" s="79">
        <f>SUM(E29:E40)</f>
        <v>0</v>
      </c>
      <c r="F41" s="36">
        <f>SUM(F29:F40)</f>
        <v>16</v>
      </c>
      <c r="G41" s="36">
        <f>SUM(G29:G40)</f>
        <v>67.2</v>
      </c>
      <c r="H41" s="37"/>
      <c r="I41" s="37"/>
      <c r="J41" s="37"/>
      <c r="K41" s="37"/>
      <c r="L41" s="37"/>
      <c r="M41" s="38">
        <f ca="1">IFERROR(SUM(M29:M40),"")</f>
        <v>0.15212094907732937</v>
      </c>
      <c r="N41" s="36" t="s">
        <v>193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194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193</v>
      </c>
      <c r="O54" s="39"/>
    </row>
    <row r="55" spans="1:15" ht="18" customHeight="1">
      <c r="A55" s="80" t="s">
        <v>195</v>
      </c>
      <c r="B55" s="81"/>
      <c r="C55" s="81"/>
      <c r="D55" s="81"/>
      <c r="E55" s="82">
        <f>E41+E54</f>
        <v>0</v>
      </c>
      <c r="F55" s="40">
        <f>F41+F54</f>
        <v>16</v>
      </c>
      <c r="G55" s="40">
        <f>G41+G54</f>
        <v>67.2</v>
      </c>
      <c r="H55" s="41"/>
      <c r="I55" s="41"/>
      <c r="J55" s="41"/>
      <c r="K55" s="41"/>
      <c r="L55" s="41"/>
      <c r="M55" s="42">
        <f ca="1">IFERROR(M41+M54,"")</f>
        <v>0.15212094907732937</v>
      </c>
      <c r="N55" s="40" t="s">
        <v>196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192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193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194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193</v>
      </c>
      <c r="O81" s="39"/>
    </row>
    <row r="82" spans="1:15" ht="18" customHeight="1">
      <c r="A82" s="80" t="s">
        <v>195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196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192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193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194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193</v>
      </c>
      <c r="O108" s="39"/>
    </row>
    <row r="109" spans="1:15" ht="18" customHeight="1">
      <c r="A109" s="80" t="s">
        <v>195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196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192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193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194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193</v>
      </c>
      <c r="O135" s="39"/>
    </row>
    <row r="136" spans="1:15" ht="18" customHeight="1">
      <c r="A136" s="80" t="s">
        <v>195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196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192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193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194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193</v>
      </c>
      <c r="O162" s="39"/>
    </row>
    <row r="163" spans="1:15" ht="18" customHeight="1">
      <c r="A163" s="80" t="s">
        <v>195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196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192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193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194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193</v>
      </c>
      <c r="O189" s="39"/>
    </row>
    <row r="190" spans="1:15" ht="18" customHeight="1">
      <c r="A190" s="80" t="s">
        <v>195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196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192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193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77" t="s">
        <v>194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193</v>
      </c>
      <c r="O216" s="39"/>
    </row>
    <row r="217" spans="1:15" ht="18" customHeight="1">
      <c r="A217" s="80" t="s">
        <v>195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196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77" t="s">
        <v>192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193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77" t="s">
        <v>194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193</v>
      </c>
      <c r="O243" s="39"/>
    </row>
    <row r="244" spans="1:15" ht="18" customHeight="1">
      <c r="A244" s="80" t="s">
        <v>195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196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77" t="s">
        <v>192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77" t="s">
        <v>194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193</v>
      </c>
      <c r="O270" s="39"/>
    </row>
    <row r="271" spans="1:15" ht="18" customHeight="1">
      <c r="A271" s="80" t="s">
        <v>195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77" t="s">
        <v>192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77" t="s">
        <v>194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193</v>
      </c>
      <c r="O297" s="39"/>
    </row>
    <row r="298" spans="1:15" ht="18" customHeight="1">
      <c r="A298" s="80" t="s">
        <v>195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77" t="s">
        <v>192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77" t="s">
        <v>194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193</v>
      </c>
      <c r="O324" s="39"/>
    </row>
    <row r="325" spans="1:15" ht="18" customHeight="1">
      <c r="A325" s="80" t="s">
        <v>195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77" t="s">
        <v>192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77" t="s">
        <v>194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193</v>
      </c>
      <c r="O351" s="39"/>
    </row>
    <row r="352" spans="1:15" ht="18" customHeight="1">
      <c r="A352" s="80" t="s">
        <v>195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77" t="s">
        <v>192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77" t="s">
        <v>194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193</v>
      </c>
      <c r="O378" s="39"/>
    </row>
    <row r="379" spans="1:15" ht="18" customHeight="1">
      <c r="A379" s="80" t="s">
        <v>195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77" t="s">
        <v>192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77" t="s">
        <v>194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193</v>
      </c>
      <c r="O405" s="39"/>
    </row>
    <row r="406" spans="1:15" ht="18" customHeight="1">
      <c r="A406" s="80" t="s">
        <v>195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77" t="s">
        <v>192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77" t="s">
        <v>194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193</v>
      </c>
      <c r="O432" s="39"/>
    </row>
    <row r="433" spans="1:15" ht="18" customHeight="1">
      <c r="A433" s="80" t="s">
        <v>195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77" t="s">
        <v>192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77" t="s">
        <v>194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193</v>
      </c>
      <c r="O459" s="39"/>
    </row>
    <row r="460" spans="1:15" ht="18" customHeight="1">
      <c r="A460" s="80" t="s">
        <v>195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77" t="s">
        <v>192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77" t="s">
        <v>194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193</v>
      </c>
      <c r="O486" s="39"/>
    </row>
    <row r="487" spans="1:15" ht="18" customHeight="1">
      <c r="A487" s="80" t="s">
        <v>195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77" t="s">
        <v>192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77" t="s">
        <v>194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193</v>
      </c>
      <c r="O513" s="39"/>
    </row>
    <row r="514" spans="1:15" ht="18" customHeight="1">
      <c r="A514" s="80" t="s">
        <v>195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77" t="s">
        <v>192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77" t="s">
        <v>194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193</v>
      </c>
      <c r="O540" s="39"/>
    </row>
    <row r="541" spans="1:15" ht="18" customHeight="1">
      <c r="A541" s="80" t="s">
        <v>195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77" t="s">
        <v>192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77" t="s">
        <v>194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193</v>
      </c>
      <c r="O567" s="39"/>
    </row>
    <row r="568" spans="1:15" ht="18" customHeight="1">
      <c r="A568" s="80" t="s">
        <v>195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77" t="s">
        <v>192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77" t="s">
        <v>194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193</v>
      </c>
      <c r="O594" s="39"/>
    </row>
    <row r="595" spans="1:15" ht="18" customHeight="1">
      <c r="A595" s="80" t="s">
        <v>195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77" t="s">
        <v>192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77" t="s">
        <v>194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193</v>
      </c>
      <c r="O621" s="39"/>
    </row>
    <row r="622" spans="1:15" ht="18" customHeight="1">
      <c r="A622" s="80" t="s">
        <v>195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77" t="s">
        <v>192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77" t="s">
        <v>194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193</v>
      </c>
      <c r="O648" s="39"/>
    </row>
    <row r="649" spans="1:15" ht="18" customHeight="1">
      <c r="A649" s="80" t="s">
        <v>195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77" t="s">
        <v>192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77" t="s">
        <v>194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193</v>
      </c>
      <c r="O675" s="39"/>
    </row>
    <row r="676" spans="1:15" ht="18" customHeight="1">
      <c r="A676" s="80" t="s">
        <v>195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77" t="s">
        <v>192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77" t="s">
        <v>194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193</v>
      </c>
      <c r="O702" s="39"/>
    </row>
    <row r="703" spans="1:15" ht="18" customHeight="1">
      <c r="A703" s="80" t="s">
        <v>195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77" t="s">
        <v>192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77" t="s">
        <v>194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193</v>
      </c>
      <c r="O729" s="39"/>
    </row>
    <row r="730" spans="1:15" ht="18" customHeight="1">
      <c r="A730" s="80" t="s">
        <v>195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77" t="s">
        <v>192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77" t="s">
        <v>194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193</v>
      </c>
      <c r="O756" s="39"/>
    </row>
    <row r="757" spans="1:15" ht="18" customHeight="1">
      <c r="A757" s="80" t="s">
        <v>195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77" t="s">
        <v>192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77" t="s">
        <v>194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193</v>
      </c>
      <c r="O783" s="39"/>
    </row>
    <row r="784" spans="1:15" ht="18" customHeight="1">
      <c r="A784" s="80" t="s">
        <v>195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77" t="s">
        <v>192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77" t="s">
        <v>194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193</v>
      </c>
      <c r="O810" s="39"/>
    </row>
    <row r="811" spans="1:15" ht="18" customHeight="1">
      <c r="A811" s="80" t="s">
        <v>195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9:E811 E2:E13 E15:E26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tabSelected="1" zoomScale="50" zoomScaleNormal="50" workbookViewId="0">
      <pane ySplit="1" topLeftCell="A2" activePane="bottomLeft" state="frozen"/>
      <selection pane="bottomLeft" activeCell="J34" sqref="J3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7109375" style="57" customWidth="1"/>
    <col min="15" max="15" width="14" customWidth="1"/>
  </cols>
  <sheetData>
    <row r="1" spans="1:15" ht="37.5" customHeight="1">
      <c r="A1" s="68" t="s">
        <v>7</v>
      </c>
      <c r="B1" s="23" t="s">
        <v>179</v>
      </c>
      <c r="C1" s="23" t="s">
        <v>12</v>
      </c>
      <c r="D1" s="22" t="s">
        <v>13</v>
      </c>
      <c r="E1" s="22" t="s">
        <v>180</v>
      </c>
      <c r="F1" s="23" t="s">
        <v>181</v>
      </c>
      <c r="G1" s="23" t="s">
        <v>182</v>
      </c>
      <c r="H1" s="23" t="s">
        <v>14</v>
      </c>
      <c r="I1" s="23" t="s">
        <v>15</v>
      </c>
      <c r="J1" s="23" t="s">
        <v>183</v>
      </c>
      <c r="K1" s="23" t="s">
        <v>184</v>
      </c>
      <c r="L1" s="23" t="s">
        <v>185</v>
      </c>
      <c r="M1" s="24" t="s">
        <v>186</v>
      </c>
      <c r="N1" s="23" t="s">
        <v>187</v>
      </c>
      <c r="O1" s="23" t="s">
        <v>188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203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197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204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176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77" t="s">
        <v>192</v>
      </c>
      <c r="B14" s="78"/>
      <c r="C14" s="78"/>
      <c r="D14" s="78"/>
      <c r="E14" s="7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91">
        <f ca="1">IFERROR(IF(K16="","",IF(L16="",MOD(NOW()-K16,1),IF(L16&gt;=K16,L16-K16,L16+1-K16))),"")</f>
        <v>4.1666666666666741E-2</v>
      </c>
      <c r="N16" s="27" t="s">
        <v>205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77" t="s">
        <v>194</v>
      </c>
      <c r="B27" s="78"/>
      <c r="C27" s="78"/>
      <c r="D27" s="78"/>
      <c r="E27" s="7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193</v>
      </c>
      <c r="O27" s="39">
        <v>202230</v>
      </c>
    </row>
    <row r="28" spans="1:15" ht="18" customHeight="1">
      <c r="A28" s="80" t="s">
        <v>195</v>
      </c>
      <c r="B28" s="81"/>
      <c r="C28" s="81"/>
      <c r="D28" s="81"/>
      <c r="E28" s="8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178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206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/>
      <c r="M33" s="30">
        <f t="shared" ca="1" si="7"/>
        <v>5.5931712995516136E-3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197</v>
      </c>
      <c r="F34" s="27"/>
      <c r="G34" s="34" t="str">
        <f t="shared" si="6"/>
        <v/>
      </c>
      <c r="H34" s="26"/>
      <c r="I34" s="26"/>
      <c r="J34" s="26" t="s">
        <v>25</v>
      </c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197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197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197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197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197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197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77" t="s">
        <v>192</v>
      </c>
      <c r="B41" s="78"/>
      <c r="C41" s="78"/>
      <c r="D41" s="78"/>
      <c r="E41" s="79">
        <f>SUM(E29:E40)</f>
        <v>0</v>
      </c>
      <c r="F41" s="36">
        <f>SUM(F29:F40)</f>
        <v>25</v>
      </c>
      <c r="G41" s="36">
        <f>SUM(G29:G40)</f>
        <v>105</v>
      </c>
      <c r="H41" s="37"/>
      <c r="I41" s="37"/>
      <c r="J41" s="37"/>
      <c r="K41" s="61"/>
      <c r="L41" s="61"/>
      <c r="M41" s="38">
        <f ca="1">IFERROR(SUM(M29:M40),"")</f>
        <v>0.13823206018844048</v>
      </c>
      <c r="N41" s="36" t="s">
        <v>193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0"/>
        <v/>
      </c>
      <c r="N53" s="27"/>
      <c r="O53" s="60"/>
    </row>
    <row r="54" spans="1:15" ht="15.75" customHeight="1">
      <c r="A54" s="77" t="s">
        <v>194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193</v>
      </c>
      <c r="O54" s="39"/>
    </row>
    <row r="55" spans="1:15" ht="18" customHeight="1">
      <c r="A55" s="80" t="s">
        <v>195</v>
      </c>
      <c r="B55" s="81"/>
      <c r="C55" s="81"/>
      <c r="D55" s="81"/>
      <c r="E55" s="82">
        <f>E41+E54</f>
        <v>0</v>
      </c>
      <c r="F55" s="40">
        <f>F41+F54</f>
        <v>25</v>
      </c>
      <c r="G55" s="40">
        <f>G41+G54</f>
        <v>105</v>
      </c>
      <c r="H55" s="41"/>
      <c r="I55" s="41"/>
      <c r="J55" s="41"/>
      <c r="K55" s="63"/>
      <c r="L55" s="63"/>
      <c r="M55" s="42">
        <f ca="1">IFERROR(M41+M54,"")</f>
        <v>0.13823206018844048</v>
      </c>
      <c r="N55" s="40" t="s">
        <v>196</v>
      </c>
      <c r="O55" s="48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77" t="s">
        <v>192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193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77" t="s">
        <v>194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193</v>
      </c>
      <c r="O81" s="39"/>
    </row>
    <row r="82" spans="1:15" ht="18" customHeight="1">
      <c r="A82" s="80" t="s">
        <v>195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196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77" t="s">
        <v>192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193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77" t="s">
        <v>194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193</v>
      </c>
      <c r="O108" s="39"/>
    </row>
    <row r="109" spans="1:15" ht="18" customHeight="1">
      <c r="A109" s="80" t="s">
        <v>195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196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77" t="s">
        <v>192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193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77" t="s">
        <v>194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193</v>
      </c>
      <c r="O135" s="39"/>
    </row>
    <row r="136" spans="1:15" ht="18" customHeight="1">
      <c r="A136" s="80" t="s">
        <v>195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196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192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193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194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193</v>
      </c>
      <c r="O162" s="39"/>
    </row>
    <row r="163" spans="1:15" ht="18" customHeight="1">
      <c r="A163" s="80" t="s">
        <v>195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196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192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193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194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193</v>
      </c>
      <c r="O189" s="39"/>
    </row>
    <row r="190" spans="1:15" ht="18" customHeight="1">
      <c r="A190" s="80" t="s">
        <v>195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196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192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193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77" t="s">
        <v>194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193</v>
      </c>
      <c r="O216" s="45"/>
    </row>
    <row r="217" spans="1:15" ht="18" customHeight="1">
      <c r="A217" s="80" t="s">
        <v>195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196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77" t="s">
        <v>192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193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77" t="s">
        <v>194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193</v>
      </c>
      <c r="O243" s="39"/>
    </row>
    <row r="244" spans="1:15" ht="18" customHeight="1">
      <c r="A244" s="80" t="s">
        <v>195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196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77" t="s">
        <v>192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77" t="s">
        <v>194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193</v>
      </c>
      <c r="O270" s="39"/>
    </row>
    <row r="271" spans="1:15" ht="18" customHeight="1">
      <c r="A271" s="80" t="s">
        <v>195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77" t="s">
        <v>192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77" t="s">
        <v>194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193</v>
      </c>
      <c r="O297" s="39"/>
    </row>
    <row r="298" spans="1:15" ht="18" customHeight="1">
      <c r="A298" s="80" t="s">
        <v>195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77" t="s">
        <v>192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77" t="s">
        <v>194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193</v>
      </c>
      <c r="O324" s="39"/>
    </row>
    <row r="325" spans="1:15" ht="18" customHeight="1">
      <c r="A325" s="80" t="s">
        <v>195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77" t="s">
        <v>192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77" t="s">
        <v>194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193</v>
      </c>
      <c r="O351" s="39"/>
    </row>
    <row r="352" spans="1:15" ht="18" customHeight="1">
      <c r="A352" s="80" t="s">
        <v>195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77" t="s">
        <v>192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77" t="s">
        <v>194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193</v>
      </c>
      <c r="O378" s="39"/>
    </row>
    <row r="379" spans="1:15" ht="18" customHeight="1">
      <c r="A379" s="80" t="s">
        <v>195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77" t="s">
        <v>192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77" t="s">
        <v>194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193</v>
      </c>
      <c r="O405" s="39"/>
    </row>
    <row r="406" spans="1:15" ht="18" customHeight="1">
      <c r="A406" s="80" t="s">
        <v>195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77" t="s">
        <v>192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77" t="s">
        <v>194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193</v>
      </c>
      <c r="O432" s="39"/>
    </row>
    <row r="433" spans="1:17" ht="18" customHeight="1">
      <c r="A433" s="80" t="s">
        <v>195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77" t="s">
        <v>192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77" t="s">
        <v>194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193</v>
      </c>
      <c r="O459" s="39"/>
    </row>
    <row r="460" spans="1:15" ht="18" customHeight="1">
      <c r="A460" s="80" t="s">
        <v>195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77" t="s">
        <v>192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77" t="s">
        <v>194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193</v>
      </c>
      <c r="O486" s="39"/>
    </row>
    <row r="487" spans="1:15" ht="18" customHeight="1">
      <c r="A487" s="80" t="s">
        <v>195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77" t="s">
        <v>192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77" t="s">
        <v>194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193</v>
      </c>
      <c r="O513" s="39"/>
    </row>
    <row r="514" spans="1:15" ht="18" customHeight="1">
      <c r="A514" s="80" t="s">
        <v>195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77" t="s">
        <v>192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77" t="s">
        <v>194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193</v>
      </c>
      <c r="O540" s="39"/>
    </row>
    <row r="541" spans="1:15" ht="18" customHeight="1">
      <c r="A541" s="80" t="s">
        <v>195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77" t="s">
        <v>192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77" t="s">
        <v>194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193</v>
      </c>
      <c r="O567" s="39"/>
    </row>
    <row r="568" spans="1:15" ht="18" customHeight="1">
      <c r="A568" s="80" t="s">
        <v>195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77" t="s">
        <v>192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77" t="s">
        <v>194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193</v>
      </c>
      <c r="O594" s="39"/>
    </row>
    <row r="595" spans="1:15" ht="18" customHeight="1">
      <c r="A595" s="80" t="s">
        <v>195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77" t="s">
        <v>192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77" t="s">
        <v>194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193</v>
      </c>
      <c r="O621" s="39"/>
    </row>
    <row r="622" spans="1:15" ht="18" customHeight="1">
      <c r="A622" s="80" t="s">
        <v>195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77" t="s">
        <v>192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77" t="s">
        <v>194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193</v>
      </c>
      <c r="O648" s="39"/>
    </row>
    <row r="649" spans="1:15" ht="18" customHeight="1">
      <c r="A649" s="80" t="s">
        <v>195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77" t="s">
        <v>192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77" t="s">
        <v>194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193</v>
      </c>
      <c r="O675" s="39"/>
    </row>
    <row r="676" spans="1:15" ht="18" customHeight="1">
      <c r="A676" s="80" t="s">
        <v>195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77" t="s">
        <v>192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77" t="s">
        <v>194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193</v>
      </c>
      <c r="O702" s="39"/>
    </row>
    <row r="703" spans="1:15" ht="18" customHeight="1">
      <c r="A703" s="80" t="s">
        <v>195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77" t="s">
        <v>192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77" t="s">
        <v>194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193</v>
      </c>
      <c r="O729" s="39"/>
    </row>
    <row r="730" spans="1:15" ht="18" customHeight="1">
      <c r="A730" s="80" t="s">
        <v>195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77" t="s">
        <v>192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77" t="s">
        <v>194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193</v>
      </c>
      <c r="O756" s="39"/>
    </row>
    <row r="757" spans="1:15" ht="18" customHeight="1">
      <c r="A757" s="80" t="s">
        <v>195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77" t="s">
        <v>192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77" t="s">
        <v>194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193</v>
      </c>
      <c r="O783" s="39"/>
    </row>
    <row r="784" spans="1:15" ht="18" customHeight="1">
      <c r="A784" s="80" t="s">
        <v>195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77" t="s">
        <v>192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77" t="s">
        <v>194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193</v>
      </c>
      <c r="O810" s="39"/>
    </row>
    <row r="811" spans="1:15" ht="18" customHeight="1">
      <c r="A811" s="80" t="s">
        <v>195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196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2026-07-02T17:22:27Z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