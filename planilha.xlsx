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113" documentId="8_{C51EB6CB-002B-4D6B-B68F-DDEBDB4460C0}" xr6:coauthVersionLast="47" xr6:coauthVersionMax="47" xr10:uidLastSave="{8653859D-7F28-4288-8558-4CC7B363FA93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<sst xmlns="http://schemas.openxmlformats.org/spreadsheetml/2006/main" count="1868" uniqueCount="259">
  <si>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</si>
  <si>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</si>
  <si>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</si>
  <si>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</si>
  <si>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</si>
  <si>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</si>
  <si>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</si>
  <si>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</si>
  <si>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</si>
  <si>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</si>
  <si>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</si>
  <si>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</si>
  <si>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</si>
  <si>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</si>
  <si>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</si>
  <si>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</si>
  <si>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</si>
  <si>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</si>
  <si>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</si>
  <si>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</si>
  <si>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</si>
  <si>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</si>
  <si>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</si>
  <si>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</si>
  <si>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</si>
  <si>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</si>
  <si>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</si>
  <si>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</si>
  <si>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</si>
  <si>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</si>
  <si>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</si>
  <si>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</si>
  <si>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</si>
  <si>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</si>
  <si>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</si>
  <si>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</si>
  <si>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</si>
  <si>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</si>
  <si>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</si>
  <si>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</si>
  <si>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</si>
  <si>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</si>
  <si>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</si>
  <si>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</si>
  <si>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</si>
  <si>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</si>
  <si>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</si>
  <si>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</si>
  <si>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</si>
  <si>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</si>
  <si>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</si>
  <si>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</si>
  <si>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</si>
  <si>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</si>
  <si>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</si>
  <si>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</si>
  <si>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</si>
  <si>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</si>
  <si>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</si>
  <si>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</si>
  <si>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</si>
  <si>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</si>
  <si>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</si>
  <si>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</si>
  <si>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</si>
  <si>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</si>
  <si>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</si>
  <si>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</si>
  <si>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</si>
  <si>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</si>
  <si>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</si>
  <si>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</si>
  <si>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</si>
  <si>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</si>
  <si>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</si>
  <si>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</si>
  <si>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</si>
  <si>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</si>
  <si>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</si>
  <si>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</si>
  <si>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</si>
  <si>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</si>
  <si>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</si>
  <si>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</si>
  <si>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</si>
  <si>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</si>
  <si>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</si>
  <si>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</si>
  <si>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</si>
  <si>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</si>
  <si>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</si>
  <si>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</si>
  <si>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</si>
  <si>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</si>
  <si>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</si>
  <si>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</si>
  <si>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</si>
  <si>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</si>
  <si>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</si>
  <si>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</si>
  <si>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</si>
  <si>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</si>
  <si>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</si>
  <si>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</si>
  <si>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</si>
  <si>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</si>
  <si>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</si>
  <si>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</si>
  <si>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</si>
  <si>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</si>
  <si>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</si>
  <si>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</si>
  <si>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</si>
  <si>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</si>
  <si>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</si>
  <si>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</si>
  <si>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</si>
  <si>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</si>
  <si>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</si>
  <si>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</si>
  <si>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</si>
  <si>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</si>
  <si>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</si>
  <si>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</si>
  <si>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</si>
  <si>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</si>
  <si>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</si>
  <si>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</si>
  <si>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</si>
  <si>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</si>
  <si>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</si>
  <si>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</si>
  <si>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</si>
  <si>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</si>
  <si>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</si>
  <si>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</si>
  <si>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</si>
  <si>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</si>
  <si>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</si>
  <si>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</si>
  <si>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</si>
  <si>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</si>
  <si>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</si>
  <si>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</si>
  <si>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</si>
  <si>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</si>
  <si>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</si>
  <si>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</si>
  <si>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</si>
  <si>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</si>
  <si>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</si>
  <si>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</si>
  <si>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</si>
  <si>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</si>
  <si>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</si>
  <si>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</si>
  <si>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</si>
  <si>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</si>
  <si>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</si>
  <si>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</si>
  <si>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</si>
  <si>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</si>
  <si>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</si>
  <si>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</si>
  <si>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</si>
  <si>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</si>
  <si>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</si>
  <si>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</si>
  <si>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</si>
  <si>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</si>
  <si>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</si>
  <si>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</si>
  <si>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</si>
  <si>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</si>
  <si>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</si>
  <si>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</si>
  <si>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</si>
  <si>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</si>
  <si>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</si>
  <si>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</si>
  <si>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</si>
  <si>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</si>
  <si>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</si>
  <si>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</si>
  <si>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</si>
  <si>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</si>
  <si>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</si>
  <si>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</si>
  <si>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</si>
  <si>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</si>
  <si>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</si>
  <si>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</si>
  <si>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</si>
  <si>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</si>
  <si>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</si>
  <si>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</si>
  <si>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</si>
  <si>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</si>
  <si>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</si>
  <si>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</si>
  <si>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</si>
  <si>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</si>
  <si>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</si>
  <si>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</si>
  <si>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</si>
  <si>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</si>
  <si>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</si>
  <si>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</si>
  <si>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</si>
  <si>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</si>
  <si>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</si>
  <si>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</si>
  <si>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</si>
  <si>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</si>
  <si>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</si>
  <si>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</si>
  <si>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</si>
  <si>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</si>
  <si>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</si>
  <si>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</si>
  <si>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</si>
  <si>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</si>
  <si>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</si>
  <si>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</si>
  <si>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</si>
  <si>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</si>
  <si>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</si>
  <si>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</si>
  <si>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</si>
  <si>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</si>
  <si>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</si>
  <si>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</si>
  <si>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</si>
  <si>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</si>
  <si>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</si>
  <si>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</si>
  <si>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</si>
  <si>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</si>
  <si>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</si>
  <si>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</si>
  <si>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</si>
  <si>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</si>
  <si>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</si>
  <si>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</si>
  <si>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</si>
  <si>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</si>
  <si>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</si>
  <si>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</si>
  <si>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</si>
  <si>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</si>
  <si>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</si>
  <si>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</si>
  <si>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</si>
  <si>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</si>
  <si>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</si>
  <si>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processando blend</t>
  </si>
  <si>
    <t>colocar chapa na bica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</si>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</sst>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8" activePane="bottomLeft" state="frozen"/>
      <selection pane="bottomLeft" activeCell="F50" sqref="F5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/>
      <c r="M45" s="35">
        <f t="shared" ca="1" si="10"/>
        <v>4.5588310182210989E-2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126</v>
      </c>
      <c r="G54" s="36">
        <f>SUM(G42:G53)</f>
        <v>630</v>
      </c>
      <c r="H54" s="37"/>
      <c r="I54" s="37"/>
      <c r="J54" s="37"/>
      <c r="K54" s="37"/>
      <c r="L54" s="37"/>
      <c r="M54" s="38">
        <f ca="1">IFERROR(SUM(M42:M53),"")</f>
        <v>0.23794942129332208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379</v>
      </c>
      <c r="G55" s="40">
        <f>G41+G54</f>
        <v>1325</v>
      </c>
      <c r="H55" s="41"/>
      <c r="I55" s="41"/>
      <c r="J55" s="41"/>
      <c r="K55" s="41"/>
      <c r="L55" s="41"/>
      <c r="M55" s="42">
        <f ca="1">IFERROR(M41+M54,"")</f>
        <v>0.29767164351554426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34" activePane="bottomLeft" state="frozen"/>
      <selection pane="bottomLeft" activeCell="F51" sqref="F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8.7254976846452337E-2</v>
      </c>
      <c r="N53" s="46" t="s">
        <v>251</v>
      </c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0.22614386573534123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150</v>
      </c>
      <c r="G55" s="40">
        <f>G41+G54</f>
        <v>617.4</v>
      </c>
      <c r="H55" s="41"/>
      <c r="I55" s="41"/>
      <c r="J55" s="41"/>
      <c r="K55" s="41"/>
      <c r="L55" s="41"/>
      <c r="M55" s="42">
        <f ca="1">IFERROR(M41+M54,"")</f>
        <v>0.31086608795756354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9" zoomScale="50" zoomScaleNormal="50" workbookViewId="0">
      <selection activeCell="K54" sqref="K5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>
        <v>0.20833333333333334</v>
      </c>
      <c r="L53" s="29"/>
      <c r="M53" s="35">
        <f t="shared" ca="1" si="10"/>
        <v>4.4942129170522094E-4</v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65</v>
      </c>
      <c r="G54" s="36">
        <f>SUM(G42:G53)</f>
        <v>273</v>
      </c>
      <c r="H54" s="37"/>
      <c r="I54" s="37"/>
      <c r="J54" s="37"/>
      <c r="K54" s="37"/>
      <c r="L54" s="37"/>
      <c r="M54" s="38">
        <f ca="1">IFERROR(SUM(M42:M53),"")</f>
        <v>0.14142164351392744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142</v>
      </c>
      <c r="G55" s="40">
        <f>G41+G54</f>
        <v>596.40000000000009</v>
      </c>
      <c r="H55" s="41"/>
      <c r="I55" s="41"/>
      <c r="J55" s="41"/>
      <c r="K55" s="41"/>
      <c r="L55" s="41"/>
      <c r="M55" s="42">
        <f ca="1">IFERROR(M41+M54,"")</f>
        <v>0.16225497684726081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J47" sqref="J4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20</v>
      </c>
      <c r="I47" s="33" t="s">
        <v>57</v>
      </c>
      <c r="J47" s="33" t="s">
        <v>28</v>
      </c>
      <c r="K47" s="29">
        <v>0.1875</v>
      </c>
      <c r="L47" s="29"/>
      <c r="M47" s="35">
        <f t="shared" ca="1" si="10"/>
        <v>2.1282754627463873E-2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110</v>
      </c>
      <c r="G54" s="36">
        <f>SUM(G42:G53)</f>
        <v>411.6</v>
      </c>
      <c r="H54" s="37"/>
      <c r="I54" s="37"/>
      <c r="J54" s="37"/>
      <c r="K54" s="61"/>
      <c r="L54" s="61"/>
      <c r="M54" s="38">
        <f ca="1">IFERROR(SUM(M42:M53),"")</f>
        <v>0.10461608796079724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251</v>
      </c>
      <c r="G55" s="40">
        <f>G41+G54</f>
        <v>1020.6</v>
      </c>
      <c r="H55" s="41"/>
      <c r="I55" s="41"/>
      <c r="J55" s="41"/>
      <c r="K55" s="63"/>
      <c r="L55" s="63"/>
      <c r="M55" s="42">
        <f ca="1">IFERROR(M41+M54,"")</f>
        <v>0.11572719907190832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2026-08-03T09:01:10Z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