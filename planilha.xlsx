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58" documentId="8_{C51EB6CB-002B-4D6B-B68F-DDEBDB4460C0}" xr6:coauthVersionLast="47" xr6:coauthVersionMax="47" xr10:uidLastSave="{DA438275-CFB7-4B24-B857-713B3F9D2157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<sst xmlns="http://schemas.openxmlformats.org/spreadsheetml/2006/main" count="3225" uniqueCount="277">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</sst>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0" activePane="bottomLeft" state="frozen"/>
      <selection pane="bottomLeft" activeCell="J137" sqref="J1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229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15</v>
      </c>
      <c r="G149" s="36">
        <f>SUM(G137:G148)</f>
        <v>75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15</v>
      </c>
      <c r="G163" s="40">
        <f>G149+G162</f>
        <v>75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J141" sqref="J1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0.23261585647560423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0.37150474536449313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0.45622696758671544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ref="G137:G148" si="32">IF(F138="","",IF(E138="PC 17",F138*4.2,IF(E138="PC 19",F138*5,IF(E138="CB",F138*24,""))))</f>
        <v/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2"/>
        <v/>
      </c>
      <c r="H139" s="33"/>
      <c r="I139" s="33"/>
      <c r="J139" s="33"/>
      <c r="K139" s="29"/>
      <c r="L139" s="29"/>
      <c r="M139" s="35" t="str">
        <f t="shared" ca="1" si="30"/>
        <v/>
      </c>
      <c r="N139" s="46"/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2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21</v>
      </c>
      <c r="G149" s="36">
        <f>SUM(G137:G148)</f>
        <v>88.2</v>
      </c>
      <c r="H149" s="37"/>
      <c r="I149" s="37"/>
      <c r="J149" s="37"/>
      <c r="K149" s="37"/>
      <c r="L149" s="37"/>
      <c r="M149" s="38">
        <f ca="1">IFERROR(SUM(M137:M148),"")</f>
        <v>1.3194444444444453E-2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21</v>
      </c>
      <c r="G163" s="40">
        <f>G149+G162</f>
        <v>88.2</v>
      </c>
      <c r="H163" s="41"/>
      <c r="I163" s="41"/>
      <c r="J163" s="41"/>
      <c r="K163" s="41"/>
      <c r="L163" s="41"/>
      <c r="M163" s="42">
        <f ca="1">IFERROR(M149+M162,"")</f>
        <v>1.3194444444444453E-2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L138" sqref="L1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</v>
      </c>
      <c r="G149" s="36">
        <f>SUM(G137:G148)</f>
        <v>12.600000000000001</v>
      </c>
      <c r="H149" s="37"/>
      <c r="I149" s="37"/>
      <c r="J149" s="37"/>
      <c r="K149" s="37"/>
      <c r="L149" s="37"/>
      <c r="M149" s="38">
        <f ca="1">IFERROR(SUM(M137:M148),"")</f>
        <v>2.083333333333337E-2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</v>
      </c>
      <c r="G163" s="40">
        <f>G149+G162</f>
        <v>12.600000000000001</v>
      </c>
      <c r="H163" s="41"/>
      <c r="I163" s="41"/>
      <c r="J163" s="41"/>
      <c r="K163" s="41"/>
      <c r="L163" s="41"/>
      <c r="M163" s="42">
        <f ca="1">IFERROR(M149+M162,"")</f>
        <v>2.083333333333337E-2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J137" sqref="J1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20</v>
      </c>
      <c r="G149" s="36">
        <f>SUM(G137:G148)</f>
        <v>84</v>
      </c>
      <c r="H149" s="37"/>
      <c r="I149" s="37"/>
      <c r="J149" s="37"/>
      <c r="K149" s="61"/>
      <c r="L149" s="61"/>
      <c r="M149" s="38">
        <f ca="1">IFERROR(SUM(M137:M148),"")</f>
        <v>1.041666666666663E-2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20</v>
      </c>
      <c r="G163" s="40">
        <f>G149+G162</f>
        <v>84</v>
      </c>
      <c r="H163" s="41"/>
      <c r="I163" s="41"/>
      <c r="J163" s="41"/>
      <c r="K163" s="63"/>
      <c r="L163" s="63"/>
      <c r="M163" s="42">
        <f ca="1">IFERROR(M149+M162,"")</f>
        <v>1.041666666666663E-2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2026-08-06T12:31:46Z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