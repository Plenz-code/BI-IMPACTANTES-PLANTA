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16" documentId="8_{AF585B22-221D-4780-BB9C-493D365A6A02}" xr6:coauthVersionLast="47" xr6:coauthVersionMax="47" xr10:uidLastSave="{9074F748-AA46-434C-8C39-BDD37EF6143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<sst xmlns="http://schemas.openxmlformats.org/spreadsheetml/2006/main" count="2369" uniqueCount="229">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</sst>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K97" sqref="K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/>
      <c r="K96" s="29">
        <v>0.98263888888888884</v>
      </c>
      <c r="L96" s="29"/>
      <c r="M96" s="30">
        <f t="shared" ref="M96:M107" ca="1" si="22">IFERROR(IF(K96="","",IF(L96="",MOD(NOW()-K96,1),IF(L96&gt;=K96,L96-K96,L96+1-K96))),"")</f>
        <v>8.2407407389837317E-3</v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37"/>
      <c r="L108" s="37"/>
      <c r="M108" s="38">
        <f ca="1">IFERROR(SUM(M96:M107),"")</f>
        <v>8.2407407389837317E-3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167</v>
      </c>
      <c r="G109" s="40">
        <f>G95+G108</f>
        <v>750.2</v>
      </c>
      <c r="H109" s="41"/>
      <c r="I109" s="41"/>
      <c r="J109" s="41"/>
      <c r="K109" s="41"/>
      <c r="L109" s="41"/>
      <c r="M109" s="42">
        <f ca="1">IFERROR(M95+M108,"")</f>
        <v>0.2700462962945393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H97" sqref="H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0.11518518518278142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0.11518518518278142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0.31657407407167032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8" activePane="bottomLeft" state="frozen"/>
      <selection pane="bottomLeft" activeCell="G69" sqref="G69:G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63</v>
      </c>
      <c r="G108" s="36">
        <f>SUM(G96:G107)</f>
        <v>264.60000000000002</v>
      </c>
      <c r="H108" s="37"/>
      <c r="I108" s="37"/>
      <c r="J108" s="37"/>
      <c r="K108" s="61"/>
      <c r="L108" s="61"/>
      <c r="M108" s="38">
        <f ca="1">IFERROR(SUM(M96:M107),"")</f>
        <v>3.4722222222222321E-2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206</v>
      </c>
      <c r="G109" s="40">
        <f>G95+G108</f>
        <v>967.6</v>
      </c>
      <c r="H109" s="41"/>
      <c r="I109" s="41"/>
      <c r="J109" s="41"/>
      <c r="K109" s="63"/>
      <c r="L109" s="63"/>
      <c r="M109" s="42">
        <f ca="1">IFERROR(M95+M108,"")</f>
        <v>0.22291666666666682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2026-07-05T03:47:26Z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