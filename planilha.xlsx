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68" documentId="8_{C51EB6CB-002B-4D6B-B68F-DDEBDB4460C0}" xr6:coauthVersionLast="47" xr6:coauthVersionMax="47" xr10:uidLastSave="{482A3716-6AB0-4C03-A990-0B2D33CE6518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<sst xmlns="http://schemas.openxmlformats.org/spreadsheetml/2006/main" count="4861" uniqueCount="319">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</sst>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/>
    </row>
    <row r="58" spans="1:13" ht="15" customHeight="1">
      <c r="H58" s="120"/>
      <c r="I58" s="16"/>
      <c r="J58" s="16"/>
      <c r="K58" s="16" t="s">
        <v>207</v>
      </c>
      <c r="L58" s="16"/>
      <c r="M58" s="16"/>
    </row>
    <row r="59" spans="1:13" ht="15" customHeight="1">
      <c r="H59" s="120"/>
      <c r="I59" s="17"/>
      <c r="J59" s="17"/>
      <c r="K59" s="17" t="s">
        <v>208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209</v>
      </c>
      <c r="L61" s="17"/>
      <c r="M61" s="17"/>
    </row>
    <row r="62" spans="1:13" ht="15" customHeight="1">
      <c r="H62" s="120"/>
      <c r="I62" s="16"/>
      <c r="J62" s="16"/>
      <c r="K62" s="16" t="s">
        <v>210</v>
      </c>
      <c r="L62" s="16"/>
      <c r="M62" s="16"/>
    </row>
    <row r="63" spans="1:13" ht="15" customHeight="1">
      <c r="H63" s="120"/>
      <c r="I63" s="17"/>
      <c r="J63" s="17"/>
      <c r="K63" s="17" t="s">
        <v>211</v>
      </c>
      <c r="L63" s="17"/>
      <c r="M63" s="17"/>
    </row>
    <row r="64" spans="1:13" ht="15" customHeight="1">
      <c r="H64" s="120"/>
      <c r="I64" s="16"/>
      <c r="J64" s="16"/>
      <c r="K64" s="16" t="s">
        <v>212</v>
      </c>
      <c r="L64" s="16"/>
      <c r="M64" s="16"/>
    </row>
    <row r="65" spans="8:13" ht="15" customHeight="1">
      <c r="H65" s="120"/>
      <c r="I65" s="17"/>
      <c r="J65" s="17"/>
      <c r="K65" s="17" t="s">
        <v>213</v>
      </c>
      <c r="L65" s="17"/>
      <c r="M65" s="17"/>
    </row>
    <row r="66" spans="8:13" ht="15" customHeight="1">
      <c r="H66" s="120"/>
      <c r="I66" s="16"/>
      <c r="J66" s="16"/>
      <c r="K66" s="16" t="s">
        <v>214</v>
      </c>
      <c r="L66" s="16"/>
      <c r="M66" s="16"/>
    </row>
    <row r="67" spans="8:13" ht="15" customHeight="1">
      <c r="H67" s="120"/>
      <c r="I67" s="17"/>
      <c r="J67" s="17"/>
      <c r="K67" s="17" t="s">
        <v>215</v>
      </c>
      <c r="L67" s="17"/>
      <c r="M67" s="17"/>
    </row>
    <row r="68" spans="8:13" ht="15" customHeight="1">
      <c r="H68" s="120"/>
      <c r="I68" s="16"/>
      <c r="J68" s="16"/>
      <c r="K68" s="16" t="s">
        <v>216</v>
      </c>
      <c r="L68" s="16"/>
      <c r="M68" s="16"/>
    </row>
    <row r="69" spans="8:13" ht="15" customHeight="1">
      <c r="H69" s="120"/>
      <c r="I69" s="17"/>
      <c r="J69" s="17"/>
      <c r="K69" s="17" t="s">
        <v>217</v>
      </c>
      <c r="L69" s="17"/>
      <c r="M69" s="17"/>
    </row>
    <row r="70" spans="8:13" ht="15" customHeight="1">
      <c r="H70" s="120"/>
      <c r="I70" s="16"/>
      <c r="J70" s="16"/>
      <c r="K70" s="16" t="s">
        <v>218</v>
      </c>
      <c r="L70" s="16"/>
      <c r="M70" s="16"/>
    </row>
    <row r="71" spans="8:13" ht="15" customHeight="1">
      <c r="H71" s="120"/>
      <c r="I71" s="17"/>
      <c r="J71" s="17"/>
      <c r="K71" s="17" t="s">
        <v>219</v>
      </c>
      <c r="L71" s="17"/>
      <c r="M71" s="17"/>
    </row>
    <row r="72" spans="8:13" ht="15" customHeight="1">
      <c r="H72" s="120"/>
      <c r="I72" s="16"/>
      <c r="J72" s="16"/>
      <c r="K72" s="16" t="s">
        <v>220</v>
      </c>
      <c r="L72" s="16"/>
      <c r="M72" s="16"/>
    </row>
    <row r="73" spans="8:13" ht="15" customHeight="1">
      <c r="H73" s="120"/>
      <c r="I73" s="17"/>
      <c r="J73" s="17"/>
      <c r="K73" s="17" t="s">
        <v>221</v>
      </c>
      <c r="L73" s="17"/>
      <c r="M73" s="17"/>
    </row>
    <row r="74" spans="8:13" ht="15" customHeight="1">
      <c r="H74" s="120"/>
      <c r="I74" s="16"/>
      <c r="J74" s="16"/>
      <c r="K74" s="16" t="s">
        <v>222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15" activePane="bottomLeft" state="frozen"/>
      <selection pane="bottomLeft" activeCell="D249" sqref="D2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234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2</v>
      </c>
      <c r="G246" s="34">
        <f t="shared" si="54"/>
        <v>10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253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57</v>
      </c>
      <c r="G257" s="36">
        <f>SUM(G245:G256)</f>
        <v>285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57</v>
      </c>
      <c r="G271" s="40">
        <f>G257+G270</f>
        <v>285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6" activePane="bottomLeft" state="frozen"/>
      <selection pane="bottomLeft" activeCell="F250" sqref="F2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0.38544236110465135</v>
      </c>
      <c r="N53" s="46" t="s">
        <v>262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0.52433124999354019</v>
      </c>
      <c r="N54" s="36" t="s">
        <v>235</v>
      </c>
      <c r="O54" s="84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0.60905347221576256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263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264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265</v>
      </c>
      <c r="M96" s="30" t="str">
        <f t="shared" ref="M96:M107" ca="1" si="22">IFERROR(IF(K96="","",IF(L96="",MOD(NOW()-K96,1),IF(L96&gt;=K96,L96-K96,L96+1-K96))),"")</f>
        <v/>
      </c>
      <c r="N96" s="46" t="s">
        <v>266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267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268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269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270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271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272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274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275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276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269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263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278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279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234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14</v>
      </c>
      <c r="G248" s="34">
        <f t="shared" si="54"/>
        <v>70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249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249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83</v>
      </c>
      <c r="G257" s="36">
        <f>SUM(G245:G256)</f>
        <v>405.4</v>
      </c>
      <c r="H257" s="37"/>
      <c r="I257" s="37"/>
      <c r="J257" s="37"/>
      <c r="K257" s="37"/>
      <c r="L257" s="37"/>
      <c r="M257" s="38">
        <f ca="1">IFERROR(SUM(M245:M256),"")</f>
        <v>9.7222222222222432E-3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83</v>
      </c>
      <c r="G271" s="40">
        <f>G257+G270</f>
        <v>405.4</v>
      </c>
      <c r="H271" s="41"/>
      <c r="I271" s="41"/>
      <c r="J271" s="41"/>
      <c r="K271" s="41"/>
      <c r="L271" s="41"/>
      <c r="M271" s="42">
        <f ca="1">IFERROR(M257+M270,"")</f>
        <v>9.7222222222222432E-3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15" zoomScale="50" zoomScaleNormal="50" workbookViewId="0">
      <selection activeCell="F250" sqref="F2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263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272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263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275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291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293</v>
      </c>
      <c r="M222" s="30" t="str">
        <f t="shared" ca="1" si="49"/>
        <v/>
      </c>
      <c r="N222" s="27" t="s">
        <v>294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295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103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103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103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01"/>
      <c r="F257" s="102">
        <f>SUM(F245:F256)</f>
        <v>43</v>
      </c>
      <c r="G257" s="36">
        <f>SUM(G245:G256)</f>
        <v>206.2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43</v>
      </c>
      <c r="G271" s="40">
        <f>G257+G270</f>
        <v>206.2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F250" sqref="F2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263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272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>
        <v>10</v>
      </c>
      <c r="G249" s="28">
        <f t="shared" si="54"/>
        <v>50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83</v>
      </c>
      <c r="G257" s="36">
        <f>SUM(G245:G256)</f>
        <v>415</v>
      </c>
      <c r="H257" s="37"/>
      <c r="I257" s="37"/>
      <c r="J257" s="37"/>
      <c r="K257" s="61"/>
      <c r="L257" s="61"/>
      <c r="M257" s="38">
        <f ca="1">IFERROR(SUM(M245:M256),"")</f>
        <v>1.9444444444444431E-2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83</v>
      </c>
      <c r="G271" s="40">
        <f>G257+G270</f>
        <v>415</v>
      </c>
      <c r="H271" s="41"/>
      <c r="I271" s="41"/>
      <c r="J271" s="41"/>
      <c r="K271" s="63"/>
      <c r="L271" s="63"/>
      <c r="M271" s="42">
        <f ca="1">IFERROR(M257+M270,"")</f>
        <v>1.9444444444444431E-2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2026-08-10T16:10:05Z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