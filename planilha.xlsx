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8529" documentId="8_{AF585B22-221D-4780-BB9C-493D365A6A02}" xr6:coauthVersionLast="47" xr6:coauthVersionMax="47" xr10:uidLastSave="{9047139E-7D29-46EA-8C99-40E0D3201048}"/>
  <bookViews>
    <workbookView xWindow="-110" yWindow="-110" windowWidth="25820" windowHeight="15500" tabRatio="500" firstSheet="5" activeTab="2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412" i="4" l="1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<sst xmlns="http://schemas.openxmlformats.org/spreadsheetml/2006/main" count="7479" uniqueCount="347">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</sst>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1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4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3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4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3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 t="shared" si="0"/>
        <v>3265480</v>
      </c>
    </row>
    <row r="19" spans="1:7" ht="15.75" customHeight="1">
      <c r="A19" s="10">
        <v>16</v>
      </c>
      <c r="B19" s="74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3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52240442</v>
      </c>
      <c r="D35" s="13">
        <f>IFERROR(SUM(D4:D34),"")</f>
        <v>19245750</v>
      </c>
      <c r="E35" s="13">
        <f>IFERROR(SUM(E4:E34),"")</f>
        <v>12246740</v>
      </c>
      <c r="F35" s="13">
        <f>IFERROR(SUM(F4:F34),"")</f>
        <v>23531460</v>
      </c>
      <c r="G35" s="13">
        <f>IFERROR(SUM(G4:G34),"")</f>
        <v>55023950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8" zoomScale="85" zoomScaleNormal="85" workbookViewId="0">
      <selection activeCell="K72" sqref="K7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/>
    </row>
    <row r="56" spans="1:13" ht="15" customHeight="1">
      <c r="H56" s="109"/>
      <c r="I56" s="16"/>
      <c r="J56" s="16"/>
      <c r="K56" s="16" t="s">
        <v>201</v>
      </c>
      <c r="L56" s="16"/>
      <c r="M56" s="16"/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202</v>
      </c>
      <c r="L58" s="16"/>
      <c r="M58" s="16"/>
    </row>
    <row r="59" spans="1:13" ht="15" customHeight="1">
      <c r="H59" s="109"/>
      <c r="I59" s="17"/>
      <c r="J59" s="17"/>
      <c r="K59" s="17" t="s">
        <v>203</v>
      </c>
      <c r="L59" s="17"/>
      <c r="M59" s="17"/>
    </row>
    <row r="60" spans="1:13" ht="15" customHeight="1">
      <c r="H60" s="109"/>
      <c r="I60" s="16"/>
      <c r="J60" s="16"/>
      <c r="K60" s="87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204</v>
      </c>
      <c r="L61" s="17"/>
      <c r="M61" s="17"/>
    </row>
    <row r="62" spans="1:13" ht="15" customHeight="1">
      <c r="H62" s="109"/>
      <c r="I62" s="16"/>
      <c r="J62" s="16"/>
      <c r="K62" s="16" t="s">
        <v>205</v>
      </c>
      <c r="L62" s="16"/>
      <c r="M62" s="16"/>
    </row>
    <row r="63" spans="1:13" ht="15" customHeight="1">
      <c r="H63" s="109"/>
      <c r="I63" s="17"/>
      <c r="J63" s="17"/>
      <c r="K63" s="17" t="s">
        <v>206</v>
      </c>
      <c r="L63" s="17"/>
      <c r="M63" s="17"/>
    </row>
    <row r="64" spans="1:13" ht="15" customHeight="1">
      <c r="H64" s="109"/>
      <c r="I64" s="16"/>
      <c r="J64" s="16"/>
      <c r="K64" s="16" t="s">
        <v>207</v>
      </c>
      <c r="L64" s="16"/>
      <c r="M64" s="16"/>
    </row>
    <row r="65" spans="8:13" ht="15" customHeight="1">
      <c r="H65" s="109"/>
      <c r="I65" s="17"/>
      <c r="J65" s="17"/>
      <c r="K65" s="17" t="s">
        <v>208</v>
      </c>
      <c r="L65" s="17"/>
      <c r="M65" s="17"/>
    </row>
    <row r="66" spans="8:13" ht="15" customHeight="1">
      <c r="H66" s="109"/>
      <c r="I66" s="16"/>
      <c r="J66" s="16"/>
      <c r="K66" s="16" t="s">
        <v>209</v>
      </c>
      <c r="L66" s="16"/>
      <c r="M66" s="16"/>
    </row>
    <row r="67" spans="8:13" ht="15" customHeight="1">
      <c r="H67" s="109"/>
      <c r="I67" s="17"/>
      <c r="J67" s="17"/>
      <c r="K67" s="17" t="s">
        <v>210</v>
      </c>
      <c r="L67" s="17"/>
      <c r="M67" s="17"/>
    </row>
    <row r="68" spans="8:13" ht="15" customHeight="1">
      <c r="H68" s="109"/>
      <c r="I68" s="16"/>
      <c r="J68" s="16"/>
      <c r="K68" s="16" t="s">
        <v>211</v>
      </c>
      <c r="L68" s="16"/>
      <c r="M68" s="16"/>
    </row>
    <row r="69" spans="8:13" ht="15" customHeight="1">
      <c r="H69" s="109"/>
      <c r="I69" s="17"/>
      <c r="J69" s="17"/>
      <c r="K69" s="17" t="s">
        <v>212</v>
      </c>
      <c r="L69" s="17"/>
      <c r="M69" s="17"/>
    </row>
    <row r="70" spans="8:13" ht="15" customHeight="1">
      <c r="H70" s="109"/>
      <c r="I70" s="16"/>
      <c r="J70" s="16"/>
      <c r="K70" s="16" t="s">
        <v>213</v>
      </c>
      <c r="L70" s="16"/>
      <c r="M70" s="16"/>
    </row>
    <row r="71" spans="8:13" ht="15" customHeight="1">
      <c r="H71" s="109"/>
      <c r="I71" s="17"/>
      <c r="J71" s="17"/>
      <c r="K71" s="17" t="s">
        <v>214</v>
      </c>
      <c r="L71" s="17"/>
      <c r="M71" s="17"/>
    </row>
    <row r="72" spans="8:13" ht="15" customHeight="1">
      <c r="H72" s="109"/>
      <c r="I72" s="16"/>
      <c r="J72" s="16"/>
      <c r="K72" s="16"/>
      <c r="L72" s="16"/>
      <c r="M72" s="16"/>
    </row>
    <row r="73" spans="8:13" ht="15" customHeight="1">
      <c r="H73" s="109"/>
      <c r="I73" s="17"/>
      <c r="J73" s="17"/>
      <c r="K73" s="17"/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tabSelected="1" zoomScale="60" zoomScaleNormal="60" workbookViewId="0">
      <pane ySplit="1" topLeftCell="A448" activePane="bottomLeft" state="frozen"/>
      <selection pane="bottomLeft" activeCell="F464" sqref="F46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29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225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227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226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226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226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226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226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226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226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226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226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226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229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229</v>
      </c>
      <c r="O27" s="39">
        <v>1183060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229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229</v>
      </c>
      <c r="O54" s="39">
        <v>959290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229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226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229</v>
      </c>
      <c r="O81" s="39">
        <v>878050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226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226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229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236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229</v>
      </c>
      <c r="O108" s="39">
        <v>1700000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229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229</v>
      </c>
      <c r="O135" s="39">
        <v>862330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229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229</v>
      </c>
      <c r="O162" s="44">
        <v>1546080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226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226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226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226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226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229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226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226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229</v>
      </c>
      <c r="O189" s="39">
        <v>2355810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232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226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226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226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226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226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226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226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226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226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226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226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226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229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229</v>
      </c>
      <c r="O216" s="45">
        <v>2013260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232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237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229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229</v>
      </c>
      <c r="O243" s="39">
        <v>1545480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232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238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229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229</v>
      </c>
      <c r="O270" s="39">
        <v>1182690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232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229</v>
      </c>
      <c r="O284" s="39">
        <v>2448000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226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239</v>
      </c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226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226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226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240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226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240</v>
      </c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226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240</v>
      </c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226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240</v>
      </c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226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240</v>
      </c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226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240</v>
      </c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226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240</v>
      </c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226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240</v>
      </c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229</v>
      </c>
      <c r="O297" s="39">
        <v>1843460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232</v>
      </c>
      <c r="O298" s="48">
        <f>IFERROR(O284+O297,"")</f>
        <v>4291460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226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241</v>
      </c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226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226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242</v>
      </c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226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226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226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226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226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226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226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226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1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229</v>
      </c>
      <c r="O311" s="39">
        <v>955688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243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243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226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243</v>
      </c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243</v>
      </c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243</v>
      </c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226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243</v>
      </c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229</v>
      </c>
      <c r="O324" s="39">
        <v>1940000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232</v>
      </c>
      <c r="O325" s="48">
        <f>IFERROR(O311+O324,"")</f>
        <v>2895688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226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244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226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226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226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226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226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226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226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226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226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226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229</v>
      </c>
      <c r="O338" s="39">
        <v>1525000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226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226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226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226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226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226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226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226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226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226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226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226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229</v>
      </c>
      <c r="O351" s="39">
        <v>701874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232</v>
      </c>
      <c r="O352" s="48">
        <f>IFERROR(O338+O351,"")</f>
        <v>2226874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226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245</v>
      </c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226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226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226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226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226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226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226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226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226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226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226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229</v>
      </c>
      <c r="O365" s="39">
        <v>2064210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226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226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226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226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226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226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226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226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226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226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226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226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229</v>
      </c>
      <c r="O378" s="39">
        <v>1088710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232</v>
      </c>
      <c r="O379" s="48">
        <f>IFERROR(O365+O378,"")</f>
        <v>3152920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226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208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226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246</v>
      </c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226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247</v>
      </c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226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226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226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226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226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226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226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226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226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229</v>
      </c>
      <c r="O392" s="39">
        <v>1576070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226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226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248</v>
      </c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226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226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226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226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226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226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226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226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226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229</v>
      </c>
      <c r="O405" s="39">
        <v>1202270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232</v>
      </c>
      <c r="O406" s="48">
        <f>IFERROR(O392+O405,"")</f>
        <v>2778340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226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249</v>
      </c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226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226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250</v>
      </c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226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226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226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226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226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251</v>
      </c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251</v>
      </c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226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229</v>
      </c>
      <c r="O419" s="39">
        <v>1600690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226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226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226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226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226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226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226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226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226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226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226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229</v>
      </c>
      <c r="O432" s="39">
        <v>1801910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232</v>
      </c>
      <c r="O433" s="48">
        <f>IFERROR(O419+O432,"")</f>
        <v>3402600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226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212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252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226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226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226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226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226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226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226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226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226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226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226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229</v>
      </c>
      <c r="O446" s="39">
        <v>1241480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253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213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253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253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253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253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253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253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253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253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253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253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253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229</v>
      </c>
      <c r="O459" s="39">
        <v>2675000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232</v>
      </c>
      <c r="O460" s="48">
        <f>IFERROR(O446+O459,"")</f>
        <v>3916480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/>
      <c r="F463" s="27">
        <v>4</v>
      </c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59" t="s">
        <v>226</v>
      </c>
      <c r="B811" s="92"/>
      <c r="C811" s="92"/>
      <c r="D811" s="92"/>
      <c r="E811" s="9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445" activePane="bottomLeft" state="frozen"/>
      <selection pane="bottomLeft" activeCell="F465" sqref="F46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229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229</v>
      </c>
      <c r="O27" s="78">
        <v>393200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254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229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255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253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85">
        <v>276360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256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257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229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229</v>
      </c>
      <c r="O81" s="54">
        <v>787860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253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258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229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259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229</v>
      </c>
      <c r="O108" s="54">
        <v>1087080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229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263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264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229</v>
      </c>
      <c r="O135" s="54">
        <v>794480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266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229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268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203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229</v>
      </c>
      <c r="O162" s="54">
        <v>882280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253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253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229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229</v>
      </c>
      <c r="O189" s="78"/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229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270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271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229</v>
      </c>
      <c r="O216" s="78">
        <v>648410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232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272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273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228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229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203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274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268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253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229</v>
      </c>
      <c r="O243" s="78">
        <v>849060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232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275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229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229</v>
      </c>
      <c r="O270" s="78">
        <v>625070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232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276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277</v>
      </c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229</v>
      </c>
      <c r="O284" s="78">
        <v>623460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278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229</v>
      </c>
      <c r="O297" s="78">
        <v>761660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232</v>
      </c>
      <c r="O298" s="84">
        <f>IFERROR(O284+O297,"")</f>
        <v>1385120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279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279</v>
      </c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229</v>
      </c>
      <c r="O311" s="78">
        <v>605560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280</v>
      </c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281</v>
      </c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229</v>
      </c>
      <c r="O324" s="78">
        <v>524410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232</v>
      </c>
      <c r="O325" s="84">
        <f>IFERROR(O311+O324,"")</f>
        <v>1129970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9" t="s">
        <v>253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282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226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253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253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253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253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253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253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253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229</v>
      </c>
      <c r="O338" s="78">
        <v>837000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283</v>
      </c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284</v>
      </c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229</v>
      </c>
      <c r="O351" s="78">
        <v>598420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232</v>
      </c>
      <c r="O352" s="84">
        <f>IFERROR(O338+O351,"")</f>
        <v>1435420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229</v>
      </c>
      <c r="O365" s="78">
        <v>808550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0.18022187499445863</v>
      </c>
      <c r="N377" s="46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0.33786076388334751</v>
      </c>
      <c r="N378" s="36" t="s">
        <v>229</v>
      </c>
      <c r="O378" s="78">
        <v>511980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0.44758298610556968</v>
      </c>
      <c r="N379" s="40" t="s">
        <v>232</v>
      </c>
      <c r="O379" s="84">
        <f>IFERROR(O365+O378,"")</f>
        <v>1320530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209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268</v>
      </c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285</v>
      </c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229</v>
      </c>
      <c r="O392" s="78">
        <v>281950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253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286</v>
      </c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244</v>
      </c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229</v>
      </c>
      <c r="O405" s="78">
        <v>552440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232</v>
      </c>
      <c r="O406" s="84">
        <f>IFERROR(O392+O405,"")</f>
        <v>834390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226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253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229</v>
      </c>
      <c r="O419" s="78">
        <v>700000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0.15869409721926786</v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8" t="s">
        <v>230</v>
      </c>
      <c r="B432" s="89"/>
      <c r="C432" s="89"/>
      <c r="D432" s="89"/>
      <c r="E432" s="89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0.32952743055260125</v>
      </c>
      <c r="N432" s="36" t="s">
        <v>229</v>
      </c>
      <c r="O432" s="78">
        <v>484540</v>
      </c>
    </row>
    <row r="433" spans="1:15" ht="18" customHeight="1">
      <c r="A433" s="94" t="s">
        <v>231</v>
      </c>
      <c r="B433" s="92"/>
      <c r="C433" s="92"/>
      <c r="D433" s="92"/>
      <c r="E433" s="92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0.47466631944149013</v>
      </c>
      <c r="N433" s="40" t="s">
        <v>232</v>
      </c>
      <c r="O433" s="84">
        <f>IFERROR(O419+O432,"")</f>
        <v>1184540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288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289</v>
      </c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229</v>
      </c>
      <c r="O446" s="78">
        <v>849430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290</v>
      </c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229</v>
      </c>
      <c r="O459" s="78">
        <v>631190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232</v>
      </c>
      <c r="O460" s="84">
        <f>IFERROR(O446+O459,"")</f>
        <v>1480620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291</v>
      </c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17</v>
      </c>
      <c r="G463" s="34">
        <f t="shared" si="102"/>
        <v>85</v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>
        <v>4</v>
      </c>
      <c r="G464" s="28">
        <f t="shared" si="102"/>
        <v>20</v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47</v>
      </c>
      <c r="G473" s="36">
        <f>SUM(G461:G472)</f>
        <v>235</v>
      </c>
      <c r="H473" s="37"/>
      <c r="I473" s="37"/>
      <c r="J473" s="37"/>
      <c r="K473" s="37"/>
      <c r="L473" s="37"/>
      <c r="M473" s="38">
        <f ca="1">IFERROR(SUM(M461:M472),"")</f>
        <v>3.1249999999999944E-2</v>
      </c>
      <c r="N473" s="36" t="s">
        <v>229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78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47</v>
      </c>
      <c r="G487" s="40">
        <f>G473+G486</f>
        <v>235</v>
      </c>
      <c r="H487" s="41"/>
      <c r="I487" s="41"/>
      <c r="J487" s="41"/>
      <c r="K487" s="41"/>
      <c r="L487" s="41"/>
      <c r="M487" s="42">
        <f ca="1">IFERROR(M473+M486,"")</f>
        <v>3.1249999999999944E-2</v>
      </c>
      <c r="N487" s="40" t="s">
        <v>232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78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78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78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78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78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78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78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78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78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83">
        <f>IFERROR(O797+O810,"")</f>
        <v>0</v>
      </c>
    </row>
  </sheetData>
  <mergeCells count="87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513:E513"/>
    <mergeCell ref="A514:E514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444" zoomScale="50" zoomScaleNormal="50" workbookViewId="0">
      <selection activeCell="F464" sqref="F464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27.85546875" style="20" customWidth="1"/>
    <col min="15" max="15" width="14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292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293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229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229</v>
      </c>
      <c r="O27" s="39">
        <v>308500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294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229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253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229</v>
      </c>
      <c r="O54" s="39">
        <v>124290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295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229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290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229</v>
      </c>
      <c r="O81" s="39">
        <v>396340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296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226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229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229</v>
      </c>
      <c r="O108" s="39">
        <v>41230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229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229</v>
      </c>
      <c r="O135" s="39">
        <v>381250</v>
      </c>
    </row>
    <row r="136" spans="1:15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297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267</v>
      </c>
      <c r="K141" s="29">
        <v>0.71597222222222223</v>
      </c>
      <c r="L141" s="29" t="s">
        <v>298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226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226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226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226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229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299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269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229</v>
      </c>
      <c r="O162" s="39">
        <v>337120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253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300</v>
      </c>
      <c r="N166" s="27" t="s">
        <v>301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253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253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253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253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253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253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253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253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229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229</v>
      </c>
      <c r="O189" s="39">
        <v>747210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232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302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229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229</v>
      </c>
      <c r="O216" s="39">
        <v>468430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232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253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253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253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253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253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229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253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229</v>
      </c>
      <c r="O243" s="39">
        <v>575930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232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205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253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253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253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253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253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229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303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304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229</v>
      </c>
      <c r="O270" s="39">
        <v>483510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232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229</v>
      </c>
      <c r="O284" s="39">
        <v>303720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305</v>
      </c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253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306</v>
      </c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253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229</v>
      </c>
      <c r="O297" s="39">
        <v>487980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232</v>
      </c>
      <c r="O298" s="48">
        <f>IFERROR(O284+O297,"")</f>
        <v>791700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307</v>
      </c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226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229</v>
      </c>
      <c r="O311" s="39">
        <v>373300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253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308</v>
      </c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309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229</v>
      </c>
      <c r="O324" s="39">
        <v>609460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232</v>
      </c>
      <c r="O325" s="48">
        <f>IFERROR(O311+O324,"")</f>
        <v>982760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38</v>
      </c>
      <c r="E326" s="59" t="s">
        <v>253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310</v>
      </c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253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253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253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290</v>
      </c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226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253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297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253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253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253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253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253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253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228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229</v>
      </c>
      <c r="O338" s="39">
        <v>168000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229</v>
      </c>
      <c r="O351" s="39">
        <v>437940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232</v>
      </c>
      <c r="O352" s="48">
        <f>IFERROR(O338+O351,"")</f>
        <v>605940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253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253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228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229</v>
      </c>
      <c r="O365" s="39">
        <v>29130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30</v>
      </c>
      <c r="E366" s="59" t="s">
        <v>253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253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253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229</v>
      </c>
      <c r="O378" s="39">
        <v>473310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232</v>
      </c>
      <c r="O379" s="48">
        <f>IFERROR(O365+O378,"")</f>
        <v>502440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46</v>
      </c>
      <c r="E380" s="59" t="s">
        <v>253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253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253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253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253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253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253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253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253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229</v>
      </c>
      <c r="O392" s="39">
        <v>399940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229</v>
      </c>
      <c r="O405" s="39">
        <v>507450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232</v>
      </c>
      <c r="O406" s="48">
        <f>IFERROR(O392+O405,"")</f>
        <v>907390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46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253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253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253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253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253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253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253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226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226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253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253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229</v>
      </c>
      <c r="O419" s="39">
        <v>209000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226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6">
        <f t="shared" ca="1" si="94"/>
        <v>1.5972222222222276E-2</v>
      </c>
      <c r="N421" s="98" t="s">
        <v>287</v>
      </c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5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229</v>
      </c>
      <c r="O432" s="39">
        <v>229150</v>
      </c>
    </row>
    <row r="433" spans="1:15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232</v>
      </c>
      <c r="O433" s="48">
        <f>IFERROR(O419+O432,"")</f>
        <v>438150</v>
      </c>
    </row>
    <row r="434" spans="1:15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311</v>
      </c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229</v>
      </c>
      <c r="O446" s="39">
        <v>191330</v>
      </c>
    </row>
    <row r="447" spans="1:15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226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229</v>
      </c>
      <c r="O459" s="39">
        <v>409980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232</v>
      </c>
      <c r="O460" s="48">
        <f>IFERROR(O446+O459,"")</f>
        <v>601310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>
        <v>7</v>
      </c>
      <c r="G462" s="28">
        <f t="shared" si="102"/>
        <v>35</v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>
        <v>3</v>
      </c>
      <c r="G463" s="34">
        <f t="shared" si="102"/>
        <v>15</v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10</v>
      </c>
      <c r="G473" s="36">
        <f>SUM(G461:G472)</f>
        <v>50</v>
      </c>
      <c r="H473" s="37"/>
      <c r="I473" s="37"/>
      <c r="J473" s="37"/>
      <c r="K473" s="37"/>
      <c r="L473" s="37"/>
      <c r="M473" s="38">
        <f ca="1">IFERROR(SUM(M461:M472),"")</f>
        <v>1.8749999999999989E-2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10</v>
      </c>
      <c r="G487" s="40">
        <f>G473+G486</f>
        <v>50</v>
      </c>
      <c r="H487" s="41"/>
      <c r="I487" s="41"/>
      <c r="J487" s="41"/>
      <c r="K487" s="41"/>
      <c r="L487" s="41"/>
      <c r="M487" s="42">
        <f ca="1">IFERROR(M473+M486,"")</f>
        <v>1.8749999999999989E-2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380 E382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445" activePane="bottomLeft" state="frozen"/>
      <selection pane="bottomLeft" activeCell="L462" sqref="L462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50" style="57" customWidth="1"/>
    <col min="15" max="15" width="14" customWidth="1"/>
    <col min="16" max="16" width="9.42578125" bestFit="1" customWidth="1"/>
  </cols>
  <sheetData>
    <row r="1" spans="1:15" ht="37.5" customHeight="1">
      <c r="A1" s="68" t="s">
        <v>7</v>
      </c>
      <c r="B1" s="23" t="s">
        <v>215</v>
      </c>
      <c r="C1" s="23" t="s">
        <v>12</v>
      </c>
      <c r="D1" s="22" t="s">
        <v>13</v>
      </c>
      <c r="E1" s="22" t="s">
        <v>216</v>
      </c>
      <c r="F1" s="23" t="s">
        <v>217</v>
      </c>
      <c r="G1" s="23" t="s">
        <v>218</v>
      </c>
      <c r="H1" s="23" t="s">
        <v>14</v>
      </c>
      <c r="I1" s="23" t="s">
        <v>15</v>
      </c>
      <c r="J1" s="23" t="s">
        <v>219</v>
      </c>
      <c r="K1" s="23" t="s">
        <v>220</v>
      </c>
      <c r="L1" s="23" t="s">
        <v>221</v>
      </c>
      <c r="M1" s="24" t="s">
        <v>222</v>
      </c>
      <c r="N1" s="23" t="s">
        <v>223</v>
      </c>
      <c r="O1" s="23" t="s">
        <v>224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253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312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253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290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228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229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253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313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230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229</v>
      </c>
      <c r="O27" s="39">
        <v>202230</v>
      </c>
    </row>
    <row r="28" spans="1:15" ht="18" customHeight="1">
      <c r="A28" s="102" t="s">
        <v>231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253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314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315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253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253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228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229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253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230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229</v>
      </c>
      <c r="O54" s="39">
        <v>473910</v>
      </c>
    </row>
    <row r="55" spans="1:15" ht="18" customHeight="1">
      <c r="A55" s="102" t="s">
        <v>231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253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316</v>
      </c>
      <c r="L58" s="29">
        <v>0.54097222222222219</v>
      </c>
      <c r="M58" s="30" t="str">
        <f t="shared" ca="1" si="13"/>
        <v/>
      </c>
      <c r="N58" s="27" t="s">
        <v>317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228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229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253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292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253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318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319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320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321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253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230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229</v>
      </c>
      <c r="O81" s="39">
        <v>565120</v>
      </c>
    </row>
    <row r="82" spans="1:15" ht="18" customHeight="1">
      <c r="A82" s="102" t="s">
        <v>231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253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322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226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226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226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226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226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226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226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228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229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253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230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229</v>
      </c>
      <c r="O108" s="39">
        <v>558590</v>
      </c>
    </row>
    <row r="109" spans="1:15" ht="18" customHeight="1">
      <c r="A109" s="102" t="s">
        <v>231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253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323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228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229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226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226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324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226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201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325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226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226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226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0.17049965277692536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226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265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226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226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226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226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226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230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0.36980520833248098</v>
      </c>
      <c r="N135" s="36" t="s">
        <v>229</v>
      </c>
      <c r="O135" s="39">
        <v>729290</v>
      </c>
    </row>
    <row r="136" spans="1:18" ht="18" customHeight="1">
      <c r="A136" s="102" t="s">
        <v>231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0.73716631944359201</v>
      </c>
      <c r="N136" s="40" t="s">
        <v>232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226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226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226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326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226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267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226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226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226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226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226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226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226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226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228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229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226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297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226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253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327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253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253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253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253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253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253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253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253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253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230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229</v>
      </c>
      <c r="O162" s="39">
        <v>697320</v>
      </c>
    </row>
    <row r="163" spans="1:15" ht="18" customHeight="1">
      <c r="A163" s="102" t="s">
        <v>231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226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253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253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253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253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328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253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253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253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253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253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253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253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228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229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253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253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253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253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253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253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253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253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253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253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253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253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230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229</v>
      </c>
      <c r="O189" s="39">
        <v>973580</v>
      </c>
    </row>
    <row r="190" spans="1:15" ht="18" customHeight="1">
      <c r="A190" s="102" t="s">
        <v>231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232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253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253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253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329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253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330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253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253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253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253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253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253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253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228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229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253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226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253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331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253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253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253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253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253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253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253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253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253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230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229</v>
      </c>
      <c r="O216" s="45">
        <v>1060630</v>
      </c>
    </row>
    <row r="217" spans="1:15" ht="18" customHeight="1">
      <c r="A217" s="102" t="s">
        <v>231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232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253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332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253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253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333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253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253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253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253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253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334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253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253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253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228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229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253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226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335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253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253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253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253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253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253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253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253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230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229</v>
      </c>
      <c r="O243" s="39">
        <v>982340</v>
      </c>
    </row>
    <row r="244" spans="1:15" ht="18" customHeight="1">
      <c r="A244" s="102" t="s">
        <v>231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232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253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336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253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204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253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253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253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253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253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253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253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253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253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253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228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229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253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253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253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253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253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253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253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253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253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253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253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253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230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229</v>
      </c>
      <c r="O270" s="39">
        <v>1208450</v>
      </c>
    </row>
    <row r="271" spans="1:15" ht="18" customHeight="1">
      <c r="A271" s="102" t="s">
        <v>231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232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253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253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253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253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253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253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253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253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253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253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253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253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228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229</v>
      </c>
      <c r="O284" s="39">
        <v>787000</v>
      </c>
    </row>
    <row r="285" spans="1:15" ht="15" customHeight="1">
      <c r="A285" s="70">
        <v>46214</v>
      </c>
      <c r="B285" s="32">
        <v>0.83333333333333304</v>
      </c>
      <c r="C285" s="33" t="s">
        <v>29</v>
      </c>
      <c r="D285" s="62" t="s">
        <v>30</v>
      </c>
      <c r="E285" s="62" t="s">
        <v>253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253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253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253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226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253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253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253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253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253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253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253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230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229</v>
      </c>
      <c r="O297" s="39">
        <v>1049090</v>
      </c>
    </row>
    <row r="298" spans="1:15" ht="18" customHeight="1">
      <c r="A298" s="102" t="s">
        <v>231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232</v>
      </c>
      <c r="O298" s="48">
        <f>IFERROR(O284+O297,"")</f>
        <v>1836090</v>
      </c>
    </row>
    <row r="299" spans="1:15" ht="15" customHeight="1">
      <c r="A299" s="70">
        <v>46215</v>
      </c>
      <c r="B299" s="32">
        <v>0.33333333333333298</v>
      </c>
      <c r="C299" s="33" t="s">
        <v>45</v>
      </c>
      <c r="D299" s="62" t="s">
        <v>30</v>
      </c>
      <c r="E299" s="62" t="s">
        <v>253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337</v>
      </c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253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206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253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207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253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253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253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253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253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253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253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253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253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228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229</v>
      </c>
      <c r="O311" s="39">
        <v>145580</v>
      </c>
    </row>
    <row r="312" spans="1:15" ht="15" customHeight="1">
      <c r="A312" s="69">
        <v>46215</v>
      </c>
      <c r="B312" s="25">
        <v>0.83333333333333304</v>
      </c>
      <c r="C312" s="26" t="s">
        <v>29</v>
      </c>
      <c r="D312" s="59" t="s">
        <v>30</v>
      </c>
      <c r="E312" s="59" t="s">
        <v>226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253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253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253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253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253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253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262</v>
      </c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253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253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253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253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226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230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229</v>
      </c>
      <c r="O324" s="39">
        <v>1063720</v>
      </c>
    </row>
    <row r="325" spans="1:15" ht="18" customHeight="1">
      <c r="A325" s="102" t="s">
        <v>231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232</v>
      </c>
      <c r="O325" s="48">
        <f>IFERROR(O311+O324,"")</f>
        <v>1209300</v>
      </c>
    </row>
    <row r="326" spans="1:15" ht="15" customHeight="1">
      <c r="A326" s="69">
        <v>46216</v>
      </c>
      <c r="B326" s="25">
        <v>0.33333333333333298</v>
      </c>
      <c r="C326" s="26" t="s">
        <v>45</v>
      </c>
      <c r="D326" s="59" t="s">
        <v>30</v>
      </c>
      <c r="E326" s="57" t="s">
        <v>253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70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253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290</v>
      </c>
      <c r="O327" s="60"/>
    </row>
    <row r="328" spans="1:15" ht="15" customHeight="1">
      <c r="A328" s="69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253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70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253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9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226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70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253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9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253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70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253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9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253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70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253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9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253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70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253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228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229</v>
      </c>
      <c r="O338" s="39">
        <v>780000</v>
      </c>
    </row>
    <row r="339" spans="1:15" ht="15" customHeight="1">
      <c r="A339" s="70">
        <v>46216</v>
      </c>
      <c r="B339" s="32">
        <v>0.83333333333333304</v>
      </c>
      <c r="C339" s="33" t="s">
        <v>29</v>
      </c>
      <c r="D339" s="62" t="s">
        <v>30</v>
      </c>
      <c r="E339" s="62" t="s">
        <v>253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253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253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253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253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253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338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253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253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253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339</v>
      </c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253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253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253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230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229</v>
      </c>
      <c r="O351" s="39">
        <v>696140</v>
      </c>
    </row>
    <row r="352" spans="1:15" ht="18" customHeight="1">
      <c r="A352" s="102" t="s">
        <v>231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232</v>
      </c>
      <c r="O352" s="48">
        <f>IFERROR(O338+O351,"")</f>
        <v>1476140</v>
      </c>
    </row>
    <row r="353" spans="1:15" ht="15" customHeight="1">
      <c r="A353" s="70">
        <v>46217</v>
      </c>
      <c r="B353" s="32">
        <v>0.33333333333333298</v>
      </c>
      <c r="C353" s="33" t="s">
        <v>45</v>
      </c>
      <c r="D353" s="62" t="s">
        <v>30</v>
      </c>
      <c r="E353" s="62" t="s">
        <v>253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253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253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297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253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253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253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253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253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253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253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253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253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8" t="s">
        <v>228</v>
      </c>
      <c r="B365" s="89"/>
      <c r="C365" s="89"/>
      <c r="D365" s="89"/>
      <c r="E365" s="90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229</v>
      </c>
      <c r="O365" s="39">
        <v>597930</v>
      </c>
    </row>
    <row r="366" spans="1:15" ht="15" customHeight="1">
      <c r="A366" s="69">
        <v>46217</v>
      </c>
      <c r="B366" s="25">
        <v>0.83333333333333304</v>
      </c>
      <c r="C366" s="26" t="s">
        <v>29</v>
      </c>
      <c r="D366" s="59" t="s">
        <v>46</v>
      </c>
      <c r="E366" s="59" t="s">
        <v>253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253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253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340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253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253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253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253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253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253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253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253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253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230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229</v>
      </c>
      <c r="O378" s="39">
        <v>704750</v>
      </c>
    </row>
    <row r="379" spans="1:15" ht="18" customHeight="1">
      <c r="A379" s="102" t="s">
        <v>231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232</v>
      </c>
      <c r="O379" s="48">
        <f>IFERROR(O365+O378,"")</f>
        <v>1302680</v>
      </c>
    </row>
    <row r="380" spans="1:15" ht="15" customHeight="1">
      <c r="A380" s="69">
        <v>46218</v>
      </c>
      <c r="B380" s="25">
        <v>0.33333333333333298</v>
      </c>
      <c r="C380" s="26" t="s">
        <v>45</v>
      </c>
      <c r="D380" s="59" t="s">
        <v>30</v>
      </c>
      <c r="E380" s="59" t="s">
        <v>253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341</v>
      </c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253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253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328</v>
      </c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253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253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253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253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253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253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253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253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253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228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229</v>
      </c>
      <c r="O392" s="39">
        <v>565570</v>
      </c>
    </row>
    <row r="393" spans="1:15" ht="15" customHeight="1">
      <c r="A393" s="70">
        <v>46218</v>
      </c>
      <c r="B393" s="32">
        <v>0.83333333333333304</v>
      </c>
      <c r="C393" s="33" t="s">
        <v>29</v>
      </c>
      <c r="D393" s="62" t="s">
        <v>30</v>
      </c>
      <c r="E393" s="62" t="s">
        <v>226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253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342</v>
      </c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253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253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253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253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343</v>
      </c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253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253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253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253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253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253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230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229</v>
      </c>
      <c r="O405" s="39">
        <v>958130</v>
      </c>
    </row>
    <row r="406" spans="1:15" ht="18" customHeight="1">
      <c r="A406" s="102" t="s">
        <v>231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232</v>
      </c>
      <c r="O406" s="48">
        <f>IFERROR(O392+O405,"")</f>
        <v>1523700</v>
      </c>
    </row>
    <row r="407" spans="1:15" ht="15" customHeight="1">
      <c r="A407" s="70">
        <v>46219</v>
      </c>
      <c r="B407" s="32">
        <v>0.33333333333333298</v>
      </c>
      <c r="C407" s="33" t="s">
        <v>45</v>
      </c>
      <c r="D407" s="62" t="s">
        <v>30</v>
      </c>
      <c r="E407" s="62" t="s">
        <v>253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253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253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253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253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253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253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253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226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253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253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226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228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229</v>
      </c>
      <c r="O419" s="39">
        <v>491520</v>
      </c>
    </row>
    <row r="420" spans="1:15" ht="15" customHeight="1">
      <c r="A420" s="69">
        <v>46219</v>
      </c>
      <c r="B420" s="25">
        <v>0.83333333333333304</v>
      </c>
      <c r="C420" s="26" t="s">
        <v>29</v>
      </c>
      <c r="D420" s="59" t="s">
        <v>30</v>
      </c>
      <c r="E420" s="59" t="s">
        <v>253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210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253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253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253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253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253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344</v>
      </c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253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253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253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253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253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253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230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229</v>
      </c>
      <c r="O432" s="39">
        <v>605220</v>
      </c>
    </row>
    <row r="433" spans="1:17" ht="18" customHeight="1">
      <c r="A433" s="102" t="s">
        <v>231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232</v>
      </c>
      <c r="O433" s="48">
        <f>IFERROR(O419+O432,"")</f>
        <v>1096740</v>
      </c>
    </row>
    <row r="434" spans="1:17" ht="15" customHeight="1">
      <c r="A434" s="69">
        <v>46220</v>
      </c>
      <c r="B434" s="25">
        <v>0.33333333333333298</v>
      </c>
      <c r="C434" s="26" t="s">
        <v>21</v>
      </c>
      <c r="D434" s="59" t="s">
        <v>30</v>
      </c>
      <c r="E434" s="59" t="s">
        <v>253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211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253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253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253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253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253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253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253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253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253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253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253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228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229</v>
      </c>
      <c r="O446" s="39">
        <v>878370</v>
      </c>
    </row>
    <row r="447" spans="1:17" ht="15" customHeight="1">
      <c r="A447" s="70">
        <v>46220</v>
      </c>
      <c r="B447" s="32">
        <v>0.83333333333333304</v>
      </c>
      <c r="C447" s="33" t="s">
        <v>45</v>
      </c>
      <c r="D447" s="62" t="s">
        <v>30</v>
      </c>
      <c r="E447" s="62" t="s">
        <v>226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226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226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345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226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226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226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226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226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214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226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226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226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230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229</v>
      </c>
      <c r="O459" s="39">
        <v>615330</v>
      </c>
    </row>
    <row r="460" spans="1:15" ht="18" customHeight="1">
      <c r="A460" s="102" t="s">
        <v>231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232</v>
      </c>
      <c r="O460" s="48">
        <f>IFERROR(O446+O459,"")</f>
        <v>1493700</v>
      </c>
    </row>
    <row r="461" spans="1:15" ht="15" customHeight="1">
      <c r="A461" s="70">
        <v>46221</v>
      </c>
      <c r="B461" s="32">
        <v>0.33333333333333298</v>
      </c>
      <c r="C461" s="33" t="s">
        <v>21</v>
      </c>
      <c r="D461" s="62" t="s">
        <v>30</v>
      </c>
      <c r="E461" s="62" t="s">
        <v>226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346</v>
      </c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226</v>
      </c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226</v>
      </c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226</v>
      </c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226</v>
      </c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226</v>
      </c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226</v>
      </c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226</v>
      </c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226</v>
      </c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226</v>
      </c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226</v>
      </c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226</v>
      </c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228</v>
      </c>
      <c r="B473" s="100"/>
      <c r="C473" s="100"/>
      <c r="D473" s="100"/>
      <c r="E473" s="101">
        <f>SUM(E461:E472)</f>
        <v>0</v>
      </c>
      <c r="F473" s="36">
        <f>SUM(F461:F472)</f>
        <v>5</v>
      </c>
      <c r="G473" s="36">
        <f>SUM(G461:G472)</f>
        <v>25</v>
      </c>
      <c r="H473" s="37"/>
      <c r="I473" s="37"/>
      <c r="J473" s="37"/>
      <c r="K473" s="61"/>
      <c r="L473" s="61"/>
      <c r="M473" s="38">
        <f ca="1">IFERROR(SUM(M461:M472),"")</f>
        <v>7.6388888888888895E-2</v>
      </c>
      <c r="N473" s="36" t="s">
        <v>229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230</v>
      </c>
      <c r="B486" s="100"/>
      <c r="C486" s="100"/>
      <c r="D486" s="100"/>
      <c r="E486" s="101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229</v>
      </c>
      <c r="O486" s="39"/>
    </row>
    <row r="487" spans="1:15" ht="18" customHeight="1">
      <c r="A487" s="102" t="s">
        <v>231</v>
      </c>
      <c r="B487" s="103"/>
      <c r="C487" s="103"/>
      <c r="D487" s="103"/>
      <c r="E487" s="104">
        <f>E473+E486</f>
        <v>0</v>
      </c>
      <c r="F487" s="40">
        <f>F473+F486</f>
        <v>5</v>
      </c>
      <c r="G487" s="40">
        <f>G473+G486</f>
        <v>25</v>
      </c>
      <c r="H487" s="41"/>
      <c r="I487" s="41"/>
      <c r="J487" s="41"/>
      <c r="K487" s="63"/>
      <c r="L487" s="63"/>
      <c r="M487" s="42">
        <f ca="1">IFERROR(M473+M486,"")</f>
        <v>7.6388888888888895E-2</v>
      </c>
      <c r="N487" s="40" t="s">
        <v>232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228</v>
      </c>
      <c r="B500" s="100"/>
      <c r="C500" s="100"/>
      <c r="D500" s="100"/>
      <c r="E500" s="101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229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230</v>
      </c>
      <c r="B513" s="100"/>
      <c r="C513" s="100"/>
      <c r="D513" s="100"/>
      <c r="E513" s="101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229</v>
      </c>
      <c r="O513" s="39"/>
    </row>
    <row r="514" spans="1:15" ht="18" customHeight="1">
      <c r="A514" s="102" t="s">
        <v>231</v>
      </c>
      <c r="B514" s="103"/>
      <c r="C514" s="103"/>
      <c r="D514" s="103"/>
      <c r="E514" s="104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228</v>
      </c>
      <c r="B527" s="100"/>
      <c r="C527" s="100"/>
      <c r="D527" s="100"/>
      <c r="E527" s="101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229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230</v>
      </c>
      <c r="B540" s="100"/>
      <c r="C540" s="100"/>
      <c r="D540" s="100"/>
      <c r="E540" s="101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229</v>
      </c>
      <c r="O540" s="39"/>
    </row>
    <row r="541" spans="1:15" ht="18" customHeight="1">
      <c r="A541" s="102" t="s">
        <v>231</v>
      </c>
      <c r="B541" s="103"/>
      <c r="C541" s="103"/>
      <c r="D541" s="103"/>
      <c r="E541" s="104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228</v>
      </c>
      <c r="B554" s="100"/>
      <c r="C554" s="100"/>
      <c r="D554" s="100"/>
      <c r="E554" s="101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229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9" t="s">
        <v>230</v>
      </c>
      <c r="B567" s="100"/>
      <c r="C567" s="100"/>
      <c r="D567" s="100"/>
      <c r="E567" s="101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229</v>
      </c>
      <c r="O567" s="39"/>
    </row>
    <row r="568" spans="1:15" ht="18" customHeight="1">
      <c r="A568" s="102" t="s">
        <v>231</v>
      </c>
      <c r="B568" s="103"/>
      <c r="C568" s="103"/>
      <c r="D568" s="103"/>
      <c r="E568" s="104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228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229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9" t="s">
        <v>230</v>
      </c>
      <c r="B594" s="100"/>
      <c r="C594" s="100"/>
      <c r="D594" s="100"/>
      <c r="E594" s="101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229</v>
      </c>
      <c r="O594" s="39"/>
    </row>
    <row r="595" spans="1:15" ht="18" customHeight="1">
      <c r="A595" s="102" t="s">
        <v>231</v>
      </c>
      <c r="B595" s="103"/>
      <c r="C595" s="103"/>
      <c r="D595" s="103"/>
      <c r="E595" s="104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228</v>
      </c>
      <c r="B608" s="100"/>
      <c r="C608" s="100"/>
      <c r="D608" s="100"/>
      <c r="E608" s="101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229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230</v>
      </c>
      <c r="B621" s="100"/>
      <c r="C621" s="100"/>
      <c r="D621" s="100"/>
      <c r="E621" s="101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229</v>
      </c>
      <c r="O621" s="39"/>
    </row>
    <row r="622" spans="1:15" ht="18" customHeight="1">
      <c r="A622" s="102" t="s">
        <v>231</v>
      </c>
      <c r="B622" s="103"/>
      <c r="C622" s="103"/>
      <c r="D622" s="103"/>
      <c r="E622" s="104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228</v>
      </c>
      <c r="B635" s="100"/>
      <c r="C635" s="100"/>
      <c r="D635" s="100"/>
      <c r="E635" s="101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229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230</v>
      </c>
      <c r="B648" s="100"/>
      <c r="C648" s="100"/>
      <c r="D648" s="100"/>
      <c r="E648" s="101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229</v>
      </c>
      <c r="O648" s="39"/>
    </row>
    <row r="649" spans="1:15" ht="18" customHeight="1">
      <c r="A649" s="102" t="s">
        <v>231</v>
      </c>
      <c r="B649" s="103"/>
      <c r="C649" s="103"/>
      <c r="D649" s="103"/>
      <c r="E649" s="104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228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229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230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229</v>
      </c>
      <c r="O675" s="39"/>
    </row>
    <row r="676" spans="1:15" ht="18" customHeight="1">
      <c r="A676" s="102" t="s">
        <v>231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228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229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230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229</v>
      </c>
      <c r="O702" s="39"/>
    </row>
    <row r="703" spans="1:15" ht="18" customHeight="1">
      <c r="A703" s="102" t="s">
        <v>231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228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229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230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229</v>
      </c>
      <c r="O729" s="39"/>
    </row>
    <row r="730" spans="1:15" ht="18" customHeight="1">
      <c r="A730" s="102" t="s">
        <v>231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228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229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230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229</v>
      </c>
      <c r="O756" s="39"/>
    </row>
    <row r="757" spans="1:15" ht="18" customHeight="1">
      <c r="A757" s="102" t="s">
        <v>231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228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229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230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229</v>
      </c>
      <c r="O783" s="39"/>
    </row>
    <row r="784" spans="1:15" ht="18" customHeight="1">
      <c r="A784" s="102" t="s">
        <v>231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228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229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230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229</v>
      </c>
      <c r="O810" s="39"/>
    </row>
    <row r="811" spans="1:15" ht="18" customHeight="1">
      <c r="A811" s="102" t="s">
        <v>231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232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2026-07-18T14:05:04Z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