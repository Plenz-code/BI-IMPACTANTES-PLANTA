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96" documentId="13_ncr:1_{A6DBCFB4-28D9-4249-9038-216934055CA6}" xr6:coauthVersionLast="47" xr6:coauthVersionMax="47" xr10:uidLastSave="{1B6213D0-E352-4779-92F1-0C93FE841FC7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<sst xmlns="http://schemas.openxmlformats.org/spreadsheetml/2006/main" count="9721" uniqueCount="421">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</sst>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H579" sqref="H57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348</v>
      </c>
      <c r="G581" s="2">
        <f>SUM(G569:G580)</f>
        <v>1740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348</v>
      </c>
      <c r="G595" s="1">
        <f>G581+G594</f>
        <v>1740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47" activePane="bottomLeft" state="frozen"/>
      <selection pane="bottomLeft" activeCell="G581" sqref="G58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0.65423437499703141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0.79312326388591914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0.87784548610814195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/>
      <c r="Q570" s="66">
        <f t="shared" ca="1" si="148"/>
        <v>2.8539930557599291E-2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0</v>
      </c>
      <c r="I579" s="90">
        <f>IFERROR(IF($D579="","",VLOOKUP($D579,Cadastro!$C$4:$G$7,5,FALSE())),"")</f>
        <v>0.6</v>
      </c>
      <c r="J579" s="91">
        <f t="shared" si="146"/>
        <v>0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0.38826215277982151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49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205.8</v>
      </c>
      <c r="L595" s="76"/>
      <c r="M595" s="76"/>
      <c r="N595" s="76"/>
      <c r="O595" s="76"/>
      <c r="P595" s="76"/>
      <c r="Q595" s="77">
        <f ca="1">IFERROR(Q581+Q594,"")</f>
        <v>0.38826215277982151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55" activePane="bottomLeft" state="frozen"/>
      <selection pane="bottomLeft" activeCell="G581" sqref="G58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/>
      <c r="Q573" s="71">
        <f t="shared" ca="1" si="145"/>
        <v>2.8539930557599291E-2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3"/>
        <v>0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3"/>
        <v>0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0</v>
      </c>
      <c r="I579" s="90">
        <f>IFERROR(IF($D579="","",VLOOKUP($D579,Cadastro!$C$4:$G$7,5,FALSE())),"")</f>
        <v>0.6</v>
      </c>
      <c r="J579" s="91">
        <f t="shared" si="143"/>
        <v>0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0.14034548611315489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163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693.40000000000009</v>
      </c>
      <c r="L595" s="76"/>
      <c r="M595" s="76"/>
      <c r="N595" s="76"/>
      <c r="O595" s="76"/>
      <c r="P595" s="76"/>
      <c r="Q595" s="77">
        <f ca="1">IFERROR(Q581+Q594,"")</f>
        <v>0.14034548611315489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G581" sqref="G58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0</v>
      </c>
      <c r="I579" s="90">
        <f>IFERROR(IF($D579="","",VLOOKUP($D579,Cadastro!$C$4:$G$7,5,FALSE())),"")</f>
        <v>0.6</v>
      </c>
      <c r="J579" s="91">
        <f t="shared" si="146"/>
        <v>0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202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864.40000000000009</v>
      </c>
      <c r="L595" s="76"/>
      <c r="M595" s="76"/>
      <c r="N595" s="76"/>
      <c r="O595" s="135"/>
      <c r="P595" s="135"/>
      <c r="Q595" s="77">
        <f ca="1">IFERROR(Q581+Q594,"")</f>
        <v>0.13402777777777786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2026-08-22T22:37:29Z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