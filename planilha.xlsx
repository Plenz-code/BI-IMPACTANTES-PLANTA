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505" documentId="8_{C51EB6CB-002B-4D6B-B68F-DDEBDB4460C0}" xr6:coauthVersionLast="47" xr6:coauthVersionMax="47" xr10:uidLastSave="{5674EE3C-E515-4820-B7FF-3D781A64CA9A}"/>
  <bookViews>
    <workbookView xWindow="-108" yWindow="-108" windowWidth="23256" windowHeight="12456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<sst xmlns="http://schemas.openxmlformats.org/spreadsheetml/2006/main" count="4649" uniqueCount="314">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</sst>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2165620</v>
      </c>
      <c r="D12" s="8">
        <f>IFERROR('Linha 1'!O244,"")</f>
        <v>503310</v>
      </c>
      <c r="E12" s="8">
        <f>IFERROR('Linha 2'!O244,"")</f>
        <v>329640</v>
      </c>
      <c r="F12" s="8">
        <f>IFERROR('Linha 3'!O244,"")</f>
        <v>755220</v>
      </c>
      <c r="G12" s="9">
        <f t="shared" si="0"/>
        <v>1588170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29446500</v>
      </c>
      <c r="D35" s="13">
        <f>IFERROR(SUM(D4:D34),"")</f>
        <v>8827170</v>
      </c>
      <c r="E35" s="13">
        <f>IFERROR(SUM(E4:E34),"")</f>
        <v>4207220</v>
      </c>
      <c r="F35" s="13">
        <f>IFERROR(SUM(F4:F34),"")</f>
        <v>11603970</v>
      </c>
      <c r="G35" s="13">
        <f>IFERROR(SUM(G4:G34),"")</f>
        <v>24638360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215" activePane="bottomLeft" state="frozen"/>
      <selection pane="bottomLeft" activeCell="C231" sqref="C231:C24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251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235</v>
      </c>
      <c r="O230" s="39">
        <v>2165620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309</v>
      </c>
      <c r="G244" s="40">
        <f>G230+G243</f>
        <v>1545</v>
      </c>
      <c r="H244" s="41"/>
      <c r="I244" s="41"/>
      <c r="J244" s="41"/>
      <c r="K244" s="41"/>
      <c r="L244" s="41"/>
      <c r="M244" s="42">
        <f ca="1">IFERROR(M230+M243,"")</f>
        <v>7.9166666666666552E-2</v>
      </c>
      <c r="N244" s="40" t="s">
        <v>239</v>
      </c>
      <c r="O244" s="48">
        <f>IFERROR(O230+O243,"")</f>
        <v>2165620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2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10" activePane="bottomLeft" state="frozen"/>
      <selection pane="bottomLeft" activeCell="F231" sqref="F23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0.66870520832890179</v>
      </c>
      <c r="N53" s="46" t="s">
        <v>260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0.80759409721779063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0.89231631944001299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262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263</v>
      </c>
      <c r="M96" s="30" t="str">
        <f t="shared" ref="M96:M107" ca="1" si="22">IFERROR(IF(K96="","",IF(L96="",MOD(NOW()-K96,1),IF(L96&gt;=K96,L96-K96,L96+1-K96))),"")</f>
        <v/>
      </c>
      <c r="N96" s="46" t="s">
        <v>264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268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269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270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272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273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274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267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261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236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275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276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277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235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249</v>
      </c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249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249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249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249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249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249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249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249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249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134</v>
      </c>
      <c r="G244" s="40">
        <f>G230+G243</f>
        <v>566.80000000000007</v>
      </c>
      <c r="H244" s="41"/>
      <c r="I244" s="41"/>
      <c r="J244" s="41"/>
      <c r="K244" s="41"/>
      <c r="L244" s="41"/>
      <c r="M244" s="42">
        <f ca="1">IFERROR(M230+M243,"")</f>
        <v>0.14930555555555569</v>
      </c>
      <c r="N244" s="40" t="s">
        <v>239</v>
      </c>
      <c r="O244" s="83">
        <f>IFERROR(O230+O243,"")</f>
        <v>503310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09" zoomScale="50" zoomScaleNormal="50" workbookViewId="0">
      <selection activeCell="F231" sqref="F23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270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261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288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273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273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289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291</v>
      </c>
      <c r="M222" s="30" t="str">
        <f t="shared" ca="1" si="49"/>
        <v/>
      </c>
      <c r="N222" s="27" t="s">
        <v>292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/>
      <c r="M223" s="35">
        <f t="shared" ca="1" si="49"/>
        <v>6.5927430550800636E-2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0.12426076388413398</v>
      </c>
      <c r="N230" s="36" t="s">
        <v>235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249</v>
      </c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249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249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249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249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249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249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249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249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249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77</v>
      </c>
      <c r="G244" s="40">
        <f>G230+G243</f>
        <v>327.39999999999998</v>
      </c>
      <c r="H244" s="41"/>
      <c r="I244" s="41"/>
      <c r="J244" s="41"/>
      <c r="K244" s="41"/>
      <c r="L244" s="41"/>
      <c r="M244" s="42">
        <f ca="1">IFERROR(M230+M243,"")</f>
        <v>0.12426076388413398</v>
      </c>
      <c r="N244" s="40" t="s">
        <v>239</v>
      </c>
      <c r="O244" s="48">
        <f>IFERROR(O230+O243,"")</f>
        <v>329640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7" activePane="bottomLeft" state="frozen"/>
      <selection pane="bottomLeft" activeCell="F231" sqref="F23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37.28515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294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295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296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297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298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299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300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301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261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302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303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270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304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305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306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308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309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310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311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312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313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235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249</v>
      </c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249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249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249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249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249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249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249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249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249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169</v>
      </c>
      <c r="G244" s="40">
        <f>G230+G243</f>
        <v>725.80000000000007</v>
      </c>
      <c r="H244" s="41"/>
      <c r="I244" s="41"/>
      <c r="J244" s="41"/>
      <c r="K244" s="63"/>
      <c r="L244" s="63"/>
      <c r="M244" s="42">
        <f ca="1">IFERROR(M230+M243,"")</f>
        <v>5.4166666666666752E-2</v>
      </c>
      <c r="N244" s="40" t="s">
        <v>239</v>
      </c>
      <c r="O244" s="48">
        <f>IFERROR(O230+O243,"")</f>
        <v>755220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2026-08-09T22:57:59Z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