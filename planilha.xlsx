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85" documentId="13_ncr:1_{0A10D8D4-8450-4366-8075-B53B08E6B7EA}" xr6:coauthVersionLast="47" xr6:coauthVersionMax="47" xr10:uidLastSave="{BD586E98-7BC1-4A87-B123-0E07E6E54BE9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" i="1" l="1"/>
  <c r="H15" i="1"/>
  <c r="J15" i="1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2" i="5" s="1"/>
  <c r="J382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2" i="4" s="1"/>
  <c r="J382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1" i="6" l="1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G406" i="3" l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<sst xmlns="http://schemas.openxmlformats.org/spreadsheetml/2006/main" count="6722" uniqueCount="349">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</sst>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9"/>
      <color rgb="FF1A1A1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1.42578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>IF(H15=0,"-",1-ABS(I15-H15)/H15)</f>
        <v>-1.7615827706107607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65" t="s">
        <v>14</v>
      </c>
      <c r="B35" s="165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1557.8</v>
      </c>
      <c r="J35" s="130">
        <f>IFERROR(AVERAGE(J4:J34),"-")</f>
        <v>-0.2768764905041351</v>
      </c>
      <c r="K35" s="157">
        <f>SUM(K4:K34)</f>
        <v>450.78</v>
      </c>
    </row>
  </sheetData>
  <sheetProtection algorithmName="SHA-512" hashValue="j1Pl3GC/mgB8KSug/PVzsUG/3zZhFLLkleuT/spMPGECAPTmpVqasoCAa4hcLAAp9u4HzfUXSQX0VxZVaxyZ2Q==" saltValue="Q29kyZ+HxPPRLduPW77GP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 x14ac:dyDescent="0.25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 x14ac:dyDescent="0.25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 x14ac:dyDescent="0.25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 x14ac:dyDescent="0.25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 x14ac:dyDescent="0.25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 x14ac:dyDescent="0.25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 x14ac:dyDescent="0.25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 x14ac:dyDescent="0.25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 x14ac:dyDescent="0.25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 x14ac:dyDescent="0.25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 x14ac:dyDescent="0.25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 x14ac:dyDescent="0.25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25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25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25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25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25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 x14ac:dyDescent="0.25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25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25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25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25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25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 x14ac:dyDescent="0.25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25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25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25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25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25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25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25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25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25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25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 x14ac:dyDescent="0.25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 x14ac:dyDescent="0.25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 x14ac:dyDescent="0.25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 x14ac:dyDescent="0.25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 x14ac:dyDescent="0.25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 x14ac:dyDescent="0.25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 x14ac:dyDescent="0.25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 x14ac:dyDescent="0.25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 x14ac:dyDescent="0.25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 x14ac:dyDescent="0.25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 x14ac:dyDescent="0.25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 x14ac:dyDescent="0.25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 x14ac:dyDescent="0.25">
      <c r="M58" s="169"/>
      <c r="N58" s="16"/>
      <c r="O58" s="16"/>
      <c r="P58" s="16" t="s">
        <v>217</v>
      </c>
      <c r="Q58" s="16"/>
      <c r="R58" s="16"/>
    </row>
    <row r="59" spans="1:18" ht="15" customHeight="1" x14ac:dyDescent="0.25">
      <c r="M59" s="169"/>
      <c r="N59" s="17"/>
      <c r="O59" s="17"/>
      <c r="P59" s="17" t="s">
        <v>218</v>
      </c>
      <c r="Q59" s="17"/>
      <c r="R59" s="17"/>
    </row>
    <row r="60" spans="1:18" ht="15" customHeight="1" x14ac:dyDescent="0.25">
      <c r="M60" s="169"/>
      <c r="N60" s="16"/>
      <c r="O60" s="16"/>
      <c r="P60" s="77" t="s">
        <v>113</v>
      </c>
      <c r="Q60" s="16"/>
      <c r="R60" s="16"/>
    </row>
    <row r="61" spans="1:18" ht="15" customHeight="1" x14ac:dyDescent="0.25">
      <c r="M61" s="169"/>
      <c r="N61" s="17"/>
      <c r="O61" s="17"/>
      <c r="P61" s="17" t="s">
        <v>219</v>
      </c>
      <c r="Q61" s="17"/>
      <c r="R61" s="17"/>
    </row>
    <row r="62" spans="1:18" ht="15" customHeight="1" x14ac:dyDescent="0.25">
      <c r="M62" s="169"/>
      <c r="N62" s="16"/>
      <c r="O62" s="16"/>
      <c r="P62" s="16" t="s">
        <v>220</v>
      </c>
      <c r="Q62" s="16"/>
      <c r="R62" s="16"/>
    </row>
    <row r="63" spans="1:18" ht="15" customHeight="1" x14ac:dyDescent="0.25">
      <c r="M63" s="169"/>
      <c r="N63" s="17"/>
      <c r="O63" s="17"/>
      <c r="P63" s="17" t="s">
        <v>221</v>
      </c>
      <c r="Q63" s="17"/>
      <c r="R63" s="17"/>
    </row>
    <row r="64" spans="1:18" ht="15" customHeight="1" x14ac:dyDescent="0.25">
      <c r="M64" s="169"/>
      <c r="N64" s="16"/>
      <c r="O64" s="16"/>
      <c r="P64" s="16" t="s">
        <v>222</v>
      </c>
      <c r="Q64" s="16"/>
      <c r="R64" s="16"/>
    </row>
    <row r="65" spans="13:18" ht="15" customHeight="1" x14ac:dyDescent="0.25">
      <c r="M65" s="169"/>
      <c r="N65" s="17"/>
      <c r="O65" s="17"/>
      <c r="P65" s="17" t="s">
        <v>223</v>
      </c>
      <c r="Q65" s="17"/>
      <c r="R65" s="17"/>
    </row>
    <row r="66" spans="13:18" ht="15" customHeight="1" x14ac:dyDescent="0.25">
      <c r="M66" s="169"/>
      <c r="N66" s="16"/>
      <c r="O66" s="16"/>
      <c r="P66" s="16" t="s">
        <v>224</v>
      </c>
      <c r="Q66" s="16"/>
      <c r="R66" s="16"/>
    </row>
    <row r="67" spans="13:18" ht="15" customHeight="1" x14ac:dyDescent="0.25">
      <c r="M67" s="169"/>
      <c r="N67" s="17"/>
      <c r="O67" s="17"/>
      <c r="P67" s="17" t="s">
        <v>225</v>
      </c>
      <c r="Q67" s="17"/>
      <c r="R67" s="17"/>
    </row>
    <row r="68" spans="13:18" ht="15" customHeight="1" x14ac:dyDescent="0.25">
      <c r="M68" s="169"/>
      <c r="N68" s="16"/>
      <c r="O68" s="16"/>
      <c r="P68" s="16" t="s">
        <v>226</v>
      </c>
      <c r="Q68" s="16"/>
      <c r="R68" s="16"/>
    </row>
    <row r="69" spans="13:18" ht="15" customHeight="1" x14ac:dyDescent="0.25">
      <c r="M69" s="169"/>
      <c r="N69" s="17"/>
      <c r="O69" s="17"/>
      <c r="P69" s="17" t="s">
        <v>227</v>
      </c>
      <c r="Q69" s="17"/>
      <c r="R69" s="17"/>
    </row>
    <row r="70" spans="13:18" ht="15" customHeight="1" x14ac:dyDescent="0.25">
      <c r="M70" s="169"/>
      <c r="N70" s="16"/>
      <c r="O70" s="16"/>
      <c r="P70" s="16" t="s">
        <v>228</v>
      </c>
      <c r="Q70" s="16"/>
      <c r="R70" s="16"/>
    </row>
    <row r="71" spans="13:18" ht="15" customHeight="1" x14ac:dyDescent="0.25">
      <c r="M71" s="169"/>
      <c r="N71" s="17"/>
      <c r="O71" s="17"/>
      <c r="P71" s="17" t="s">
        <v>229</v>
      </c>
      <c r="Q71" s="17"/>
      <c r="R71" s="17"/>
    </row>
    <row r="72" spans="13:18" ht="15" customHeight="1" x14ac:dyDescent="0.25">
      <c r="M72" s="169"/>
      <c r="N72" s="16"/>
      <c r="O72" s="16"/>
      <c r="P72" s="16" t="s">
        <v>230</v>
      </c>
      <c r="Q72" s="16"/>
      <c r="R72" s="16"/>
    </row>
    <row r="73" spans="13:18" ht="15" customHeight="1" x14ac:dyDescent="0.25">
      <c r="M73" s="169"/>
      <c r="N73" s="17"/>
      <c r="O73" s="17"/>
      <c r="P73" s="17" t="s">
        <v>231</v>
      </c>
      <c r="Q73" s="17"/>
      <c r="R73" s="17"/>
    </row>
    <row r="74" spans="13:18" ht="15" customHeight="1" x14ac:dyDescent="0.25">
      <c r="M74" s="169"/>
      <c r="N74" s="16"/>
      <c r="O74" s="16"/>
      <c r="P74" s="16" t="s">
        <v>232</v>
      </c>
      <c r="Q74" s="16"/>
      <c r="R74" s="16"/>
    </row>
    <row r="75" spans="13:18" ht="15" customHeight="1" x14ac:dyDescent="0.25">
      <c r="M75" s="169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5" activePane="bottomLeft" state="frozen"/>
      <selection pane="bottomLeft" activeCell="J389" sqref="J38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 x14ac:dyDescent="0.25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 x14ac:dyDescent="0.25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 x14ac:dyDescent="0.25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 x14ac:dyDescent="0.25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 x14ac:dyDescent="0.25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 x14ac:dyDescent="0.25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 x14ac:dyDescent="0.25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 x14ac:dyDescent="0.25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 x14ac:dyDescent="0.25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 x14ac:dyDescent="0.25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 x14ac:dyDescent="0.25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 x14ac:dyDescent="0.25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 x14ac:dyDescent="0.25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 x14ac:dyDescent="0.25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 x14ac:dyDescent="0.25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 t="s">
        <v>243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 t="s">
        <v>243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 t="s">
        <v>243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 t="s">
        <v>243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 t="s">
        <v>243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 t="s">
        <v>243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 t="s">
        <v>243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 t="s">
        <v>243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40</v>
      </c>
      <c r="G392" s="36">
        <f>SUM(G380:G391)</f>
        <v>200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 x14ac:dyDescent="0.25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40</v>
      </c>
      <c r="G406" s="40">
        <f>G392+G405</f>
        <v>200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 x14ac:dyDescent="0.25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 x14ac:dyDescent="0.25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 x14ac:dyDescent="0.25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 x14ac:dyDescent="0.25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 x14ac:dyDescent="0.25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 x14ac:dyDescent="0.25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 x14ac:dyDescent="0.25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 x14ac:dyDescent="0.25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 x14ac:dyDescent="0.25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 x14ac:dyDescent="0.25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 x14ac:dyDescent="0.25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 x14ac:dyDescent="0.25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 x14ac:dyDescent="0.25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 x14ac:dyDescent="0.25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 x14ac:dyDescent="0.25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 x14ac:dyDescent="0.25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295" activePane="bottomLeft" state="frozen"/>
      <selection pane="bottomLeft" activeCell="K325" sqref="K32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 x14ac:dyDescent="0.25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0.30175555554887978</v>
      </c>
      <c r="R53" s="46" t="s">
        <v>279</v>
      </c>
      <c r="S53" s="31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0.44064444443776868</v>
      </c>
      <c r="R54" s="36" t="s">
        <v>245</v>
      </c>
      <c r="S54" s="75">
        <v>352430</v>
      </c>
      <c r="T54" s="117"/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0.52536666665999099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3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82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 t="str">
        <f t="shared" si="90"/>
        <v/>
      </c>
      <c r="K381" s="34">
        <f t="shared" si="91"/>
        <v>50.400000000000006</v>
      </c>
      <c r="L381" s="33" t="s">
        <v>27</v>
      </c>
      <c r="M381" s="33" t="s">
        <v>47</v>
      </c>
      <c r="N381" s="33" t="s">
        <v>44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82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197.40000000000003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245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47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197.40000000000003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 x14ac:dyDescent="0.25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 x14ac:dyDescent="0.25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6" activePane="bottomLeft" state="frozen"/>
      <selection pane="bottomLeft" activeCell="G382" sqref="G38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 x14ac:dyDescent="0.25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82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82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28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245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 x14ac:dyDescent="0.2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7" activePane="bottomLeft" state="frozen"/>
      <selection pane="bottomLeft" activeCell="A365" sqref="A365:E36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 x14ac:dyDescent="0.25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 x14ac:dyDescent="0.25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 x14ac:dyDescent="0.25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 x14ac:dyDescent="0.25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 x14ac:dyDescent="0.25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 x14ac:dyDescent="0.25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 x14ac:dyDescent="0.25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 x14ac:dyDescent="0.25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 x14ac:dyDescent="0.25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 x14ac:dyDescent="0.25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 x14ac:dyDescent="0.25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 x14ac:dyDescent="0.25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 x14ac:dyDescent="0.25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53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122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122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53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53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53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53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53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53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53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53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53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53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193.20000000000002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245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 x14ac:dyDescent="0.25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46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193.20000000000002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 x14ac:dyDescent="0.25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 x14ac:dyDescent="0.25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 x14ac:dyDescent="0.25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 x14ac:dyDescent="0.25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 x14ac:dyDescent="0.25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 x14ac:dyDescent="0.25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 x14ac:dyDescent="0.25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 x14ac:dyDescent="0.25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 x14ac:dyDescent="0.25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 x14ac:dyDescent="0.25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 x14ac:dyDescent="0.25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 x14ac:dyDescent="0.25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 x14ac:dyDescent="0.25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 x14ac:dyDescent="0.25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 x14ac:dyDescent="0.25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 x14ac:dyDescent="0.25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2026-08-15T14:11:32Z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