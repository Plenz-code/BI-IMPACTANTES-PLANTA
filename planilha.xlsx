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456" documentId="8_{AF585B22-221D-4780-BB9C-493D365A6A02}" xr6:coauthVersionLast="47" xr6:coauthVersionMax="47" xr10:uidLastSave="{70D8D056-04F6-40F8-B1A7-93847B8E0ABB}"/>
  <bookViews>
    <workbookView xWindow="-108" yWindow="-108" windowWidth="23256" windowHeight="12456" tabRatio="500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E10" i="1" s="1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E190" i="6" l="1"/>
  <c r="G176" i="5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G190" i="6" s="1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190" i="5" l="1"/>
  <c r="G541" i="6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<sst xmlns="http://schemas.openxmlformats.org/spreadsheetml/2006/main" count="3432" uniqueCount="261">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</sst>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546875" defaultRowHeight="14.4" x14ac:dyDescent="0.3"/>
  <cols>
    <col min="2" max="2" width="17.44140625" style="71" customWidth="1"/>
    <col min="3" max="3" width="21.44140625" customWidth="1"/>
    <col min="4" max="6" width="16" hidden="1" customWidth="1"/>
    <col min="7" max="7" width="34" customWidth="1"/>
  </cols>
  <sheetData>
    <row r="1" spans="1:7" ht="31.5" customHeight="1" x14ac:dyDescent="0.3">
      <c r="A1" s="93" t="s">
        <v>0</v>
      </c>
      <c r="B1" s="93"/>
      <c r="C1" s="93"/>
      <c r="D1" s="93"/>
      <c r="E1" s="93"/>
      <c r="F1" s="93"/>
      <c r="G1" s="93"/>
    </row>
    <row r="2" spans="1:7" ht="24.75" customHeight="1" x14ac:dyDescent="0.3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3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3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3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3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3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 x14ac:dyDescent="0.3">
      <c r="A10" s="7">
        <v>7</v>
      </c>
      <c r="B10" s="73">
        <v>46210</v>
      </c>
      <c r="C10" s="8">
        <f>IFERROR(Britador!O190,"")</f>
        <v>1946430</v>
      </c>
      <c r="D10" s="8">
        <f>IFERROR('Linha 1'!O190,"")</f>
        <v>0</v>
      </c>
      <c r="E10" s="8">
        <f>IFERROR('Linha 2'!O190,"")</f>
        <v>190950</v>
      </c>
      <c r="F10" s="8">
        <f>IFERROR('Linha 3'!O190,"")</f>
        <v>500370</v>
      </c>
      <c r="G10" s="9">
        <f t="shared" si="0"/>
        <v>691320</v>
      </c>
    </row>
    <row r="11" spans="1:7" ht="15.75" customHeight="1" x14ac:dyDescent="0.3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 x14ac:dyDescent="0.3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 x14ac:dyDescent="0.3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3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3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3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3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3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 x14ac:dyDescent="0.3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3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3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">
      <c r="A35" s="95" t="s">
        <v>9</v>
      </c>
      <c r="B35" s="95"/>
      <c r="C35" s="13">
        <f>IFERROR(SUM(C4:C34),"")</f>
        <v>17077500</v>
      </c>
      <c r="D35" s="13">
        <f>IFERROR(SUM(D4:D34),"")</f>
        <v>7238930</v>
      </c>
      <c r="E35" s="13">
        <f>IFERROR(SUM(E4:E34),"")</f>
        <v>3891340</v>
      </c>
      <c r="F35" s="13">
        <f>IFERROR(SUM(F4:F34),"")</f>
        <v>7231960</v>
      </c>
      <c r="G35" s="13">
        <f>IFERROR(SUM(G4:G34),"")</f>
        <v>18362230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441406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 x14ac:dyDescent="0.3">
      <c r="H2" s="97"/>
    </row>
    <row r="3" spans="1:13" ht="21.75" customHeight="1" x14ac:dyDescent="0.3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 x14ac:dyDescent="0.3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 x14ac:dyDescent="0.3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3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 x14ac:dyDescent="0.3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 x14ac:dyDescent="0.3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 x14ac:dyDescent="0.3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 x14ac:dyDescent="0.3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 x14ac:dyDescent="0.3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 x14ac:dyDescent="0.3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 x14ac:dyDescent="0.3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 x14ac:dyDescent="0.3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 x14ac:dyDescent="0.3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 x14ac:dyDescent="0.3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 x14ac:dyDescent="0.3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 x14ac:dyDescent="0.3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 x14ac:dyDescent="0.3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 x14ac:dyDescent="0.3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 x14ac:dyDescent="0.3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 x14ac:dyDescent="0.3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 x14ac:dyDescent="0.3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 x14ac:dyDescent="0.3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 x14ac:dyDescent="0.3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 x14ac:dyDescent="0.3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 x14ac:dyDescent="0.3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 x14ac:dyDescent="0.3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 x14ac:dyDescent="0.3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 x14ac:dyDescent="0.3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 x14ac:dyDescent="0.3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 x14ac:dyDescent="0.3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 x14ac:dyDescent="0.3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 x14ac:dyDescent="0.3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 x14ac:dyDescent="0.3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 x14ac:dyDescent="0.3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 x14ac:dyDescent="0.3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 x14ac:dyDescent="0.3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 x14ac:dyDescent="0.3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 x14ac:dyDescent="0.3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 x14ac:dyDescent="0.3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 x14ac:dyDescent="0.3">
      <c r="H52" s="97"/>
      <c r="I52" s="16"/>
      <c r="J52" s="16"/>
      <c r="K52" s="16" t="s">
        <v>188</v>
      </c>
      <c r="L52" s="16"/>
      <c r="M52" s="16"/>
    </row>
    <row r="53" spans="1:13" ht="36" customHeight="1" x14ac:dyDescent="0.3">
      <c r="H53" s="97"/>
      <c r="I53" s="17"/>
      <c r="J53" s="17"/>
      <c r="K53" s="17" t="s">
        <v>189</v>
      </c>
      <c r="L53" s="17"/>
      <c r="M53" s="17"/>
    </row>
    <row r="54" spans="1:13" ht="15" customHeight="1" x14ac:dyDescent="0.3">
      <c r="H54" s="97"/>
      <c r="I54" s="16"/>
      <c r="J54" s="16"/>
      <c r="K54" s="16" t="s">
        <v>190</v>
      </c>
      <c r="L54" s="16"/>
      <c r="M54" s="16"/>
    </row>
    <row r="55" spans="1:13" ht="15" customHeight="1" x14ac:dyDescent="0.3">
      <c r="H55" s="97"/>
      <c r="I55" s="17"/>
      <c r="J55" s="17"/>
      <c r="K55" s="17" t="s">
        <v>191</v>
      </c>
      <c r="L55" s="17"/>
      <c r="M55" s="17"/>
    </row>
    <row r="56" spans="1:13" ht="15" customHeight="1" x14ac:dyDescent="0.3">
      <c r="H56" s="97"/>
      <c r="I56" s="16"/>
      <c r="J56" s="16"/>
      <c r="K56" s="16" t="s">
        <v>192</v>
      </c>
      <c r="L56" s="16"/>
      <c r="M56" s="16"/>
    </row>
    <row r="57" spans="1:13" ht="15" customHeight="1" x14ac:dyDescent="0.3">
      <c r="H57" s="97"/>
      <c r="I57" s="17"/>
      <c r="J57" s="17"/>
      <c r="K57" s="17" t="s">
        <v>50</v>
      </c>
      <c r="L57" s="17"/>
      <c r="M57" s="17"/>
    </row>
    <row r="58" spans="1:13" ht="15" customHeight="1" x14ac:dyDescent="0.3">
      <c r="H58" s="97"/>
      <c r="I58" s="16"/>
      <c r="J58" s="16"/>
      <c r="K58" s="16" t="s">
        <v>193</v>
      </c>
      <c r="L58" s="16"/>
      <c r="M58" s="16"/>
    </row>
    <row r="59" spans="1:13" ht="15" customHeight="1" x14ac:dyDescent="0.3">
      <c r="H59" s="97"/>
      <c r="I59" s="17"/>
      <c r="J59" s="17"/>
      <c r="K59" s="17" t="s">
        <v>194</v>
      </c>
      <c r="L59" s="17"/>
      <c r="M59" s="17"/>
    </row>
    <row r="60" spans="1:13" ht="15" customHeight="1" x14ac:dyDescent="0.3">
      <c r="H60" s="97"/>
      <c r="I60" s="16"/>
      <c r="J60" s="16"/>
      <c r="K60" s="16"/>
      <c r="L60" s="16"/>
      <c r="M60" s="16"/>
    </row>
    <row r="61" spans="1:13" ht="15" customHeight="1" x14ac:dyDescent="0.3">
      <c r="H61" s="97"/>
      <c r="I61" s="17"/>
      <c r="J61" s="17"/>
      <c r="K61" s="17"/>
      <c r="L61" s="17"/>
      <c r="M61" s="17"/>
    </row>
    <row r="62" spans="1:13" ht="15" customHeight="1" x14ac:dyDescent="0.3">
      <c r="H62" s="97"/>
      <c r="I62" s="16"/>
      <c r="J62" s="16"/>
      <c r="K62" s="16"/>
      <c r="L62" s="16"/>
      <c r="M62" s="16"/>
    </row>
    <row r="63" spans="1:13" ht="15" customHeight="1" x14ac:dyDescent="0.3">
      <c r="H63" s="97"/>
      <c r="I63" s="17"/>
      <c r="J63" s="17"/>
      <c r="K63" s="17"/>
      <c r="L63" s="17"/>
      <c r="M63" s="17"/>
    </row>
    <row r="64" spans="1:13" ht="15" customHeight="1" x14ac:dyDescent="0.3">
      <c r="H64" s="97"/>
      <c r="I64" s="16"/>
      <c r="J64" s="16"/>
      <c r="K64" s="16"/>
      <c r="L64" s="16"/>
      <c r="M64" s="16"/>
    </row>
    <row r="65" spans="8:13" ht="15" customHeight="1" x14ac:dyDescent="0.3">
      <c r="H65" s="97"/>
      <c r="I65" s="17"/>
      <c r="J65" s="17"/>
      <c r="K65" s="17"/>
      <c r="L65" s="17"/>
      <c r="M65" s="17"/>
    </row>
    <row r="66" spans="8:13" ht="15" customHeight="1" x14ac:dyDescent="0.3">
      <c r="H66" s="97"/>
      <c r="I66" s="16"/>
      <c r="J66" s="16"/>
      <c r="K66" s="16"/>
      <c r="L66" s="16"/>
      <c r="M66" s="16"/>
    </row>
    <row r="67" spans="8:13" ht="15" customHeight="1" x14ac:dyDescent="0.3">
      <c r="H67" s="97"/>
      <c r="I67" s="17"/>
      <c r="J67" s="17"/>
      <c r="K67" s="17"/>
      <c r="L67" s="17"/>
      <c r="M67" s="17"/>
    </row>
    <row r="68" spans="8:13" ht="15" customHeight="1" x14ac:dyDescent="0.3">
      <c r="H68" s="97"/>
      <c r="I68" s="16"/>
      <c r="J68" s="16"/>
      <c r="K68" s="16"/>
      <c r="L68" s="16"/>
      <c r="M68" s="16"/>
    </row>
    <row r="69" spans="8:13" ht="15" customHeight="1" x14ac:dyDescent="0.3">
      <c r="H69" s="97"/>
      <c r="I69" s="17"/>
      <c r="J69" s="17"/>
      <c r="K69" s="17"/>
      <c r="L69" s="17"/>
      <c r="M69" s="17"/>
    </row>
    <row r="70" spans="8:13" ht="15" customHeight="1" x14ac:dyDescent="0.3">
      <c r="H70" s="97"/>
      <c r="I70" s="16"/>
      <c r="J70" s="16"/>
      <c r="K70" s="16"/>
      <c r="L70" s="16"/>
      <c r="M70" s="16"/>
    </row>
    <row r="71" spans="8:13" ht="15" customHeight="1" x14ac:dyDescent="0.3">
      <c r="H71" s="97"/>
      <c r="I71" s="17"/>
      <c r="J71" s="17"/>
      <c r="K71" s="17"/>
      <c r="L71" s="17"/>
      <c r="M71" s="17"/>
    </row>
    <row r="72" spans="8:13" ht="15" customHeight="1" x14ac:dyDescent="0.3">
      <c r="H72" s="97"/>
      <c r="I72" s="16"/>
      <c r="J72" s="16"/>
      <c r="K72" s="16"/>
      <c r="L72" s="16"/>
      <c r="M72" s="16"/>
    </row>
    <row r="73" spans="8:13" ht="15" customHeight="1" x14ac:dyDescent="0.3">
      <c r="H73" s="97"/>
      <c r="I73" s="17"/>
      <c r="J73" s="17"/>
      <c r="K73" s="17"/>
      <c r="L73" s="17"/>
      <c r="M73" s="17"/>
    </row>
    <row r="74" spans="8:13" ht="15" customHeight="1" x14ac:dyDescent="0.3">
      <c r="H74" s="97"/>
      <c r="I74" s="16"/>
      <c r="J74" s="16"/>
      <c r="K74" s="16"/>
      <c r="L74" s="16"/>
      <c r="M74" s="16"/>
    </row>
    <row r="75" spans="8:13" ht="15" customHeight="1" x14ac:dyDescent="0.3">
      <c r="H75" s="97"/>
      <c r="I75" s="17"/>
      <c r="J75" s="17"/>
      <c r="K75" s="17"/>
      <c r="L75" s="17"/>
      <c r="M75" s="17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52" activePane="bottomLeft" state="frozen"/>
      <selection pane="bottomLeft" activeCell="O177" sqref="O177"/>
    </sheetView>
  </sheetViews>
  <sheetFormatPr defaultColWidth="8.5546875" defaultRowHeight="14.4" x14ac:dyDescent="0.3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50.44140625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 x14ac:dyDescent="0.3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3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 x14ac:dyDescent="0.3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 x14ac:dyDescent="0.3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 x14ac:dyDescent="0.3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 x14ac:dyDescent="0.3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 x14ac:dyDescent="0.3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 x14ac:dyDescent="0.3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81" t="s">
        <v>21</v>
      </c>
      <c r="D178" s="99" t="s">
        <v>22</v>
      </c>
      <c r="E178" s="99" t="s">
        <v>206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81" t="s">
        <v>21</v>
      </c>
      <c r="D180" s="99" t="s">
        <v>22</v>
      </c>
      <c r="E180" s="99" t="s">
        <v>206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81" t="s">
        <v>21</v>
      </c>
      <c r="D182" s="99" t="s">
        <v>22</v>
      </c>
      <c r="E182" s="99" t="s">
        <v>206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81" t="s">
        <v>21</v>
      </c>
      <c r="D184" s="99" t="s">
        <v>22</v>
      </c>
      <c r="E184" s="99" t="s">
        <v>206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81" t="s">
        <v>21</v>
      </c>
      <c r="D186" s="99" t="s">
        <v>22</v>
      </c>
      <c r="E186" s="99" t="s">
        <v>206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206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81" t="s">
        <v>21</v>
      </c>
      <c r="D188" s="99" t="s">
        <v>22</v>
      </c>
      <c r="E188" s="99" t="s">
        <v>206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 x14ac:dyDescent="0.3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345</v>
      </c>
      <c r="G190" s="40">
        <f>G176+G189</f>
        <v>1725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1946430</v>
      </c>
    </row>
    <row r="191" spans="1:15" ht="15" customHeight="1" x14ac:dyDescent="0.3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 x14ac:dyDescent="0.3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 x14ac:dyDescent="0.3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 x14ac:dyDescent="0.3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 x14ac:dyDescent="0.3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 x14ac:dyDescent="0.3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 x14ac:dyDescent="0.3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 x14ac:dyDescent="0.3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 x14ac:dyDescent="0.3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 x14ac:dyDescent="0.3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 x14ac:dyDescent="0.3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 x14ac:dyDescent="0.3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 x14ac:dyDescent="0.3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 x14ac:dyDescent="0.3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 x14ac:dyDescent="0.3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 x14ac:dyDescent="0.3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 x14ac:dyDescent="0.3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 x14ac:dyDescent="0.3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 x14ac:dyDescent="0.3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 x14ac:dyDescent="0.3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 x14ac:dyDescent="0.3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 x14ac:dyDescent="0.3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 x14ac:dyDescent="0.3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 x14ac:dyDescent="0.3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 x14ac:dyDescent="0.3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 x14ac:dyDescent="0.3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 x14ac:dyDescent="0.3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 x14ac:dyDescent="0.3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F176" sqref="F176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.109375" style="20" customWidth="1"/>
    <col min="6" max="6" width="13" style="20" customWidth="1"/>
    <col min="7" max="7" width="14" style="20" customWidth="1"/>
    <col min="8" max="8" width="29.44140625" style="20" customWidth="1"/>
    <col min="9" max="9" width="25" style="20" customWidth="1"/>
    <col min="10" max="10" width="48.5546875" style="20" customWidth="1"/>
    <col min="11" max="11" width="15.44140625" style="20" customWidth="1"/>
    <col min="12" max="12" width="12" style="21" customWidth="1"/>
    <col min="13" max="13" width="15.5546875" style="20" customWidth="1"/>
    <col min="14" max="14" width="75.109375" style="20" customWidth="1"/>
    <col min="15" max="15" width="20" customWidth="1"/>
  </cols>
  <sheetData>
    <row r="1" spans="1:15" ht="37.5" customHeight="1" x14ac:dyDescent="0.3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 x14ac:dyDescent="0.3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3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3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 x14ac:dyDescent="0.3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3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3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3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3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3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3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3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3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3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 x14ac:dyDescent="0.3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4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4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 x14ac:dyDescent="0.3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4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4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 x14ac:dyDescent="0.3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4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4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 x14ac:dyDescent="0.3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4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4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 x14ac:dyDescent="0.3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 t="s">
        <v>18</v>
      </c>
      <c r="I177" s="33"/>
      <c r="J177" s="33" t="s">
        <v>194</v>
      </c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81" t="s">
        <v>21</v>
      </c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81" t="s">
        <v>21</v>
      </c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81" t="s">
        <v>21</v>
      </c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81" t="s">
        <v>21</v>
      </c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81" t="s">
        <v>21</v>
      </c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81" t="s">
        <v>21</v>
      </c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78"/>
    </row>
    <row r="190" spans="1:15" ht="18" customHeight="1" x14ac:dyDescent="0.3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0.49999999999999994</v>
      </c>
      <c r="N190" s="40" t="s">
        <v>212</v>
      </c>
      <c r="O190" s="8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 x14ac:dyDescent="0.3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 x14ac:dyDescent="0.3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 x14ac:dyDescent="0.3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 x14ac:dyDescent="0.3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 x14ac:dyDescent="0.3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 x14ac:dyDescent="0.3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 x14ac:dyDescent="0.3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 x14ac:dyDescent="0.3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 x14ac:dyDescent="0.3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 x14ac:dyDescent="0.3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 x14ac:dyDescent="0.3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 x14ac:dyDescent="0.3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 x14ac:dyDescent="0.3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 x14ac:dyDescent="0.3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 x14ac:dyDescent="0.3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 x14ac:dyDescent="0.3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 x14ac:dyDescent="0.3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 x14ac:dyDescent="0.3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 x14ac:dyDescent="0.3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 x14ac:dyDescent="0.3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 x14ac:dyDescent="0.3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 x14ac:dyDescent="0.3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 x14ac:dyDescent="0.3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 x14ac:dyDescent="0.3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 x14ac:dyDescent="0.3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 x14ac:dyDescent="0.3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 x14ac:dyDescent="0.3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F174" sqref="F174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546875" style="20" customWidth="1"/>
    <col min="9" max="9" width="30.44140625" style="20" customWidth="1"/>
    <col min="10" max="10" width="46.44140625" style="20" customWidth="1"/>
    <col min="11" max="11" width="12" style="20" customWidth="1"/>
    <col min="12" max="12" width="16.44140625" style="21" customWidth="1"/>
    <col min="13" max="13" width="14" style="20" customWidth="1"/>
    <col min="14" max="14" width="88.88671875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3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3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3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3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3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 x14ac:dyDescent="0.3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 x14ac:dyDescent="0.3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 x14ac:dyDescent="0.3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 x14ac:dyDescent="0.3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 x14ac:dyDescent="0.3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 x14ac:dyDescent="0.3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81" t="s">
        <v>21</v>
      </c>
      <c r="D178" s="99" t="s">
        <v>22</v>
      </c>
      <c r="E178" s="99" t="s">
        <v>217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81" t="s">
        <v>21</v>
      </c>
      <c r="D180" s="99" t="s">
        <v>22</v>
      </c>
      <c r="E180" s="99" t="s">
        <v>217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81" t="s">
        <v>21</v>
      </c>
      <c r="D182" s="99" t="s">
        <v>22</v>
      </c>
      <c r="E182" s="99" t="s">
        <v>217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81" t="s">
        <v>21</v>
      </c>
      <c r="D184" s="99" t="s">
        <v>22</v>
      </c>
      <c r="E184" s="99" t="s">
        <v>217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81" t="s">
        <v>21</v>
      </c>
      <c r="D186" s="99" t="s">
        <v>22</v>
      </c>
      <c r="E186" s="99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81" t="s">
        <v>21</v>
      </c>
      <c r="D188" s="99" t="s">
        <v>22</v>
      </c>
      <c r="E188" s="99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 x14ac:dyDescent="0.3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84</v>
      </c>
      <c r="G190" s="40">
        <f>G176+G189</f>
        <v>355.2</v>
      </c>
      <c r="H190" s="41"/>
      <c r="I190" s="41"/>
      <c r="J190" s="41"/>
      <c r="K190" s="41"/>
      <c r="L190" s="41"/>
      <c r="M190" s="42">
        <f ca="1">IFERROR(M176+M189,"")</f>
        <v>3.2638888888888939E-2</v>
      </c>
      <c r="N190" s="40" t="s">
        <v>212</v>
      </c>
      <c r="O190" s="43">
        <f>IFERROR(O176+O189,"")</f>
        <v>190950</v>
      </c>
    </row>
    <row r="191" spans="1:15" ht="15" customHeight="1" x14ac:dyDescent="0.3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 x14ac:dyDescent="0.3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 x14ac:dyDescent="0.3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 x14ac:dyDescent="0.3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 x14ac:dyDescent="0.3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 x14ac:dyDescent="0.3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 x14ac:dyDescent="0.3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 x14ac:dyDescent="0.3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 x14ac:dyDescent="0.3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 x14ac:dyDescent="0.3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 x14ac:dyDescent="0.3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 x14ac:dyDescent="0.3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 x14ac:dyDescent="0.3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 x14ac:dyDescent="0.3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 x14ac:dyDescent="0.3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 x14ac:dyDescent="0.3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 x14ac:dyDescent="0.3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 x14ac:dyDescent="0.3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 x14ac:dyDescent="0.3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 x14ac:dyDescent="0.3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 x14ac:dyDescent="0.3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 x14ac:dyDescent="0.3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 x14ac:dyDescent="0.3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 x14ac:dyDescent="0.3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 x14ac:dyDescent="0.3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 x14ac:dyDescent="0.3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 x14ac:dyDescent="0.3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 x14ac:dyDescent="0.3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 x14ac:dyDescent="0.3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4" activePane="bottomLeft" state="frozen"/>
      <selection pane="bottomLeft" activeCell="I165" sqref="I165"/>
    </sheetView>
  </sheetViews>
  <sheetFormatPr defaultColWidth="8.5546875" defaultRowHeight="14.4" x14ac:dyDescent="0.3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09375" style="57" customWidth="1"/>
    <col min="10" max="10" width="52.109375" style="57" customWidth="1"/>
    <col min="11" max="11" width="18.44140625" style="57" customWidth="1"/>
    <col min="12" max="12" width="14" style="58" customWidth="1"/>
    <col min="13" max="13" width="14" style="57" customWidth="1"/>
    <col min="14" max="14" width="43.5546875" style="57" customWidth="1"/>
    <col min="15" max="15" width="14" customWidth="1"/>
  </cols>
  <sheetData>
    <row r="1" spans="1:15" ht="37.5" customHeight="1" x14ac:dyDescent="0.3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 x14ac:dyDescent="0.3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3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 x14ac:dyDescent="0.3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 x14ac:dyDescent="0.3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 x14ac:dyDescent="0.3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0.54893819444987457</v>
      </c>
      <c r="N128" s="27"/>
      <c r="O128" s="60"/>
    </row>
    <row r="129" spans="1:18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3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0.7482437500054302</v>
      </c>
      <c r="N135" s="36" t="s">
        <v>209</v>
      </c>
      <c r="O135" s="39">
        <v>729290</v>
      </c>
    </row>
    <row r="136" spans="1:18" ht="18" customHeight="1" x14ac:dyDescent="0.3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1.1156048611165412</v>
      </c>
      <c r="N136" s="40" t="s">
        <v>212</v>
      </c>
      <c r="O136" s="48">
        <f>IFERROR(O122+O135,"")</f>
        <v>1003740</v>
      </c>
    </row>
    <row r="137" spans="1:18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 x14ac:dyDescent="0.3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81" t="s">
        <v>21</v>
      </c>
      <c r="D178" s="99" t="s">
        <v>22</v>
      </c>
      <c r="E178" s="99" t="s">
        <v>217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81" t="s">
        <v>21</v>
      </c>
      <c r="D180" s="99" t="s">
        <v>22</v>
      </c>
      <c r="E180" s="99" t="s">
        <v>217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81" t="s">
        <v>21</v>
      </c>
      <c r="D182" s="99" t="s">
        <v>22</v>
      </c>
      <c r="E182" s="99" t="s">
        <v>217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81" t="s">
        <v>21</v>
      </c>
      <c r="D184" s="99" t="s">
        <v>22</v>
      </c>
      <c r="E184" s="99" t="s">
        <v>217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81" t="s">
        <v>21</v>
      </c>
      <c r="D186" s="99" t="s">
        <v>22</v>
      </c>
      <c r="E186" s="99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81" t="s">
        <v>21</v>
      </c>
      <c r="D188" s="99" t="s">
        <v>22</v>
      </c>
      <c r="E188" s="99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209</v>
      </c>
      <c r="O189" s="39"/>
    </row>
    <row r="190" spans="1:15" ht="18" customHeight="1" x14ac:dyDescent="0.3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169</v>
      </c>
      <c r="G190" s="40">
        <f>G176+G189</f>
        <v>720.2</v>
      </c>
      <c r="H190" s="41"/>
      <c r="I190" s="41"/>
      <c r="J190" s="41"/>
      <c r="K190" s="63"/>
      <c r="L190" s="63"/>
      <c r="M190" s="42">
        <f ca="1">IFERROR(M176+M189,"")</f>
        <v>6.3194444444444442E-2</v>
      </c>
      <c r="N190" s="40" t="s">
        <v>212</v>
      </c>
      <c r="O190" s="43">
        <f>IFERROR(O176+O189,"")</f>
        <v>500370</v>
      </c>
    </row>
    <row r="191" spans="1:15" ht="15" customHeight="1" x14ac:dyDescent="0.3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 x14ac:dyDescent="0.3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 x14ac:dyDescent="0.3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 x14ac:dyDescent="0.3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3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3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3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 x14ac:dyDescent="0.3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 x14ac:dyDescent="0.3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 x14ac:dyDescent="0.3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 x14ac:dyDescent="0.3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 x14ac:dyDescent="0.3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3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3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3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 x14ac:dyDescent="0.3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 x14ac:dyDescent="0.3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 x14ac:dyDescent="0.3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 x14ac:dyDescent="0.3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 x14ac:dyDescent="0.3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3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3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 x14ac:dyDescent="0.3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 x14ac:dyDescent="0.3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3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3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3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 x14ac:dyDescent="0.3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 x14ac:dyDescent="0.3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 x14ac:dyDescent="0.3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 x14ac:dyDescent="0.3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 x14ac:dyDescent="0.3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3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 x14ac:dyDescent="0.3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 x14ac:dyDescent="0.3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 x14ac:dyDescent="0.3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 x14ac:dyDescent="0.3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 x14ac:dyDescent="0.3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 x14ac:dyDescent="0.3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 x14ac:dyDescent="0.3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3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 x14ac:dyDescent="0.3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 x14ac:dyDescent="0.3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 x14ac:dyDescent="0.3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 x14ac:dyDescent="0.3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 x14ac:dyDescent="0.3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 x14ac:dyDescent="0.3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 x14ac:dyDescent="0.3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 x14ac:dyDescent="0.3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 x14ac:dyDescent="0.3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 x14ac:dyDescent="0.3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2026-07-07T23:11:30Z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