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826" documentId="8_{AF585B22-221D-4780-BB9C-493D365A6A02}" xr6:coauthVersionLast="47" xr6:coauthVersionMax="47" xr10:uidLastSave="{0E96396E-7AB3-4A96-95FA-E3F72D384153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<sst xmlns="http://schemas.openxmlformats.org/spreadsheetml/2006/main" count="6103" uniqueCount="315">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</sst>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6" activePane="bottomLeft" state="frozen"/>
      <selection pane="bottomLeft" activeCell="F369" sqref="F36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47</v>
      </c>
      <c r="G378" s="36">
        <f>SUM(G366:G377)</f>
        <v>235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322</v>
      </c>
      <c r="G379" s="40">
        <f>G365+G378</f>
        <v>1610</v>
      </c>
      <c r="H379" s="41"/>
      <c r="I379" s="41"/>
      <c r="J379" s="41"/>
      <c r="K379" s="41"/>
      <c r="L379" s="41"/>
      <c r="M379" s="42">
        <f ca="1">IFERROR(M365+M378,"")</f>
        <v>9.0972222222222121E-2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64" activePane="bottomLeft" state="frozen"/>
      <selection pane="bottomLeft" activeCell="K370" sqref="K37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/>
      <c r="G368" s="28" t="str">
        <f t="shared" si="81"/>
        <v/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/>
      <c r="G369" s="34" t="str">
        <f t="shared" si="81"/>
        <v/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/>
      <c r="M369" s="35">
        <f t="shared" ca="1" si="82"/>
        <v>2.8947916653123684E-3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33</v>
      </c>
      <c r="G378" s="36">
        <f>SUM(G366:G377)</f>
        <v>138.60000000000002</v>
      </c>
      <c r="H378" s="37"/>
      <c r="I378" s="37"/>
      <c r="J378" s="37"/>
      <c r="K378" s="37"/>
      <c r="L378" s="37"/>
      <c r="M378" s="38">
        <f ca="1">IFERROR(SUM(M366:M377),"")</f>
        <v>4.5950347220867882E-2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191</v>
      </c>
      <c r="G379" s="40">
        <f>G365+G378</f>
        <v>802.2</v>
      </c>
      <c r="H379" s="41"/>
      <c r="I379" s="41"/>
      <c r="J379" s="41"/>
      <c r="K379" s="41"/>
      <c r="L379" s="41"/>
      <c r="M379" s="42">
        <f ca="1">IFERROR(M365+M378,"")</f>
        <v>0.15567256944309005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58" zoomScale="50" zoomScaleNormal="50" workbookViewId="0">
      <selection activeCell="F369" sqref="F36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31</v>
      </c>
      <c r="G378" s="36">
        <f>SUM(G366:G377)</f>
        <v>130.20000000000002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40</v>
      </c>
      <c r="G379" s="40">
        <f>G365+G378</f>
        <v>168.00000000000003</v>
      </c>
      <c r="H379" s="41"/>
      <c r="I379" s="41"/>
      <c r="J379" s="41"/>
      <c r="K379" s="41"/>
      <c r="L379" s="41"/>
      <c r="M379" s="42">
        <f ca="1">IFERROR(M365+M378,"")</f>
        <v>0.43124999999999997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46" activePane="bottomLeft" state="frozen"/>
      <selection pane="bottomLeft" activeCell="F369" sqref="F36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0.6688670138901216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0.86817256944567722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1.2355336805567882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46</v>
      </c>
      <c r="E369" s="59" t="s">
        <v>236</v>
      </c>
      <c r="F369" s="27"/>
      <c r="G369" s="34" t="str">
        <f t="shared" si="81"/>
        <v/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46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46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46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46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46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46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46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46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50</v>
      </c>
      <c r="G378" s="36">
        <f>SUM(G366:G377)</f>
        <v>210</v>
      </c>
      <c r="H378" s="37"/>
      <c r="I378" s="37"/>
      <c r="J378" s="37"/>
      <c r="K378" s="61"/>
      <c r="L378" s="61"/>
      <c r="M378" s="38">
        <f ca="1">IFERROR(SUM(M366:M377),"")</f>
        <v>2.0833333333333259E-2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175</v>
      </c>
      <c r="G379" s="40">
        <f>G365+G378</f>
        <v>735</v>
      </c>
      <c r="H379" s="41"/>
      <c r="I379" s="41"/>
      <c r="J379" s="41"/>
      <c r="K379" s="63"/>
      <c r="L379" s="63"/>
      <c r="M379" s="42">
        <f ca="1">IFERROR(M365+M378,"")</f>
        <v>0.12569444444444444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2026-07-15T02:02:28Z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