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84" documentId="8_{AF585B22-221D-4780-BB9C-493D365A6A02}" xr6:coauthVersionLast="47" xr6:coauthVersionMax="47" xr10:uidLastSave="{31ED0886-5B0C-4A56-B8D3-CEF9B280807A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<sst xmlns="http://schemas.openxmlformats.org/spreadsheetml/2006/main" count="5532" uniqueCount="308">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</sst>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04" activePane="bottomLeft" state="frozen"/>
      <selection pane="bottomLeft" activeCell="F334" sqref="F33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257</v>
      </c>
      <c r="G338" s="36">
        <f>SUM(G326:G337)</f>
        <v>1285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257</v>
      </c>
      <c r="G352" s="40">
        <f>G338+G351</f>
        <v>1285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295" activePane="bottomLeft" state="frozen"/>
      <selection pane="bottomLeft" activeCell="L329" sqref="L3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20</v>
      </c>
      <c r="G329" s="34">
        <f t="shared" si="72"/>
        <v>84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131</v>
      </c>
      <c r="G338" s="36">
        <f>SUM(G326:G337)</f>
        <v>559.80000000000007</v>
      </c>
      <c r="H338" s="37"/>
      <c r="I338" s="37"/>
      <c r="J338" s="37"/>
      <c r="K338" s="37"/>
      <c r="L338" s="37"/>
      <c r="M338" s="38">
        <f ca="1">IFERROR(SUM(M326:M337),"")</f>
        <v>4.5138888888888895E-2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131</v>
      </c>
      <c r="G352" s="40">
        <f>G338+G351</f>
        <v>559.80000000000007</v>
      </c>
      <c r="H352" s="41"/>
      <c r="I352" s="41"/>
      <c r="J352" s="41"/>
      <c r="K352" s="41"/>
      <c r="L352" s="41"/>
      <c r="M352" s="42">
        <f ca="1">IFERROR(M338+M351,"")</f>
        <v>4.5138888888888895E-2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L331" sqref="L3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271</v>
      </c>
      <c r="N166" s="27" t="s">
        <v>272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234</v>
      </c>
      <c r="F331" s="27">
        <v>0</v>
      </c>
      <c r="G331" s="34">
        <f t="shared" si="72"/>
        <v>0</v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234</v>
      </c>
      <c r="F332" s="27">
        <v>0</v>
      </c>
      <c r="G332" s="28">
        <f t="shared" si="72"/>
        <v>0</v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15</v>
      </c>
      <c r="G338" s="36">
        <f>SUM(G326:G337)</f>
        <v>63.000000000000007</v>
      </c>
      <c r="H338" s="37"/>
      <c r="I338" s="37"/>
      <c r="J338" s="37"/>
      <c r="K338" s="37"/>
      <c r="L338" s="37"/>
      <c r="M338" s="38">
        <f ca="1">IFERROR(SUM(M326:M337),"")</f>
        <v>0.21180555555555564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15</v>
      </c>
      <c r="G352" s="40">
        <f>G338+G351</f>
        <v>63.000000000000007</v>
      </c>
      <c r="H352" s="41"/>
      <c r="I352" s="41"/>
      <c r="J352" s="41"/>
      <c r="K352" s="41"/>
      <c r="L352" s="41"/>
      <c r="M352" s="42">
        <f ca="1">IFERROR(M338+M351,"")</f>
        <v>0.21180555555555564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L328" sqref="L32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286</v>
      </c>
      <c r="L58" s="29">
        <v>0.54097222222222219</v>
      </c>
      <c r="M58" s="30" t="str">
        <f t="shared" ca="1" si="13"/>
        <v/>
      </c>
      <c r="N58" s="27" t="s">
        <v>287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0.40977777777879965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0.60908333333435527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0.9764444444454663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234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/>
      <c r="M328" s="30">
        <f t="shared" ca="1" si="72"/>
        <v>2.3666666667850222E-2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153</v>
      </c>
      <c r="G338" s="36">
        <f>SUM(G326:G337)</f>
        <v>654.6</v>
      </c>
      <c r="H338" s="37"/>
      <c r="I338" s="37"/>
      <c r="J338" s="37"/>
      <c r="K338" s="61"/>
      <c r="L338" s="61"/>
      <c r="M338" s="38">
        <f ca="1">IFERROR(SUM(M326:M337),"")</f>
        <v>6.6027777778961294E-2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153</v>
      </c>
      <c r="G352" s="40">
        <f>G338+G351</f>
        <v>654.6</v>
      </c>
      <c r="H352" s="41"/>
      <c r="I352" s="41"/>
      <c r="J352" s="41"/>
      <c r="K352" s="63"/>
      <c r="L352" s="63"/>
      <c r="M352" s="42">
        <f ca="1">IFERROR(M338+M351,"")</f>
        <v>6.6027777778961294E-2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2026-07-13T19:51:05Z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