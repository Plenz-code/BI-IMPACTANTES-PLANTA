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5" documentId="8_{C51EB6CB-002B-4D6B-B68F-DDEBDB4460C0}" xr6:coauthVersionLast="47" xr6:coauthVersionMax="47" xr10:uidLastSave="{F46DF6FF-6F2E-4C44-954B-9004C1E3536A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<sst xmlns="http://schemas.openxmlformats.org/spreadsheetml/2006/main" count="1389" uniqueCount="240">
  <si>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</si>
  <si>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</si>
  <si>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</si>
  <si>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</si>
  <si>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</si>
  <si>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</si>
  <si>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</si>
  <si>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</si>
  <si>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</si>
  <si>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</si>
  <si>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</si>
  <si>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</si>
  <si>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</si>
  <si>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</si>
  <si>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</si>
  <si>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</si>
  <si>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</si>
  <si>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</si>
  <si>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</si>
  <si>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</si>
  <si>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</si>
  <si>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</si>
  <si>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</si>
  <si>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</si>
  <si>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</si>
  <si>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</si>
  <si>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</si>
  <si>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</si>
  <si>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</si>
  <si>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</si>
  <si>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</si>
  <si>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</si>
  <si>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</si>
  <si>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</si>
  <si>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</si>
  <si>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</si>
  <si>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</si>
  <si>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</si>
  <si>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</si>
  <si>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</si>
  <si>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</si>
  <si>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</si>
  <si>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</si>
  <si>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</si>
  <si>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</si>
  <si>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</si>
  <si>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</si>
  <si>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</si>
  <si>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</si>
  <si>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</si>
  <si>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</si>
  <si>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</si>
  <si>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</si>
  <si>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</si>
  <si>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</si>
  <si>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</si>
  <si>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</si>
  <si>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</si>
  <si>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</si>
  <si>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</si>
  <si>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</si>
  <si>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</si>
  <si>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</si>
  <si>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</si>
  <si>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</si>
  <si>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</si>
  <si>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</si>
  <si>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</si>
  <si>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</si>
  <si>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</si>
  <si>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</si>
  <si>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</si>
  <si>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</si>
  <si>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</si>
  <si>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</si>
  <si>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</si>
  <si>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</si>
  <si>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</si>
  <si>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</si>
  <si>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</si>
  <si>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</si>
  <si>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</si>
  <si>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</si>
  <si>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</si>
  <si>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</si>
  <si>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</si>
  <si>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</si>
  <si>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</si>
  <si>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</si>
  <si>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</si>
  <si>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</si>
  <si>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</si>
  <si>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</si>
  <si>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</si>
  <si>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</si>
  <si>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</si>
  <si>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</si>
  <si>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</si>
  <si>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</si>
  <si>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</si>
  <si>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</si>
  <si>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</si>
  <si>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</si>
  <si>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</si>
  <si>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</si>
  <si>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</si>
  <si>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</si>
  <si>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</si>
  <si>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</si>
  <si>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</si>
  <si>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</si>
  <si>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</si>
  <si>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</si>
  <si>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</si>
  <si>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</si>
  <si>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</si>
  <si>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</si>
  <si>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</si>
  <si>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</si>
  <si>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</si>
  <si>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</si>
  <si>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</si>
  <si>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</si>
  <si>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</si>
  <si>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</si>
  <si>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</si>
  <si>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</si>
  <si>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</si>
  <si>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</si>
  <si>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</si>
  <si>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</si>
  <si>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</si>
  <si>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</si>
  <si>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</si>
  <si>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</si>
  <si>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</si>
  <si>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</si>
  <si>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</si>
  <si>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</si>
  <si>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</si>
  <si>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</si>
  <si>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</si>
  <si>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</si>
  <si>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</si>
  <si>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</si>
  <si>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</si>
  <si>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</si>
  <si>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</si>
  <si>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</si>
  <si>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</si>
  <si>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</si>
  <si>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</si>
  <si>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</si>
  <si>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</si>
  <si>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</si>
  <si>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</si>
  <si>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</si>
  <si>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</si>
  <si>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</si>
  <si>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</si>
  <si>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</si>
  <si>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</si>
  <si>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</si>
  <si>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</si>
  <si>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</si>
  <si>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</si>
  <si>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</si>
  <si>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</si>
  <si>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</si>
  <si>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</si>
  <si>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</si>
  <si>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</si>
  <si>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</si>
  <si>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</si>
  <si>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</si>
  <si>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</si>
  <si>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</si>
  <si>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</si>
  <si>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</si>
  <si>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</si>
  <si>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</si>
  <si>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</si>
  <si>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</si>
  <si>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</si>
  <si>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</si>
  <si>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</si>
  <si>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</si>
  <si>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</si>
  <si>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</si>
  <si>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</si>
  <si>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</si>
  <si>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</si>
  <si>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</si>
  <si>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</si>
  <si>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</si>
  <si>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</si>
  <si>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</si>
  <si>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</si>
  <si>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</si>
  <si>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</si>
  <si>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</si>
  <si>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</si>
  <si>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</si>
  <si>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</si>
  <si>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</si>
  <si>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</si>
  <si>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</si>
  <si>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</si>
  <si>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</si>
  <si>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</si>
  <si>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</si>
  <si>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</si>
  <si>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</si>
  <si>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</si>
  <si>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</si>
  <si>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</si>
  <si>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</si>
  <si>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</si>
  <si>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</si>
  <si>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</si>
  <si>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</si>
  <si>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</si>
  <si>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</si>
  <si>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</si>
  <si>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</si>
  <si>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</si>
  <si>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</si>
  <si>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</si>
  <si>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</si>
  <si>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</si>
  <si>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</si>
  <si>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</si>
  <si>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</si>
  <si>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</si>
  <si>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</si>
  <si>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</si>
  <si>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</si>
  <si>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colocar chapa na bica</t>
  </si>
  <si>
    <t>martelo soltou</t>
  </si>
  <si>
    <t>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</si>
</sst>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F17" sqref="F1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70</v>
      </c>
      <c r="G27" s="36">
        <f>SUM(G15:G26)</f>
        <v>350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266</v>
      </c>
      <c r="G28" s="40">
        <f>G14+G27</f>
        <v>1330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F17" sqref="F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34</v>
      </c>
      <c r="G27" s="36">
        <f>SUM(G15:G26)</f>
        <v>142.80000000000001</v>
      </c>
      <c r="H27" s="37"/>
      <c r="I27" s="37"/>
      <c r="J27" s="37"/>
      <c r="K27" s="37"/>
      <c r="L27" s="37"/>
      <c r="M27" s="38">
        <f ca="1">IFERROR(SUM(M15:M26),"")</f>
        <v>1.5972222222222165E-2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146</v>
      </c>
      <c r="G28" s="40">
        <f>G14+G27</f>
        <v>613.20000000000005</v>
      </c>
      <c r="H28" s="41"/>
      <c r="I28" s="41"/>
      <c r="J28" s="41"/>
      <c r="K28" s="41"/>
      <c r="L28" s="41"/>
      <c r="M28" s="42">
        <f ca="1">IFERROR(M14+M27,"")</f>
        <v>0.21666666666666651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17" sqref="F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25</v>
      </c>
      <c r="G27" s="36">
        <f>SUM(G15:G26)</f>
        <v>105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106</v>
      </c>
      <c r="G28" s="40">
        <f>G14+G27</f>
        <v>445.20000000000005</v>
      </c>
      <c r="H28" s="41"/>
      <c r="I28" s="41"/>
      <c r="J28" s="41"/>
      <c r="K28" s="41"/>
      <c r="L28" s="41"/>
      <c r="M28" s="42">
        <f ca="1">IFERROR(M14+M27,"")</f>
        <v>1.3194444444444509E-2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" activePane="bottomLeft" state="frozen"/>
      <selection pane="bottomLeft" activeCell="J19" sqref="J1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/>
      <c r="G17" s="34" t="str">
        <f t="shared" si="3"/>
        <v/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238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/>
      <c r="G18" s="28" t="str">
        <f t="shared" si="3"/>
        <v/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 t="s">
        <v>20</v>
      </c>
      <c r="I19" s="33" t="s">
        <v>57</v>
      </c>
      <c r="J19" s="33" t="s">
        <v>56</v>
      </c>
      <c r="K19" s="29">
        <v>0.89513888888888893</v>
      </c>
      <c r="L19" s="29"/>
      <c r="M19" s="35">
        <f t="shared" ca="1" si="4"/>
        <v>3.0223263886000495E-2</v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23</v>
      </c>
      <c r="G27" s="36">
        <f>SUM(G15:G26)</f>
        <v>96.6</v>
      </c>
      <c r="H27" s="37"/>
      <c r="I27" s="37"/>
      <c r="J27" s="37"/>
      <c r="K27" s="61"/>
      <c r="L27" s="61"/>
      <c r="M27" s="38">
        <f ca="1">IFERROR(SUM(M15:M26),"")</f>
        <v>6.9112152774889468E-2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153</v>
      </c>
      <c r="G28" s="40">
        <f>G14+G27</f>
        <v>642.60000000000014</v>
      </c>
      <c r="H28" s="41"/>
      <c r="I28" s="41"/>
      <c r="J28" s="41"/>
      <c r="K28" s="63"/>
      <c r="L28" s="63"/>
      <c r="M28" s="42">
        <f ca="1">IFERROR(M14+M27,"")</f>
        <v>0.10800104166377839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2026-08-02T02:13:04Z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