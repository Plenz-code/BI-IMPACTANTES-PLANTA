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43" documentId="13_ncr:1_{9DFDFEE8-78F7-4C04-B87C-99924EE6CC37}" xr6:coauthVersionLast="47" xr6:coauthVersionMax="47" xr10:uidLastSave="{22157A85-47CF-484F-98B4-406D0DC2C8D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<sst xmlns="http://schemas.openxmlformats.org/spreadsheetml/2006/main" count="4607" uniqueCount="1309">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</sst>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N44" sqref="N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/>
      <c r="M44" s="81">
        <f t="shared" ca="1" si="10"/>
        <v>7.741435183561407E-3</v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8.0658101850228148E-2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0.86746365740578379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74</v>
      </c>
      <c r="N15" s="85" t="s">
        <v>75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77</v>
      </c>
      <c r="M16" s="76" t="s">
        <v>78</v>
      </c>
      <c r="N16" s="76" t="s">
        <v>79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78</v>
      </c>
      <c r="N17" s="85" t="s">
        <v>80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82</v>
      </c>
      <c r="N18" s="76" t="s">
        <v>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82</v>
      </c>
      <c r="N19" s="85" t="s">
        <v>80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74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84</v>
      </c>
      <c r="N21" s="85" t="s">
        <v>85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82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86</v>
      </c>
      <c r="N23" s="85" t="s">
        <v>87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77</v>
      </c>
      <c r="M29" s="85" t="s">
        <v>74</v>
      </c>
      <c r="N29" s="85" t="s">
        <v>89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77</v>
      </c>
      <c r="M30" s="76" t="s">
        <v>86</v>
      </c>
      <c r="N30" s="76" t="s">
        <v>79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78</v>
      </c>
      <c r="N31" s="85" t="s">
        <v>80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159.60000000000002</v>
      </c>
      <c r="L54" s="87"/>
      <c r="M54" s="87"/>
      <c r="N54" s="87"/>
      <c r="O54" s="87"/>
      <c r="P54" s="87"/>
      <c r="Q54" s="88">
        <f ca="1">IFERROR(SUM(Q42:Q53),"")</f>
        <v>9.375E-2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68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0.53750000000000009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92</v>
      </c>
      <c r="N3" s="85" t="s">
        <v>80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93</v>
      </c>
      <c r="N4" s="76" t="s">
        <v>94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92</v>
      </c>
      <c r="N5" s="85" t="s">
        <v>95</v>
      </c>
      <c r="O5" s="80">
        <v>0.56527777777777777</v>
      </c>
      <c r="P5" s="80" t="s">
        <v>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84</v>
      </c>
      <c r="N6" s="85" t="s">
        <v>97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84</v>
      </c>
      <c r="N15" s="85" t="s">
        <v>75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74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74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74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92</v>
      </c>
      <c r="N30" s="85" t="s">
        <v>80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3.3435879624448717E-2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8.0658101846670882E-2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0.34038032406889313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1" activePane="bottomLeft" state="frozen"/>
      <selection pane="bottomLeft" activeCell="G45" sqref="G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101</v>
      </c>
      <c r="N3" s="85" t="s">
        <v>80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77</v>
      </c>
      <c r="M4" s="76" t="s">
        <v>101</v>
      </c>
      <c r="N4" s="76" t="s">
        <v>103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104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70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77</v>
      </c>
      <c r="M15" s="85" t="s">
        <v>101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70</v>
      </c>
      <c r="E16" s="119" t="s">
        <v>71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93</v>
      </c>
      <c r="N16" s="76" t="s">
        <v>94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70</v>
      </c>
      <c r="E17" s="119" t="s">
        <v>71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77</v>
      </c>
      <c r="M17" s="85" t="s">
        <v>108</v>
      </c>
      <c r="N17" s="85" t="s">
        <v>79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70</v>
      </c>
      <c r="E18" s="119" t="s">
        <v>71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70</v>
      </c>
      <c r="E19" s="119" t="s">
        <v>71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70</v>
      </c>
      <c r="E20" s="119" t="s">
        <v>71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70</v>
      </c>
      <c r="E21" s="119" t="s">
        <v>71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70</v>
      </c>
      <c r="E22" s="119" t="s">
        <v>71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70</v>
      </c>
      <c r="E23" s="119" t="s">
        <v>71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70</v>
      </c>
      <c r="E24" s="119" t="s">
        <v>71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70</v>
      </c>
      <c r="E26" s="119" t="s">
        <v>71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93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93</v>
      </c>
      <c r="N31" s="85" t="s">
        <v>94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77</v>
      </c>
      <c r="M32" s="76" t="s">
        <v>108</v>
      </c>
      <c r="N32" s="76" t="s">
        <v>79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58.800000000000004</v>
      </c>
      <c r="L54" s="87"/>
      <c r="M54" s="87"/>
      <c r="N54" s="87"/>
      <c r="O54" s="154"/>
      <c r="P54" s="154"/>
      <c r="Q54" s="88">
        <f ca="1">IFERROR(SUM(Q42:Q53),"")</f>
        <v>9.375E-2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88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369.6</v>
      </c>
      <c r="L55" s="91"/>
      <c r="M55" s="91"/>
      <c r="N55" s="91"/>
      <c r="O55" s="155"/>
      <c r="P55" s="155"/>
      <c r="Q55" s="92">
        <f ca="1">IFERROR(Q41+Q54,"")</f>
        <v>0.39097222222222233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66</v>
      </c>
      <c r="G3" s="4" t="s">
        <v>68</v>
      </c>
      <c r="J3" s="4" t="s">
        <v>35</v>
      </c>
      <c r="L3" s="4" t="s">
        <v>36</v>
      </c>
      <c r="M3" s="176"/>
      <c r="N3" s="36" t="s">
        <v>72</v>
      </c>
      <c r="O3" s="36" t="s">
        <v>49</v>
      </c>
      <c r="P3" s="36" t="s">
        <v>45</v>
      </c>
      <c r="Q3" s="36" t="s">
        <v>77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72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79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82</v>
      </c>
      <c r="M5" s="176"/>
      <c r="N5" s="40" t="s">
        <v>1138</v>
      </c>
      <c r="O5" s="40" t="s">
        <v>1139</v>
      </c>
      <c r="P5" s="40" t="s">
        <v>58</v>
      </c>
      <c r="Q5" s="40" t="s">
        <v>103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78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88</v>
      </c>
      <c r="C7" s="40" t="s">
        <v>1147</v>
      </c>
      <c r="E7" s="41">
        <v>0.13</v>
      </c>
      <c r="G7" s="42">
        <v>0.55000000000000004</v>
      </c>
      <c r="J7" s="37" t="s">
        <v>77</v>
      </c>
      <c r="L7" s="40" t="s">
        <v>92</v>
      </c>
      <c r="M7" s="176"/>
      <c r="N7" s="40" t="s">
        <v>1148</v>
      </c>
      <c r="O7" s="40" t="s">
        <v>85</v>
      </c>
      <c r="P7" s="40" t="s">
        <v>58</v>
      </c>
      <c r="Q7" s="40" t="s">
        <v>1149</v>
      </c>
      <c r="R7" s="40" t="s">
        <v>80</v>
      </c>
    </row>
    <row r="8" spans="1:18" ht="15.75" customHeight="1">
      <c r="A8" s="37"/>
      <c r="C8" s="40" t="s">
        <v>70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101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75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97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94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75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73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89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104</v>
      </c>
      <c r="M23" s="176"/>
      <c r="N23" s="40"/>
      <c r="O23" s="40"/>
      <c r="P23" s="40" t="s">
        <v>65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84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74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93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86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83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87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95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