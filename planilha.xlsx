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96" documentId="8_{C51EB6CB-002B-4D6B-B68F-DDEBDB4460C0}" xr6:coauthVersionLast="47" xr6:coauthVersionMax="47" xr10:uidLastSave="{A88FEBD1-FA86-4A26-AFFE-1F2483B670D0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<sst xmlns="http://schemas.openxmlformats.org/spreadsheetml/2006/main" count="2964" uniqueCount="273">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</sst>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24" sqref="F12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40</v>
      </c>
      <c r="G135" s="36">
        <f>SUM(G123:G134)</f>
        <v>200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162</v>
      </c>
      <c r="G136" s="40">
        <f>G122+G135</f>
        <v>810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2" activePane="bottomLeft" state="frozen"/>
      <selection pane="bottomLeft" activeCell="I123" sqref="I1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0.73128344907308929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0.87017233796197813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0.95489456018420049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/>
      <c r="G123" s="34" t="str">
        <f t="shared" ref="G123:G134" si="27">IF(F123="","",IF(E123="PC 17",F123*4.2,IF(E123="PC 19",F123*5,IF(E123="CB",F123*24,""))))</f>
        <v/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1.1805555555555625E-2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184</v>
      </c>
      <c r="G136" s="40">
        <f>G122+G135</f>
        <v>772.80000000000007</v>
      </c>
      <c r="H136" s="41"/>
      <c r="I136" s="41"/>
      <c r="J136" s="41"/>
      <c r="K136" s="41"/>
      <c r="L136" s="41"/>
      <c r="M136" s="42">
        <f ca="1">IFERROR(M122+M135,"")</f>
        <v>0.10694444444444451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97" zoomScale="50" zoomScaleNormal="50" workbookViewId="0">
      <selection activeCell="I124" sqref="I1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0.57433900463365717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0.62156122685587933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0.77781122685587933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/>
      <c r="F123" s="27"/>
      <c r="G123" s="34" t="str">
        <f t="shared" ref="G123:G134" si="27">IF(F123="","",IF(E123="PC 17",F123*4.2,IF(E123="PC 19",F123*5,IF(E123="CB",F123*24,""))))</f>
        <v/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/>
      <c r="F124" s="27"/>
      <c r="G124" s="28" t="str">
        <f t="shared" si="27"/>
        <v/>
      </c>
      <c r="H124" s="26" t="s">
        <v>20</v>
      </c>
      <c r="I124" s="26" t="s">
        <v>154</v>
      </c>
      <c r="J124" s="26"/>
      <c r="K124" s="29">
        <v>0.8520833333333333</v>
      </c>
      <c r="L124" s="29"/>
      <c r="M124" s="30">
        <f t="shared" ca="1" si="28"/>
        <v>7.2789352270774543E-4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4.2001157449299553E-3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78</v>
      </c>
      <c r="G136" s="40">
        <f>G122+G135</f>
        <v>327.60000000000002</v>
      </c>
      <c r="H136" s="41"/>
      <c r="I136" s="41"/>
      <c r="J136" s="41"/>
      <c r="K136" s="41"/>
      <c r="L136" s="41"/>
      <c r="M136" s="42">
        <f ca="1">IFERROR(M122+M135,"")</f>
        <v>4.2001157449299553E-3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00" activePane="bottomLeft" state="frozen"/>
      <selection pane="bottomLeft" activeCell="E131" sqref="E1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170</v>
      </c>
      <c r="G136" s="40">
        <f>G122+G135</f>
        <v>714.00000000000011</v>
      </c>
      <c r="H136" s="41"/>
      <c r="I136" s="41"/>
      <c r="J136" s="41"/>
      <c r="K136" s="63"/>
      <c r="L136" s="63"/>
      <c r="M136" s="42">
        <f ca="1">IFERROR(M122+M135,"")</f>
        <v>0.12430555555555572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2026-08-06T00:28:14Z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