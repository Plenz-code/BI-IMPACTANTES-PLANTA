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74" documentId="13_ncr:1_{0A10D8D4-8450-4366-8075-B53B08E6B7EA}" xr6:coauthVersionLast="47" xr6:coauthVersionMax="47" xr10:uidLastSave="{48295AEA-50C9-4FF0-BDED-944B41E25991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<sst xmlns="http://schemas.openxmlformats.org/spreadsheetml/2006/main" count="6951" uniqueCount="353">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</sst>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675670</v>
      </c>
      <c r="G18" s="9">
        <f>IFERROR(D18+E18+F18,"")</f>
        <v>3239510</v>
      </c>
      <c r="H18" s="96">
        <f>IFERROR('Linha 1'!T406+'Linha 2'!T406+'Linha 3'!T406,0)</f>
        <v>660.9533644936655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18248020</v>
      </c>
      <c r="E35" s="13">
        <f t="shared" si="2"/>
        <v>9434670</v>
      </c>
      <c r="F35" s="13">
        <f t="shared" si="2"/>
        <v>22519480</v>
      </c>
      <c r="G35" s="13">
        <f t="shared" si="2"/>
        <v>50202170</v>
      </c>
      <c r="H35" s="97">
        <f t="shared" si="2"/>
        <v>3014.5713860339756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4" sqref="F40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380</v>
      </c>
      <c r="G405" s="36">
        <f>SUM(G393:G404)</f>
        <v>1900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660</v>
      </c>
      <c r="G406" s="40">
        <f>G392+G405</f>
        <v>3315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S406" sqref="S40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0.15576967591914581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0.29465856480803471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0.37938078703025702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/>
      <c r="Q400" s="30">
        <f t="shared" ca="1" si="96"/>
        <v>2.3825231481168885E-2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0.13840856481450231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0.2106307870367245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2" activePane="bottomLeft" state="frozen"/>
      <selection pane="bottomLeft" activeCell="S406" sqref="S40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/>
      <c r="Q396" s="30">
        <f t="shared" ca="1" si="94"/>
        <v>2.3825231481168885E-2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5.6464120370057713E-2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0.1300752314811689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2" activePane="bottomLeft" state="frozen"/>
      <selection pane="bottomLeft" activeCell="G405" sqref="G40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0.649519675920601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0.71410300925393422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4"/>
        <v>0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4"/>
        <v>0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0.77382523147615645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2026-08-16T10:39:34Z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