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293" documentId="8_{AF585B22-221D-4780-BB9C-493D365A6A02}" xr6:coauthVersionLast="47" xr6:coauthVersionMax="47" xr10:uidLastSave="{1D935B62-A064-4B7B-BBB0-2D0FF53BC755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<sst xmlns="http://schemas.openxmlformats.org/spreadsheetml/2006/main" count="7266" uniqueCount="344">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</sst>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J447" sqref="J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/>
      <c r="M447" s="35">
        <f t="shared" ref="M447:M458" ca="1" si="100">IFERROR(IF(K447="","",IF(L447="",MOD(NOW()-K447,1),IF(L447&gt;=K447,L447-K447,L447+1-K447))),"")</f>
        <v>3.3500925921543967E-2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25</v>
      </c>
      <c r="G459" s="36">
        <f>SUM(G447:G458)</f>
        <v>105</v>
      </c>
      <c r="H459" s="37"/>
      <c r="I459" s="37"/>
      <c r="J459" s="37"/>
      <c r="K459" s="37"/>
      <c r="L459" s="37"/>
      <c r="M459" s="38">
        <f ca="1">IFERROR(SUM(M447:M458),"")</f>
        <v>3.3500925921543967E-2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204</v>
      </c>
      <c r="G460" s="40">
        <f>G446+G459</f>
        <v>1000</v>
      </c>
      <c r="H460" s="41"/>
      <c r="I460" s="41"/>
      <c r="J460" s="41"/>
      <c r="K460" s="41"/>
      <c r="L460" s="41"/>
      <c r="M460" s="42">
        <f ca="1">IFERROR(M446+M459,"")</f>
        <v>0.27100092592154401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33" activePane="bottomLeft" state="frozen"/>
      <selection pane="bottomLeft" activeCell="L448" sqref="L4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0.62030648147629108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0.77794537036517997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0.88766759258740213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0.59877870370110031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0.7696120370344337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0.91475092592332263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225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26" zoomScale="50" zoomScaleNormal="50" workbookViewId="0">
      <selection activeCell="J448" sqref="J4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225</v>
      </c>
      <c r="F448" s="27"/>
      <c r="G448" s="28" t="str">
        <f t="shared" si="99"/>
        <v/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/>
      <c r="M448" s="30">
        <f t="shared" ca="1" si="100"/>
        <v>1.5564814821118489E-3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3.6398148154452858E-3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0.20155648148211203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J450" sqref="J45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0.61058425925875781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0.80988981481431344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1.1772509259254245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225</v>
      </c>
      <c r="F448" s="27"/>
      <c r="G448" s="28" t="str">
        <f t="shared" si="99"/>
        <v/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/>
      <c r="M449" s="35">
        <f t="shared" ca="1" si="100"/>
        <v>4.0445370366796851E-2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343</v>
      </c>
      <c r="F450" s="27"/>
      <c r="G450" s="28" t="str">
        <f>IF(F450="","",IF(E451="PC 17",F450*4.2,IF(E451="PC 19",F450*5,"")))</f>
        <v/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/>
      <c r="M450" s="30">
        <f t="shared" ca="1" si="100"/>
        <v>1.8223148144898005E-2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>IF(F451="","",IF(#REF!="PC 17",F451*4.2,IF(#REF!="PC 19",F451*5,"")))</f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7.74185185116949E-2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0.1281129629561395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2026-07-18T00:38:32Z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