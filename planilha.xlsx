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884" documentId="8_{C51EB6CB-002B-4D6B-B68F-DDEBDB4460C0}" xr6:coauthVersionLast="47" xr6:coauthVersionMax="47" xr10:uidLastSave="{D8E57F20-F9D6-4CCB-B498-1EAFF747E059}"/>
  <bookViews>
    <workbookView xWindow="-108" yWindow="-108" windowWidth="23256" windowHeight="12456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4" i="3" l="1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6" i="1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<sst xmlns="http://schemas.openxmlformats.org/spreadsheetml/2006/main" count="1763" uniqueCount="256">
  <si>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</si>
  <si>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</si>
  <si>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</si>
  <si>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</si>
  <si>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</si>
  <si>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</si>
  <si>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</si>
  <si>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</si>
  <si>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</si>
  <si>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</si>
  <si>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</si>
  <si>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</si>
  <si>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</si>
  <si>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</si>
  <si>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</si>
  <si>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</si>
  <si>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</si>
  <si>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</si>
  <si>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</si>
  <si>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</si>
  <si>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</si>
  <si>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</si>
  <si>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</si>
  <si>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</si>
  <si>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</si>
  <si>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</si>
  <si>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</si>
  <si>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</si>
  <si>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</si>
  <si>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</si>
  <si>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</si>
  <si>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</si>
  <si>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</si>
  <si>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</si>
  <si>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</si>
  <si>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</si>
  <si>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</si>
  <si>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</si>
  <si>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</si>
  <si>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</si>
  <si>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</si>
  <si>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</si>
  <si>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</si>
  <si>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</si>
  <si>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</si>
  <si>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</si>
  <si>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</si>
  <si>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</si>
  <si>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</si>
  <si>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</si>
  <si>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</si>
  <si>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</si>
  <si>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</si>
  <si>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</si>
  <si>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</si>
  <si>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</si>
  <si>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</si>
  <si>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</si>
  <si>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</si>
  <si>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</si>
  <si>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</si>
  <si>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</si>
  <si>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</si>
  <si>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</si>
  <si>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</si>
  <si>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</si>
  <si>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</si>
  <si>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</si>
  <si>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</si>
  <si>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</si>
  <si>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</si>
  <si>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</si>
  <si>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</si>
  <si>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</si>
  <si>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</si>
  <si>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</si>
  <si>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</si>
  <si>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</si>
  <si>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</si>
  <si>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</si>
  <si>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</si>
  <si>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</si>
  <si>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</si>
  <si>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</si>
  <si>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</si>
  <si>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</si>
  <si>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</si>
  <si>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</si>
  <si>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</si>
  <si>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</si>
  <si>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</si>
  <si>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</si>
  <si>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</si>
  <si>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</si>
  <si>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</si>
  <si>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</si>
  <si>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</si>
  <si>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</si>
  <si>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</si>
  <si>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</si>
  <si>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</si>
  <si>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</si>
  <si>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</si>
  <si>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</si>
  <si>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</si>
  <si>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</si>
  <si>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</si>
  <si>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</si>
  <si>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</si>
  <si>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</si>
  <si>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</si>
  <si>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</si>
  <si>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</si>
  <si>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</si>
  <si>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</si>
  <si>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</si>
  <si>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</si>
  <si>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</si>
  <si>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</si>
  <si>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</si>
  <si>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</si>
  <si>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</si>
  <si>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</si>
  <si>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</si>
  <si>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</si>
  <si>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</si>
  <si>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</si>
  <si>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</si>
  <si>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</si>
  <si>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</si>
  <si>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</si>
  <si>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</si>
  <si>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</si>
  <si>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</si>
  <si>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</si>
  <si>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</si>
  <si>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</si>
  <si>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</si>
  <si>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</si>
  <si>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</si>
  <si>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</si>
  <si>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</si>
  <si>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</si>
  <si>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</si>
  <si>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</si>
  <si>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</si>
  <si>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</si>
  <si>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</si>
  <si>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</si>
  <si>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</si>
  <si>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</si>
  <si>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</si>
  <si>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</si>
  <si>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</si>
  <si>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</si>
  <si>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</si>
  <si>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</si>
  <si>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</si>
  <si>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</si>
  <si>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</si>
  <si>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</si>
  <si>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</si>
  <si>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</si>
  <si>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</si>
  <si>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</si>
  <si>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</si>
  <si>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</si>
  <si>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</si>
  <si>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</si>
  <si>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</si>
  <si>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</si>
  <si>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</si>
  <si>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</si>
  <si>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</si>
  <si>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</si>
  <si>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</si>
  <si>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</si>
  <si>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</si>
  <si>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</si>
  <si>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</si>
  <si>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</si>
  <si>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</si>
  <si>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</si>
  <si>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</si>
  <si>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</si>
  <si>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</si>
  <si>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</si>
  <si>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</si>
  <si>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</si>
  <si>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</si>
  <si>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</si>
  <si>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</si>
  <si>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</si>
  <si>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</si>
  <si>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</si>
  <si>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</si>
  <si>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</si>
  <si>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</si>
  <si>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</si>
  <si>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</si>
  <si>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</si>
  <si>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</si>
  <si>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</si>
  <si>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</si>
  <si>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</si>
  <si>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</si>
  <si>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</si>
  <si>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</si>
  <si>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</si>
  <si>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</si>
  <si>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</si>
  <si>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</si>
  <si>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</si>
  <si>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</si>
  <si>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</si>
  <si>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</si>
  <si>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</si>
  <si>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</si>
  <si>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</si>
  <si>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</si>
  <si>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</si>
  <si>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</si>
  <si>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</si>
  <si>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</si>
  <si>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</si>
  <si>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</si>
  <si>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</si>
  <si>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</si>
  <si>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</si>
  <si>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</si>
  <si>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</si>
  <si>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</si>
  <si>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</si>
  <si>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</si>
  <si>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</si>
  <si>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PC 24</t>
  </si>
  <si>
    <t>PC 25</t>
  </si>
  <si>
    <t>PC 26</t>
  </si>
  <si>
    <t>PC 27</t>
  </si>
  <si>
    <t>PC 28</t>
  </si>
  <si>
    <t>PC 29</t>
  </si>
  <si>
    <t>caiu 1 faca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</si>
  <si>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</si>
  <si>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</si>
  <si>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</si>
  <si>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</si>
  <si>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</si>
  <si>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</si>
  <si>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solda no queixo</t>
  </si>
  <si>
    <t>sem material no estoque</t>
  </si>
  <si>
    <t>troca de martelo</t>
  </si>
  <si>
    <t>processando blend</t>
  </si>
  <si>
    <t>colocar chapa na bica</t>
  </si>
  <si>
    <t>martelo soltou</t>
  </si>
  <si>
    <t>solda no queixo ,revestimento gasto</t>
  </si>
  <si>
    <t>troca de martelo mm 4\5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</si>
</sst>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6" sqref="G2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1351560</v>
      </c>
      <c r="D5" s="11">
        <f>IFERROR('Linha 1'!O55,"")</f>
        <v>311070</v>
      </c>
      <c r="E5" s="11">
        <f>IFERROR('Linha 2'!O55,"")</f>
        <v>237080</v>
      </c>
      <c r="F5" s="11">
        <f>IFERROR('Linha 3'!O55,"")</f>
        <v>766800</v>
      </c>
      <c r="G5" s="12">
        <f t="shared" si="0"/>
        <v>1314950</v>
      </c>
    </row>
    <row r="6" spans="1:7" ht="15.75" customHeight="1">
      <c r="A6" s="7">
        <v>3</v>
      </c>
      <c r="B6" s="72">
        <v>46237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3147235</v>
      </c>
      <c r="D35" s="13">
        <f>IFERROR(SUM(D4:D34),"")</f>
        <v>1342210</v>
      </c>
      <c r="E35" s="13">
        <f>IFERROR(SUM(E4:E34),"")</f>
        <v>921600</v>
      </c>
      <c r="F35" s="13">
        <f>IFERROR(SUM(F4:F34),"")</f>
        <v>1819740</v>
      </c>
      <c r="G35" s="13">
        <f>IFERROR(SUM(G4:G34),"")</f>
        <v>4083550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/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203</v>
      </c>
      <c r="L58" s="16"/>
      <c r="M58" s="16"/>
    </row>
    <row r="59" spans="1:13" ht="15" customHeight="1">
      <c r="H59" s="110"/>
      <c r="I59" s="17"/>
      <c r="J59" s="17"/>
      <c r="K59" s="17" t="s">
        <v>204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205</v>
      </c>
      <c r="L61" s="17"/>
      <c r="M61" s="17"/>
    </row>
    <row r="62" spans="1:13" ht="15" customHeight="1">
      <c r="H62" s="110"/>
      <c r="I62" s="16"/>
      <c r="J62" s="16"/>
      <c r="K62" s="16" t="s">
        <v>206</v>
      </c>
      <c r="L62" s="16"/>
      <c r="M62" s="16"/>
    </row>
    <row r="63" spans="1:13" ht="15" customHeight="1">
      <c r="H63" s="110"/>
      <c r="I63" s="17"/>
      <c r="J63" s="17"/>
      <c r="K63" s="17" t="s">
        <v>207</v>
      </c>
      <c r="L63" s="17"/>
      <c r="M63" s="17"/>
    </row>
    <row r="64" spans="1:13" ht="15" customHeight="1">
      <c r="H64" s="110"/>
      <c r="I64" s="16"/>
      <c r="J64" s="16"/>
      <c r="K64" s="16" t="s">
        <v>208</v>
      </c>
      <c r="L64" s="16"/>
      <c r="M64" s="16"/>
    </row>
    <row r="65" spans="8:13" ht="15" customHeight="1">
      <c r="H65" s="110"/>
      <c r="I65" s="17"/>
      <c r="J65" s="17"/>
      <c r="K65" s="17" t="s">
        <v>209</v>
      </c>
      <c r="L65" s="17"/>
      <c r="M65" s="17"/>
    </row>
    <row r="66" spans="8:13" ht="15" customHeight="1">
      <c r="H66" s="110"/>
      <c r="I66" s="16"/>
      <c r="J66" s="16"/>
      <c r="K66" s="16" t="s">
        <v>210</v>
      </c>
      <c r="L66" s="16"/>
      <c r="M66" s="16"/>
    </row>
    <row r="67" spans="8:13" ht="15" customHeight="1">
      <c r="H67" s="110"/>
      <c r="I67" s="17"/>
      <c r="J67" s="17"/>
      <c r="K67" s="17" t="s">
        <v>211</v>
      </c>
      <c r="L67" s="17"/>
      <c r="M67" s="17"/>
    </row>
    <row r="68" spans="8:13" ht="15" customHeight="1">
      <c r="H68" s="110"/>
      <c r="I68" s="16"/>
      <c r="J68" s="16"/>
      <c r="K68" s="16" t="s">
        <v>212</v>
      </c>
      <c r="L68" s="16"/>
      <c r="M68" s="16"/>
    </row>
    <row r="69" spans="8:13" ht="15" customHeight="1">
      <c r="H69" s="110"/>
      <c r="I69" s="17"/>
      <c r="J69" s="17"/>
      <c r="K69" s="17" t="s">
        <v>213</v>
      </c>
      <c r="L69" s="17"/>
      <c r="M69" s="17"/>
    </row>
    <row r="70" spans="8:13" ht="15" customHeight="1">
      <c r="H70" s="110"/>
      <c r="I70" s="16"/>
      <c r="J70" s="16"/>
      <c r="K70" s="16" t="s">
        <v>214</v>
      </c>
      <c r="L70" s="16"/>
      <c r="M70" s="16"/>
    </row>
    <row r="71" spans="8:13" ht="15" customHeight="1">
      <c r="H71" s="110"/>
      <c r="I71" s="17"/>
      <c r="J71" s="17"/>
      <c r="K71" s="17" t="s">
        <v>215</v>
      </c>
      <c r="L71" s="17"/>
      <c r="M71" s="17"/>
    </row>
    <row r="72" spans="8:13" ht="15" customHeight="1">
      <c r="H72" s="110"/>
      <c r="I72" s="16"/>
      <c r="J72" s="16"/>
      <c r="K72" s="16" t="s">
        <v>216</v>
      </c>
      <c r="L72" s="16"/>
      <c r="M72" s="16"/>
    </row>
    <row r="73" spans="8:13" ht="15" customHeight="1">
      <c r="H73" s="110"/>
      <c r="I73" s="17"/>
      <c r="J73" s="17"/>
      <c r="K73" s="17"/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21" activePane="bottomLeft" state="frozen"/>
      <selection pane="bottomLeft" activeCell="N43" sqref="N43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227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227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227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227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227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227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227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227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227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227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227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227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229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227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227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227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230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227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227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227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227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227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227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227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229</v>
      </c>
      <c r="O27" s="39">
        <v>997910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233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227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227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234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227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230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227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227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227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235</v>
      </c>
      <c r="F35" s="27">
        <v>55</v>
      </c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236</v>
      </c>
      <c r="F36" s="27">
        <v>38</v>
      </c>
      <c r="G36" s="34" t="str">
        <f>IF(F36="","",IF(E36="PC 17",F36*4.2,IF(E36="PC 19",F36*5,IF(E36="CB",F36*35,""))))</f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237</v>
      </c>
      <c r="F37" s="27">
        <v>21</v>
      </c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238</v>
      </c>
      <c r="F38" s="27">
        <v>0</v>
      </c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239</v>
      </c>
      <c r="F39" s="27">
        <v>0</v>
      </c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240</v>
      </c>
      <c r="F40" s="27">
        <v>0</v>
      </c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695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229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227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/>
      <c r="M42" s="30">
        <f t="shared" ref="M42:M53" ca="1" si="10">IFERROR(IF(K42="","",IF(L42="",MOD(NOW()-K42,1),IF(L42&gt;=K42,L42-K42,L42+1-K42))),"")</f>
        <v>3.6321064813819248E-2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227</v>
      </c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227</v>
      </c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227</v>
      </c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227</v>
      </c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45</v>
      </c>
      <c r="G54" s="36">
        <f>SUM(G42:G53)</f>
        <v>225</v>
      </c>
      <c r="H54" s="37"/>
      <c r="I54" s="37"/>
      <c r="J54" s="37"/>
      <c r="K54" s="37"/>
      <c r="L54" s="37"/>
      <c r="M54" s="38">
        <f ca="1">IFERROR(SUM(M42:M53),"")</f>
        <v>3.6321064813819248E-2</v>
      </c>
      <c r="N54" s="36" t="s">
        <v>229</v>
      </c>
      <c r="O54" s="39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298</v>
      </c>
      <c r="G55" s="40">
        <f>G41+G54</f>
        <v>920</v>
      </c>
      <c r="H55" s="41"/>
      <c r="I55" s="41"/>
      <c r="J55" s="41"/>
      <c r="K55" s="41"/>
      <c r="L55" s="41"/>
      <c r="M55" s="42">
        <f ca="1">IFERROR(M41+M54,"")</f>
        <v>9.6043287036041425E-2</v>
      </c>
      <c r="N55" s="40" t="s">
        <v>233</v>
      </c>
      <c r="O55" s="43">
        <f>IFERROR(O41+O54,"")</f>
        <v>1351560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19",F56*5,IF(E56="CB",F56*35,""))))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19",F69*5,IF(E69="CB",F69*35,""))))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44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12" t="s">
        <v>232</v>
      </c>
      <c r="B811" s="113"/>
      <c r="C811" s="113"/>
      <c r="D811" s="113"/>
      <c r="E811" s="114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50" zoomScaleNormal="50" workbookViewId="0">
      <pane ySplit="1" topLeftCell="A28" activePane="bottomLeft" state="frozen"/>
      <selection pane="bottomLeft" activeCell="J45" sqref="J4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243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244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245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229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242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242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242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242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242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246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242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247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242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242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242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242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242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229</v>
      </c>
      <c r="O27" s="77">
        <v>549860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233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242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242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242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242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242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242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242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242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242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242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242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229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242</v>
      </c>
      <c r="F43" s="27"/>
      <c r="G43" s="28" t="str">
        <f t="shared" si="9"/>
        <v/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242</v>
      </c>
      <c r="F44" s="27"/>
      <c r="G44" s="34" t="str">
        <f t="shared" si="9"/>
        <v/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242</v>
      </c>
      <c r="F45" s="27"/>
      <c r="G45" s="28" t="str">
        <f t="shared" si="9"/>
        <v/>
      </c>
      <c r="H45" s="33" t="s">
        <v>20</v>
      </c>
      <c r="I45" s="33" t="s">
        <v>31</v>
      </c>
      <c r="J45" s="33" t="s">
        <v>51</v>
      </c>
      <c r="K45" s="29">
        <v>0.87152777777777779</v>
      </c>
      <c r="L45" s="29"/>
      <c r="M45" s="30">
        <f t="shared" ca="1" si="11"/>
        <v>5.7655092532513663E-3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242</v>
      </c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242</v>
      </c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242</v>
      </c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242</v>
      </c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18</v>
      </c>
      <c r="G54" s="36">
        <f>SUM(G42:G53)</f>
        <v>75.600000000000009</v>
      </c>
      <c r="H54" s="37"/>
      <c r="I54" s="37"/>
      <c r="J54" s="37"/>
      <c r="K54" s="37"/>
      <c r="L54" s="37"/>
      <c r="M54" s="38">
        <f ca="1">IFERROR(SUM(M42:M53),"")</f>
        <v>2.5209953697695853E-2</v>
      </c>
      <c r="N54" s="36" t="s">
        <v>229</v>
      </c>
      <c r="O54" s="84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98</v>
      </c>
      <c r="G55" s="40">
        <f>G41+G54</f>
        <v>399</v>
      </c>
      <c r="H55" s="41"/>
      <c r="I55" s="41"/>
      <c r="J55" s="41"/>
      <c r="K55" s="41"/>
      <c r="L55" s="41"/>
      <c r="M55" s="42">
        <f ca="1">IFERROR(M41+M54,"")</f>
        <v>0.10993217591991818</v>
      </c>
      <c r="N55" s="40" t="s">
        <v>233</v>
      </c>
      <c r="O55" s="82">
        <f>IFERROR(O41+O54,"")</f>
        <v>311070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81"/>
      <c r="K57" s="29"/>
      <c r="L57" s="29"/>
      <c r="M57" s="30"/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80"/>
      <c r="J58" s="26"/>
      <c r="K58" s="29"/>
      <c r="L58" s="29"/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54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54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82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54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54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54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77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77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228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77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77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77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77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77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77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77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231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77"/>
    </row>
    <row r="433" spans="1:15" ht="18" customHeight="1">
      <c r="A433" s="92" t="s">
        <v>232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77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77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231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77"/>
    </row>
    <row r="514" spans="1:15" ht="18" customHeight="1">
      <c r="A514" s="92" t="s">
        <v>232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77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77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77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77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77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77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77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77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84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3">
    <dataValidation type="list" allowBlank="1" showErrorMessage="1" errorTitle="Valor inválido" error="Selecione PC 17 ou PC 19 da lista." sqref="E2:E13 E15:E26 E515:E838 E434:E512 E29:E431" xr:uid="{2227B2AC-9B51-4D92-B575-77146BD9FF6F}">
      <formula1>"PC 17,PC 19,CB"</formula1>
      <formula2>0</formula2>
    </dataValidation>
    <dataValidation type="list" showErrorMessage="1" errorTitle="Atenção" error="Selecione primeiro o Tipo de Parada (col G) e depois escolha a Descrição da lista." sqref="J34:J900 J2:J31" xr:uid="{0BA40B9C-5AAF-42E8-A8BA-306603CB5155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B81D8E9D-BA29-40F2-8329-92ABBE9A48D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2B7268D3-6231-4722-BDC7-42279D69997D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C998DA28-BE6E-4743-9983-837BCFB02979}">
          <x14:formula1>
            <xm:f>Cadastro!$C$4:$C$10</xm:f>
          </x14:formula1>
          <x14:formula2>
            <xm:f>0</xm:f>
          </x14:formula2>
          <xm:sqref>D84:D900 D2:D13 D15:D26 E432:E433 E513:E514 D29:D82</xm:sqref>
        </x14:dataValidation>
        <x14:dataValidation type="list" allowBlank="1" showErrorMessage="1" errorTitle="Valor inválido" error="Selecione da lista." xr:uid="{467F7869-8B5B-4B9F-8082-E8288D61AEE3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8ABCC6A-B021-4296-95C0-E54844E2D0F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9" zoomScale="50" zoomScaleNormal="50" workbookViewId="0">
      <selection activeCell="N43" sqref="N4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229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242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248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242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242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242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246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242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249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242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242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242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242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242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242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242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231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229</v>
      </c>
      <c r="O27" s="39">
        <v>358000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233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242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242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242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242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242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242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242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242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242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242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242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229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250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242</v>
      </c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 t="s">
        <v>251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242</v>
      </c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242</v>
      </c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8</v>
      </c>
      <c r="G54" s="36">
        <f>SUM(G42:G53)</f>
        <v>33.6</v>
      </c>
      <c r="H54" s="37"/>
      <c r="I54" s="37"/>
      <c r="J54" s="37"/>
      <c r="K54" s="37"/>
      <c r="L54" s="37"/>
      <c r="M54" s="38">
        <f ca="1">IFERROR(SUM(M42:M53),"")</f>
        <v>4.1666666666666741E-2</v>
      </c>
      <c r="N54" s="36" t="s">
        <v>229</v>
      </c>
      <c r="O54" s="39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85</v>
      </c>
      <c r="G55" s="40">
        <f>G41+G54</f>
        <v>357.00000000000006</v>
      </c>
      <c r="H55" s="41"/>
      <c r="I55" s="41"/>
      <c r="J55" s="41"/>
      <c r="K55" s="41"/>
      <c r="L55" s="41"/>
      <c r="M55" s="42">
        <f ca="1">IFERROR(M41+M54,"")</f>
        <v>6.2500000000000111E-2</v>
      </c>
      <c r="N55" s="40" t="s">
        <v>233</v>
      </c>
      <c r="O55" s="43">
        <f>IFERROR(O41+O54,"")</f>
        <v>237080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39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20" activePane="bottomLeft" state="frozen"/>
      <selection pane="bottomLeft" activeCell="J42" sqref="J42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229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242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242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252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242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253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242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248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242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254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242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242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242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255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242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242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242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229</v>
      </c>
      <c r="O27" s="39">
        <v>491520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233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242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242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242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242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242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242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242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242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242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242</v>
      </c>
      <c r="F39" s="57">
        <v>8</v>
      </c>
      <c r="G39" s="28" t="str">
        <f>IF(F50="","",IF(E39="PC 17",F50*4.2,IF(E39="PC 19",F50*5,IF(E39="CB",F50*24,""))))</f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228</v>
      </c>
      <c r="B41" s="101"/>
      <c r="C41" s="101"/>
      <c r="D41" s="101"/>
      <c r="E41" s="102"/>
      <c r="F41" s="36">
        <f>SUM(F29:F40)</f>
        <v>141</v>
      </c>
      <c r="G41" s="36">
        <f>SUM(G29:G40)</f>
        <v>558.6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229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/>
      <c r="M42" s="35">
        <f t="shared" ref="M42:M53" ca="1" si="10">IFERROR(IF(K42="","",IF(L42="",MOD(NOW()-K42,1),IF(L42&gt;=K42,L42-K42,L42+1-K42))),"")</f>
        <v>3.3543287034262903E-2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242</v>
      </c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242</v>
      </c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242</v>
      </c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 t="s">
        <v>251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242</v>
      </c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242</v>
      </c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242</v>
      </c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/>
      <c r="F50" s="27"/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23</v>
      </c>
      <c r="G54" s="36">
        <f>SUM(G42:G53)</f>
        <v>96.600000000000009</v>
      </c>
      <c r="H54" s="37"/>
      <c r="I54" s="37"/>
      <c r="J54" s="37"/>
      <c r="K54" s="61"/>
      <c r="L54" s="61"/>
      <c r="M54" s="38">
        <f ca="1">IFERROR(SUM(M42:M53),"")</f>
        <v>3.3543287034262903E-2</v>
      </c>
      <c r="N54" s="36" t="s">
        <v>229</v>
      </c>
      <c r="O54" s="39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655.20000000000005</v>
      </c>
      <c r="H55" s="41"/>
      <c r="I55" s="41"/>
      <c r="J55" s="41"/>
      <c r="K55" s="63"/>
      <c r="L55" s="63"/>
      <c r="M55" s="42">
        <f ca="1">IFERROR(M41+M54,"")</f>
        <v>4.4654398145373975E-2</v>
      </c>
      <c r="N55" s="40" t="s">
        <v>233</v>
      </c>
      <c r="O55" s="48">
        <f>IFERROR(O41+O54,"")</f>
        <v>766800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233</v>
      </c>
      <c r="O82" s="48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233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229</v>
      </c>
      <c r="O135" s="39"/>
    </row>
    <row r="136" spans="1:18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233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228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229</v>
      </c>
      <c r="O432" s="39"/>
    </row>
    <row r="433" spans="1:17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229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233</v>
      </c>
      <c r="O838" s="48">
        <f>IFERROR(O824+O837,"")</f>
        <v>0</v>
      </c>
    </row>
  </sheetData>
  <mergeCells count="92"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42:E325 E29:E40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2026-08-03T01:03:33Z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