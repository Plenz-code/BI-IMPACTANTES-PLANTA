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598" documentId="8_{AF585B22-221D-4780-BB9C-493D365A6A02}" xr6:coauthVersionLast="47" xr6:coauthVersionMax="47" xr10:uidLastSave="{0B753FD2-1DB1-4EBB-9CA9-297599299483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<sst xmlns="http://schemas.openxmlformats.org/spreadsheetml/2006/main" count="11546" uniqueCount="422">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</sst>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85781028</v>
      </c>
      <c r="D35" s="13">
        <f>IFERROR(SUM(D4:D34),"")</f>
        <v>34599800</v>
      </c>
      <c r="E35" s="13">
        <f>IFERROR(SUM(E4:E34),"")</f>
        <v>19704660</v>
      </c>
      <c r="F35" s="13">
        <f>IFERROR(SUM(F4:F34),"")</f>
        <v>36003260</v>
      </c>
      <c r="G35" s="13">
        <f>IFERROR(SUM(G4:G34),"")</f>
        <v>90307720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46" activePane="bottomLeft" state="frozen"/>
      <selection pane="bottomLeft" activeCell="F762" sqref="F76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98</v>
      </c>
      <c r="G770" s="36">
        <f>SUM(G758:G769)</f>
        <v>490</v>
      </c>
      <c r="H770" s="37"/>
      <c r="I770" s="37"/>
      <c r="J770" s="37"/>
      <c r="K770" s="37"/>
      <c r="L770" s="37"/>
      <c r="M770" s="38">
        <f ca="1">IFERROR(SUM(M758:M769),"")</f>
        <v>3.125E-2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490</v>
      </c>
      <c r="H784" s="41"/>
      <c r="I784" s="41"/>
      <c r="J784" s="41"/>
      <c r="K784" s="41"/>
      <c r="L784" s="41"/>
      <c r="M784" s="42">
        <f ca="1">IFERROR(M770+M783,"")</f>
        <v>3.125E-2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1" activePane="bottomLeft" state="frozen"/>
      <selection pane="bottomLeft" activeCell="F762" sqref="F76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0.22553599537059199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0.38317488425948087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0.49289710648170304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0.20400821759540122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0.37484155092873461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0.51998043981762354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326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327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328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330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331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332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333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335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336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259</v>
      </c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49</v>
      </c>
      <c r="G770" s="36">
        <f>SUM(G758:G769)</f>
        <v>205.79999999999998</v>
      </c>
      <c r="H770" s="37"/>
      <c r="I770" s="37"/>
      <c r="J770" s="37"/>
      <c r="K770" s="37"/>
      <c r="L770" s="37"/>
      <c r="M770" s="38">
        <f ca="1">IFERROR(SUM(M758:M769),"")</f>
        <v>4.4444444444444453E-2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49</v>
      </c>
      <c r="G784" s="40">
        <f>G770+G783</f>
        <v>205.79999999999998</v>
      </c>
      <c r="H784" s="41"/>
      <c r="I784" s="41"/>
      <c r="J784" s="41"/>
      <c r="K784" s="41"/>
      <c r="L784" s="41"/>
      <c r="M784" s="42">
        <f ca="1">IFERROR(M770+M783,"")</f>
        <v>4.4444444444444453E-2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54" zoomScale="50" zoomScaleNormal="50" workbookViewId="0">
      <selection activeCell="F762" sqref="F76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286</v>
      </c>
      <c r="K141" s="29">
        <v>0.71597222222222223</v>
      </c>
      <c r="L141" s="29" t="s">
        <v>342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344</v>
      </c>
      <c r="N166" s="27" t="s">
        <v>345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325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323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368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259</v>
      </c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12</v>
      </c>
      <c r="G770" s="36">
        <f>SUM(G758:G769)</f>
        <v>50.400000000000006</v>
      </c>
      <c r="H770" s="37"/>
      <c r="I770" s="37"/>
      <c r="J770" s="37"/>
      <c r="K770" s="37"/>
      <c r="L770" s="37"/>
      <c r="M770" s="38">
        <f ca="1">IFERROR(SUM(M758:M769),"")</f>
        <v>6.597222222222221E-2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12</v>
      </c>
      <c r="G784" s="40">
        <f>G770+G783</f>
        <v>50.400000000000006</v>
      </c>
      <c r="H784" s="41"/>
      <c r="I784" s="41"/>
      <c r="J784" s="41"/>
      <c r="K784" s="41"/>
      <c r="L784" s="41"/>
      <c r="M784" s="42">
        <f ca="1">IFERROR(M770+M783,"")</f>
        <v>6.597222222222221E-2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09" activePane="bottomLeft" state="frozen"/>
      <selection pane="bottomLeft" activeCell="F759" sqref="F75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373</v>
      </c>
      <c r="L58" s="29">
        <v>0.54097222222222219</v>
      </c>
      <c r="M58" s="30" t="str">
        <f t="shared" ca="1" si="13"/>
        <v/>
      </c>
      <c r="N58" s="27" t="s">
        <v>374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0.21581377315305872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0.41511932870861434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0.78248043981972537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281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323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420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421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/>
      <c r="M758" s="30">
        <f t="shared" ref="M758:M769" ca="1" si="169">IFERROR(IF(K758="","",IF(L758="",MOD(NOW()-K758,1),IF(L758&gt;=K758,L758-K758,L758+1-K758))),"")</f>
        <v>0.1734526620421093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0.1734526620421093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0.1734526620421093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2026-07-29T15:11:44Z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