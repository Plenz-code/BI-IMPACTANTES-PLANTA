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21" documentId="8_{AF585B22-221D-4780-BB9C-493D365A6A02}" xr6:coauthVersionLast="47" xr6:coauthVersionMax="47" xr10:uidLastSave="{6D276894-F076-486C-AF57-FEE74055479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<sst xmlns="http://schemas.openxmlformats.org/spreadsheetml/2006/main" count="5314" uniqueCount="303">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</sst>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92" activePane="bottomLeft" state="frozen"/>
      <selection pane="bottomLeft" activeCell="N312" sqref="N312:N3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38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255.5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9" activePane="bottomLeft" state="frozen"/>
      <selection pane="bottomLeft" activeCell="F314" sqref="F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/>
      <c r="M313" s="35">
        <f t="shared" ca="1" si="70"/>
        <v>2.4259606485429686E-2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22</v>
      </c>
      <c r="G324" s="36">
        <f>SUM(G312:G323)</f>
        <v>92.4</v>
      </c>
      <c r="H324" s="37"/>
      <c r="I324" s="37"/>
      <c r="J324" s="37"/>
      <c r="K324" s="37"/>
      <c r="L324" s="37"/>
      <c r="M324" s="38">
        <f ca="1">IFERROR(SUM(M312:M323),"")</f>
        <v>3.6759606485429752E-2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113</v>
      </c>
      <c r="G325" s="40">
        <f>G311+G324</f>
        <v>474.6</v>
      </c>
      <c r="H325" s="41"/>
      <c r="I325" s="41"/>
      <c r="J325" s="41"/>
      <c r="K325" s="41"/>
      <c r="L325" s="41"/>
      <c r="M325" s="42">
        <f ca="1">IFERROR(M311+M324,"")</f>
        <v>0.18745405092987416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F314" sqref="F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8.1898495373025071E-2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19</v>
      </c>
      <c r="G324" s="36">
        <f>SUM(G312:G323)</f>
        <v>79.800000000000011</v>
      </c>
      <c r="H324" s="37"/>
      <c r="I324" s="37"/>
      <c r="J324" s="37"/>
      <c r="K324" s="37"/>
      <c r="L324" s="37"/>
      <c r="M324" s="38">
        <f ca="1">IFERROR(SUM(M312:M323),"")</f>
        <v>8.1898495373025071E-2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88</v>
      </c>
      <c r="G325" s="40">
        <f>G311+G324</f>
        <v>374.40000000000003</v>
      </c>
      <c r="H325" s="41"/>
      <c r="I325" s="41"/>
      <c r="J325" s="41"/>
      <c r="K325" s="41"/>
      <c r="L325" s="41"/>
      <c r="M325" s="42">
        <f ca="1">IFERROR(M311+M324,"")</f>
        <v>0.1812040509285805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4" sqref="F31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281</v>
      </c>
      <c r="L58" s="29">
        <v>0.54097222222222219</v>
      </c>
      <c r="M58" s="30" t="str">
        <f t="shared" ca="1" si="13"/>
        <v/>
      </c>
      <c r="N58" s="27" t="s">
        <v>282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0.62912071759637911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0.82842627315193473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1.1957873842630458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/>
      <c r="G314" s="28" t="str">
        <f t="shared" si="69"/>
        <v/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35</v>
      </c>
      <c r="G324" s="36">
        <f>SUM(G312:G323)</f>
        <v>163</v>
      </c>
      <c r="H324" s="37"/>
      <c r="I324" s="37"/>
      <c r="J324" s="37"/>
      <c r="K324" s="61"/>
      <c r="L324" s="61"/>
      <c r="M324" s="38">
        <f ca="1">IFERROR(SUM(M312:M323),"")</f>
        <v>4.0277777777777746E-2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65</v>
      </c>
      <c r="G325" s="40">
        <f>G311+G324</f>
        <v>289</v>
      </c>
      <c r="H325" s="41"/>
      <c r="I325" s="41"/>
      <c r="J325" s="41"/>
      <c r="K325" s="63"/>
      <c r="L325" s="63"/>
      <c r="M325" s="42">
        <f ca="1">IFERROR(M311+M324,"")</f>
        <v>0.45347222222222228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2026-07-13T01:05:17Z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