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47" documentId="13_ncr:1_{A6DBCFB4-28D9-4249-9038-216934055CA6}" xr6:coauthVersionLast="47" xr6:coauthVersionMax="47" xr10:uidLastSave="{6FB5B6BA-6CE3-438D-B6FD-8BF2AAAB7280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<sst xmlns="http://schemas.openxmlformats.org/spreadsheetml/2006/main" count="9230" uniqueCount="405">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</sst>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P18" sqref="P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4967.05</v>
      </c>
      <c r="J35" s="32">
        <f>I35/H35</f>
        <v>0.80559574795042699</v>
      </c>
      <c r="K35" s="33">
        <f>SUM(K4:K34)</f>
        <v>450.78</v>
      </c>
      <c r="L35" s="34">
        <f>IFERROR(SUM(L4:L34),"")</f>
        <v>6042.6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8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J542" sqref="J54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/>
      <c r="M542" s="66">
        <f t="shared" ref="M542:M553" ca="1" si="117">IFERROR(IF(K542="","",IF(L542="",MOD(NOW()-K542,1),IF(L542&gt;=K542,L542-K542,L542+1-K542))),"")</f>
        <v>0.25025752314832062</v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0.25025752314832062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0.25025752314832062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46" sqref="G54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0.42039641203155043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0.55928530092043816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0.64400752314266096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274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338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339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42</v>
      </c>
      <c r="L543" s="70" t="s">
        <v>27</v>
      </c>
      <c r="M543" s="70" t="s">
        <v>48</v>
      </c>
      <c r="N543" s="70" t="s">
        <v>51</v>
      </c>
      <c r="O543" s="65">
        <v>0.4465277777777778</v>
      </c>
      <c r="P543" s="65"/>
      <c r="Q543" s="71">
        <f t="shared" ca="1" si="140"/>
        <v>9.5396412034460809E-2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29.400000000000002</v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25.200000000000003</v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28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117.60000000000001</v>
      </c>
      <c r="L554" s="72"/>
      <c r="M554" s="72"/>
      <c r="N554" s="72"/>
      <c r="O554" s="72"/>
      <c r="P554" s="72"/>
      <c r="Q554" s="73">
        <f ca="1">IFERROR(SUM(Q542:Q553),"")</f>
        <v>0.1092853009233497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117.60000000000001</v>
      </c>
      <c r="L568" s="76"/>
      <c r="M568" s="76"/>
      <c r="N568" s="76"/>
      <c r="O568" s="76"/>
      <c r="P568" s="76"/>
      <c r="Q568" s="77">
        <f ca="1">IFERROR(Q554+Q567,"")</f>
        <v>0.1092853009233497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G546" sqref="G54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340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340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340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342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343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344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345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347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348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349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350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351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353</v>
      </c>
      <c r="Q222" s="66" t="str">
        <f t="shared" ca="1" si="49"/>
        <v/>
      </c>
      <c r="R222" s="63" t="s">
        <v>354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355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356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357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358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359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360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360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361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362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347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363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364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365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366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0</v>
      </c>
      <c r="H542" s="101" t="str">
        <f>IFERROR(IF($G542="","",$G542*$S$554/$G$554/Cadastro!$E$33),"")</f>
        <v/>
      </c>
      <c r="I542" s="102">
        <f>IFERROR(IF($D542="","",VLOOKUP($D542,Cadastro!$C$4:$G$7,5,FALSE())),"")</f>
        <v>0.6</v>
      </c>
      <c r="J542" s="103" t="str">
        <f t="shared" ref="J542:J553" si="135">IFERROR(IF($H542="","",$H542*$F542*$I542),"")</f>
        <v/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/>
      <c r="Q542" s="66">
        <f t="shared" ref="Q542:Q553" ca="1" si="137">IFERROR(IF(O542="","",IF(P542="",MOD(NOW()-O542,1),IF(P542&gt;=O542,P542-O542,P542+1-O542))),"")</f>
        <v>0.25025752314832062</v>
      </c>
      <c r="R542" s="63" t="s">
        <v>367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0</v>
      </c>
      <c r="H543" s="88" t="str">
        <f>IFERROR(IF($G543="","",$G543*$S$554/$G$554/Cadastro!$E$33),"")</f>
        <v/>
      </c>
      <c r="I543" s="90">
        <f>IFERROR(IF($D543="","",VLOOKUP($D543,Cadastro!$C$4:$G$7,5,FALSE())),"")</f>
        <v>0.6</v>
      </c>
      <c r="J543" s="91" t="str">
        <f t="shared" si="135"/>
        <v/>
      </c>
      <c r="K543" s="69">
        <f t="shared" si="136"/>
        <v>0</v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0</v>
      </c>
      <c r="H544" s="88" t="str">
        <f>IFERROR(IF($G544="","",$G544*$S$554/$G$554/Cadastro!$E$33),"")</f>
        <v/>
      </c>
      <c r="I544" s="90">
        <f>IFERROR(IF($D544="","",VLOOKUP($D544,Cadastro!$C$4:$G$7,5,FALSE())),"")</f>
        <v>0.6</v>
      </c>
      <c r="J544" s="91" t="str">
        <f t="shared" si="135"/>
        <v/>
      </c>
      <c r="K544" s="64">
        <f t="shared" si="136"/>
        <v>0</v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0</v>
      </c>
      <c r="H545" s="88" t="str">
        <f>IFERROR(IF($G545="","",$G545*$S$554/$G$554/Cadastro!$E$33),"")</f>
        <v/>
      </c>
      <c r="I545" s="90">
        <f>IFERROR(IF($D545="","",VLOOKUP($D545,Cadastro!$C$4:$G$7,5,FALSE())),"")</f>
        <v>0.6</v>
      </c>
      <c r="J545" s="91" t="str">
        <f t="shared" si="135"/>
        <v/>
      </c>
      <c r="K545" s="69">
        <f t="shared" si="136"/>
        <v>0</v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0.25025752314832062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0.25025752314832062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G549" sqref="G54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340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340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340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340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362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274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0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274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8"/>
        <v>0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274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8"/>
        <v>0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274</v>
      </c>
      <c r="F545" s="88">
        <f>IFERROR(IF($D545="","",VLOOKUP($D545,Cadastro!$C$4:$E$7,3,FALSE())),"")</f>
        <v>0.24</v>
      </c>
      <c r="G545" s="89">
        <v>19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8"/>
        <v>0</v>
      </c>
      <c r="K545" s="69">
        <f t="shared" si="139"/>
        <v>79.8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274</v>
      </c>
      <c r="F546" s="88">
        <f>IFERROR(IF($D546="","",VLOOKUP($D546,Cadastro!$C$4:$E$7,3,FALSE())),"")</f>
        <v>0.24</v>
      </c>
      <c r="G546" s="89"/>
      <c r="H546" s="88" t="str">
        <f>IFERROR(IF($G546="","",$G546*$S$554/$G$554/Cadastro!$E$33),"")</f>
        <v/>
      </c>
      <c r="I546" s="90">
        <f>IFERROR(IF($D546="","",VLOOKUP($D546,Cadastro!$C$4:$G$7,5,FALSE())),"")</f>
        <v>0.6</v>
      </c>
      <c r="J546" s="91" t="str">
        <f t="shared" si="138"/>
        <v/>
      </c>
      <c r="K546" s="64" t="str">
        <f t="shared" si="139"/>
        <v/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274</v>
      </c>
      <c r="F547" s="88">
        <f>IFERROR(IF($D547="","",VLOOKUP($D547,Cadastro!$C$4:$E$7,3,FALSE())),"")</f>
        <v>0.24</v>
      </c>
      <c r="G547" s="89"/>
      <c r="H547" s="88" t="str">
        <f>IFERROR(IF($G547="","",$G547*$S$554/$G$554/Cadastro!$E$33),"")</f>
        <v/>
      </c>
      <c r="I547" s="90">
        <f>IFERROR(IF($D547="","",VLOOKUP($D547,Cadastro!$C$4:$G$7,5,FALSE())),"")</f>
        <v>0.6</v>
      </c>
      <c r="J547" s="91" t="str">
        <f t="shared" si="138"/>
        <v/>
      </c>
      <c r="K547" s="69" t="str">
        <f t="shared" si="139"/>
        <v/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274</v>
      </c>
      <c r="F548" s="88">
        <f>IFERROR(IF($D548="","",VLOOKUP($D548,Cadastro!$C$4:$E$7,3,FALSE())),"")</f>
        <v>0.24</v>
      </c>
      <c r="G548" s="89"/>
      <c r="H548" s="88" t="str">
        <f>IFERROR(IF($G548="","",$G548*$S$554/$G$554/Cadastro!$E$33),"")</f>
        <v/>
      </c>
      <c r="I548" s="90">
        <f>IFERROR(IF($D548="","",VLOOKUP($D548,Cadastro!$C$4:$G$7,5,FALSE())),"")</f>
        <v>0.6</v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274</v>
      </c>
      <c r="F549" s="88">
        <f>IFERROR(IF($D549="","",VLOOKUP($D549,Cadastro!$C$4:$E$7,3,FALSE())),"")</f>
        <v>0.24</v>
      </c>
      <c r="G549" s="89"/>
      <c r="H549" s="88" t="str">
        <f>IFERROR(IF($G549="","",$G549*$S$554/$G$554/Cadastro!$E$33),"")</f>
        <v/>
      </c>
      <c r="I549" s="90">
        <f>IFERROR(IF($D549="","",VLOOKUP($D549,Cadastro!$C$4:$G$7,5,FALSE())),"")</f>
        <v>0.6</v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274</v>
      </c>
      <c r="F550" s="88">
        <f>IFERROR(IF($D550="","",VLOOKUP($D550,Cadastro!$C$4:$E$7,3,FALSE())),"")</f>
        <v>0.24</v>
      </c>
      <c r="G550" s="89"/>
      <c r="H550" s="88" t="str">
        <f>IFERROR(IF($G550="","",$G550*$S$554/$G$554/Cadastro!$E$33),"")</f>
        <v/>
      </c>
      <c r="I550" s="90">
        <f>IFERROR(IF($D550="","",VLOOKUP($D550,Cadastro!$C$4:$G$7,5,FALSE())),"")</f>
        <v>0.6</v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274</v>
      </c>
      <c r="F551" s="88">
        <f>IFERROR(IF($D551="","",VLOOKUP($D551,Cadastro!$C$4:$E$7,3,FALSE())),"")</f>
        <v>0.24</v>
      </c>
      <c r="G551" s="89"/>
      <c r="H551" s="88" t="str">
        <f>IFERROR(IF($G551="","",$G551*$S$554/$G$554/Cadastro!$E$33),"")</f>
        <v/>
      </c>
      <c r="I551" s="90">
        <f>IFERROR(IF($D551="","",VLOOKUP($D551,Cadastro!$C$4:$G$7,5,FALSE())),"")</f>
        <v>0.6</v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274</v>
      </c>
      <c r="F552" s="88">
        <f>IFERROR(IF($D552="","",VLOOKUP($D552,Cadastro!$C$4:$E$7,3,FALSE())),"")</f>
        <v>0.24</v>
      </c>
      <c r="G552" s="89"/>
      <c r="H552" s="88" t="str">
        <f>IFERROR(IF($G552="","",$G552*$S$554/$G$554/Cadastro!$E$33),"")</f>
        <v/>
      </c>
      <c r="I552" s="90">
        <f>IFERROR(IF($D552="","",VLOOKUP($D552,Cadastro!$C$4:$G$7,5,FALSE())),"")</f>
        <v>0.6</v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274</v>
      </c>
      <c r="F553" s="92">
        <f>IFERROR(IF($D553="","",VLOOKUP($D553,Cadastro!$C$4:$E$7,3,FALSE())),"")</f>
        <v>0.24</v>
      </c>
      <c r="G553" s="89"/>
      <c r="H553" s="92" t="str">
        <f>IFERROR(IF($G553="","",$G553*$S$554/$G$554/Cadastro!$E$33),"")</f>
        <v/>
      </c>
      <c r="I553" s="93">
        <f>IFERROR(IF($D553="","",VLOOKUP($D553,Cadastro!$C$4:$G$7,5,FALSE())),"")</f>
        <v>0.6</v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69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289.8</v>
      </c>
      <c r="L554" s="72"/>
      <c r="M554" s="72"/>
      <c r="N554" s="72"/>
      <c r="O554" s="134"/>
      <c r="P554" s="134"/>
      <c r="Q554" s="73">
        <f ca="1">IFERROR(SUM(Q542:Q553),"")</f>
        <v>8.6111111111111083E-2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69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289.8</v>
      </c>
      <c r="L568" s="76"/>
      <c r="M568" s="76"/>
      <c r="N568" s="76"/>
      <c r="O568" s="135"/>
      <c r="P568" s="135"/>
      <c r="Q568" s="77">
        <f ca="1">IFERROR(Q554+Q567,"")</f>
        <v>8.6111111111111083E-2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2026-08-21T17:01:37Z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