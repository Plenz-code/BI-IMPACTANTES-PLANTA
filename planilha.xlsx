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40" documentId="8_{C51EB6CB-002B-4D6B-B68F-DDEBDB4460C0}" xr6:coauthVersionLast="47" xr6:coauthVersionMax="47" xr10:uidLastSave="{9686043F-1FA0-4185-8BEA-066F7DC826F5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<sst xmlns="http://schemas.openxmlformats.org/spreadsheetml/2006/main" count="3446" uniqueCount="284">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</sst>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26" activePane="bottomLeft" state="frozen"/>
      <selection pane="bottomLeft" activeCell="L151" sqref="L15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28</v>
      </c>
      <c r="G150" s="28">
        <f t="shared" ref="G150:G161" si="33">IF(F150="","",IF(E150="PC 17",F150*4.2,IF(E150="PC 19",F150*5,IF(E150="CB",F150*35,""))))</f>
        <v>140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28</v>
      </c>
      <c r="G162" s="36">
        <f>SUM(G150:G161)</f>
        <v>140</v>
      </c>
      <c r="H162" s="37"/>
      <c r="I162" s="37"/>
      <c r="J162" s="37"/>
      <c r="K162" s="37"/>
      <c r="L162" s="37"/>
      <c r="M162" s="38">
        <f ca="1">IFERROR(SUM(M150:M161),"")</f>
        <v>3.3333333333333326E-2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317</v>
      </c>
      <c r="G163" s="40">
        <f>G149+G162</f>
        <v>1585</v>
      </c>
      <c r="H163" s="41"/>
      <c r="I163" s="41"/>
      <c r="J163" s="41"/>
      <c r="K163" s="41"/>
      <c r="L163" s="41"/>
      <c r="M163" s="42">
        <f ca="1">IFERROR(M149+M162,"")</f>
        <v>0.13194444444444448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51" sqref="F1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0.72962766203272622</v>
      </c>
      <c r="N53" s="46" t="s">
        <v>253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0.86851655092161506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0.95323877314383743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255</v>
      </c>
      <c r="E83" s="59" t="s">
        <v>244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256</v>
      </c>
      <c r="M96" s="30" t="str">
        <f t="shared" ref="M96:M107" ca="1" si="22">IFERROR(IF(K96="","",IF(L96="",MOD(NOW()-K96,1),IF(L96&gt;=K96,L96-K96,L96+1-K96))),"")</f>
        <v/>
      </c>
      <c r="N96" s="46" t="s">
        <v>257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244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244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244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244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244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244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244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244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244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</v>
      </c>
      <c r="G162" s="36">
        <f>SUM(G150:G161)</f>
        <v>71.400000000000006</v>
      </c>
      <c r="H162" s="37"/>
      <c r="I162" s="37"/>
      <c r="J162" s="37"/>
      <c r="K162" s="37"/>
      <c r="L162" s="37"/>
      <c r="M162" s="38">
        <f ca="1">IFERROR(SUM(M150:M161),"")</f>
        <v>2.0138888888888928E-2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157</v>
      </c>
      <c r="G163" s="40">
        <f>G149+G162</f>
        <v>659.4</v>
      </c>
      <c r="H163" s="41"/>
      <c r="I163" s="41"/>
      <c r="J163" s="41"/>
      <c r="K163" s="41"/>
      <c r="L163" s="41"/>
      <c r="M163" s="42">
        <f ca="1">IFERROR(M149+M162,"")</f>
        <v>0.19583333333333336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51" sqref="F1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4</v>
      </c>
      <c r="G162" s="36">
        <f>SUM(G150:G161)</f>
        <v>16.8</v>
      </c>
      <c r="H162" s="37"/>
      <c r="I162" s="37"/>
      <c r="J162" s="37"/>
      <c r="K162" s="37"/>
      <c r="L162" s="37"/>
      <c r="M162" s="38">
        <f ca="1">IFERROR(SUM(M150:M161),"")</f>
        <v>2.0138888888888928E-2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37</v>
      </c>
      <c r="G163" s="40">
        <f>G149+G162</f>
        <v>155.4</v>
      </c>
      <c r="H163" s="41"/>
      <c r="I163" s="41"/>
      <c r="J163" s="41"/>
      <c r="K163" s="41"/>
      <c r="L163" s="41"/>
      <c r="M163" s="42">
        <f ca="1">IFERROR(M149+M162,"")</f>
        <v>0.1736111111111111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1" sqref="F1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10</v>
      </c>
      <c r="G162" s="36">
        <f>SUM(G150:G161)</f>
        <v>42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192</v>
      </c>
      <c r="G163" s="40">
        <f>G149+G162</f>
        <v>806.40000000000009</v>
      </c>
      <c r="H163" s="41"/>
      <c r="I163" s="41"/>
      <c r="J163" s="41"/>
      <c r="K163" s="63"/>
      <c r="L163" s="63"/>
      <c r="M163" s="42">
        <f ca="1">IFERROR(M149+M162,"")</f>
        <v>9.4444444444444386E-2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2026-08-07T00:26:14Z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