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90" documentId="8_{AF585B22-221D-4780-BB9C-493D365A6A02}" xr6:coauthVersionLast="47" xr6:coauthVersionMax="47" xr10:uidLastSave="{41886E99-5A9D-4EA5-9DD6-7A0D51D368AD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98" i="3" l="1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<sst xmlns="http://schemas.openxmlformats.org/spreadsheetml/2006/main" count="12115" uniqueCount="437">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</sst>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71" activePane="bottomLeft" state="frozen"/>
      <selection pane="bottomLeft" activeCell="H797" sqref="G797:H7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0.11829282407416031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0.16134837962971582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233</v>
      </c>
      <c r="F799" s="27"/>
      <c r="G799" s="28" t="str">
        <f t="shared" si="176"/>
        <v/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/>
      <c r="G800" s="28" t="str">
        <f t="shared" si="176"/>
        <v/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28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35</v>
      </c>
      <c r="G810" s="36">
        <f>SUM(G798:G809)</f>
        <v>175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326</v>
      </c>
      <c r="G811" s="40">
        <f>G797+G810</f>
        <v>175</v>
      </c>
      <c r="H811" s="41"/>
      <c r="I811" s="41"/>
      <c r="J811" s="41"/>
      <c r="K811" s="41"/>
      <c r="L811" s="41"/>
      <c r="M811" s="42">
        <f ca="1">IFERROR(M797+M810,"")</f>
        <v>0.16134837962971582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 G797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1" activePane="bottomLeft" state="frozen"/>
      <selection pane="bottomLeft" activeCell="F799" sqref="F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0.63218171295739012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0.789820601846279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0.89954282406850117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0.61065393518219935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0.78148726851553274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0.92662615740442167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23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177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8" zoomScale="50" zoomScaleNormal="50" workbookViewId="0">
      <selection activeCell="F799" sqref="F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4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98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K799" sqref="K7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0.62245949073985685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0.82176504629541247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1.1891261574065235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/>
      <c r="E798" s="59"/>
      <c r="F798" s="27"/>
      <c r="G798" s="28"/>
      <c r="H798" s="26"/>
      <c r="I798" s="26"/>
      <c r="J798" s="26"/>
      <c r="K798" s="29">
        <v>0.79166666666666663</v>
      </c>
      <c r="L798" s="29"/>
      <c r="M798" s="30">
        <f t="shared" ref="M798:M809" ca="1" si="177">IFERROR(IF(K798="","",IF(L798="",MOD(NOW()-K798,1),IF(L798&gt;=K798,L798-K798,L798+1-K798))),"")</f>
        <v>8.0098379628907423E-2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8.0098379628907423E-2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0.52940393518446283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2026-07-31T00:55:41Z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