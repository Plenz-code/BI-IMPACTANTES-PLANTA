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0" documentId="8_{AF585B22-221D-4780-BB9C-493D365A6A02}" xr6:coauthVersionLast="47" xr6:coauthVersionMax="47" xr10:uidLastSave="{E876BF85-5ED7-4830-9D80-CF808D39CF8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<sst xmlns="http://schemas.openxmlformats.org/spreadsheetml/2006/main" count="1484" uniqueCount="206">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</sst>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4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188</v>
      </c>
      <c r="E2" s="59" t="s">
        <v>189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192</v>
      </c>
      <c r="O27" s="39">
        <v>1183060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189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9.3862268549855798E-3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189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189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189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189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189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189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189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189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55</v>
      </c>
      <c r="H41" s="37"/>
      <c r="I41" s="37"/>
      <c r="J41" s="37"/>
      <c r="K41" s="37"/>
      <c r="L41" s="37"/>
      <c r="M41" s="38">
        <f ca="1">IFERROR(SUM(M29:M40),"")</f>
        <v>5.6608449077207801E-2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55</v>
      </c>
      <c r="H55" s="41"/>
      <c r="I55" s="41"/>
      <c r="J55" s="41"/>
      <c r="K55" s="41"/>
      <c r="L55" s="41"/>
      <c r="M55" s="42">
        <f ca="1">IFERROR(M41+M54,"")</f>
        <v>5.6608449077207801E-2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4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192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192</v>
      </c>
      <c r="O27" s="90">
        <v>393200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195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197</v>
      </c>
      <c r="M29" s="35" t="str">
        <f t="shared" ref="M29:M40" ca="1" si="7">IFERROR(IF(K29="","",IF(L29="",MOD(NOW()-K29,1),IF(L29&gt;=K29,L29-K29,L29+1-K29))),"")</f>
        <v/>
      </c>
      <c r="N29" s="46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/>
      <c r="M30" s="30">
        <f t="shared" ca="1" si="7"/>
        <v>3.8306712958728895E-3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3.8306712958728895E-3</v>
      </c>
      <c r="N41" s="36" t="s">
        <v>192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54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3.8306712958728895E-3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54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54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54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5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192</v>
      </c>
      <c r="O27" s="39">
        <v>308500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9.6886226856440771E-2</v>
      </c>
      <c r="N29" s="27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9.6886226856440771E-2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9.6886226856440771E-2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39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N29" sqref="N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192</v>
      </c>
      <c r="O27" s="39">
        <v>202230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4.8275115739670582E-2</v>
      </c>
      <c r="N29" s="27" t="s">
        <v>205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4.8275115739670582E-2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4.8275115739670582E-2</v>
      </c>
      <c r="N55" s="40" t="s">
        <v>195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192</v>
      </c>
      <c r="O432" s="39"/>
    </row>
    <row r="433" spans="1:17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2026-07-02T13:21:10Z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