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528" documentId="8_{AF585B22-221D-4780-BB9C-493D365A6A02}" xr6:coauthVersionLast="47" xr6:coauthVersionMax="47" xr10:uidLastSave="{F35DE953-29C0-4305-BBE9-930AF0F3B879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<sst xmlns="http://schemas.openxmlformats.org/spreadsheetml/2006/main" count="9130" uniqueCount="377">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</sst>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5" sqref="G25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1630000</v>
      </c>
      <c r="D25" s="11">
        <f>IFERROR('Linha 1'!O595,"")</f>
        <v>966000</v>
      </c>
      <c r="E25" s="11">
        <f>IFERROR('Linha 2'!O595,"")</f>
        <v>222600</v>
      </c>
      <c r="F25" s="11">
        <f>IFERROR('Linha 3'!O595,"")</f>
        <v>0</v>
      </c>
      <c r="G25" s="12">
        <f t="shared" si="0"/>
        <v>1188600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66223351</v>
      </c>
      <c r="D35" s="13">
        <f>IFERROR(SUM(D4:D34),"")</f>
        <v>26460250</v>
      </c>
      <c r="E35" s="13">
        <f>IFERROR(SUM(E4:E34),"")</f>
        <v>14550490</v>
      </c>
      <c r="F35" s="13">
        <f>IFERROR(SUM(F4:F34),"")</f>
        <v>28724440</v>
      </c>
      <c r="G35" s="13">
        <f>IFERROR(SUM(G4:G34),"")</f>
        <v>69735180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62" activePane="bottomLeft" state="frozen"/>
      <selection pane="bottomLeft" activeCell="J583" sqref="J58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228</v>
      </c>
      <c r="E2" s="59" t="s">
        <v>229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230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229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229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229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229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229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229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229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229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229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229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229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231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232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229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229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229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229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229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229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229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229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229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229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229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233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232</v>
      </c>
      <c r="O27" s="39">
        <v>1183060</v>
      </c>
    </row>
    <row r="28" spans="1:15" ht="18" customHeight="1">
      <c r="A28" s="102" t="s">
        <v>234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235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229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229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236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229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229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229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229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229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229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231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232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229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229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229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229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229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229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229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229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229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229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233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232</v>
      </c>
      <c r="O54" s="39">
        <v>959290</v>
      </c>
    </row>
    <row r="55" spans="1:15" ht="18" customHeight="1">
      <c r="A55" s="102" t="s">
        <v>234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235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229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229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229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229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229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229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229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229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229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229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229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229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231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232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229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229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237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229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229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229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229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229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229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233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232</v>
      </c>
      <c r="O81" s="39">
        <v>878050</v>
      </c>
    </row>
    <row r="82" spans="1:15" ht="18" customHeight="1">
      <c r="A82" s="102" t="s">
        <v>234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235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229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238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229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229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229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229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229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229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229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229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231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232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239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233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232</v>
      </c>
      <c r="O108" s="39">
        <v>1700000</v>
      </c>
    </row>
    <row r="109" spans="1:15" ht="18" customHeight="1">
      <c r="A109" s="102" t="s">
        <v>234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235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229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229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229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229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229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229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229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229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229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229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229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231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232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229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233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232</v>
      </c>
      <c r="O135" s="39">
        <v>862330</v>
      </c>
    </row>
    <row r="136" spans="1:15" ht="18" customHeight="1">
      <c r="A136" s="102" t="s">
        <v>234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235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229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229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229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229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229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229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229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229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231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232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229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229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229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229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229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229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229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229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229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229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229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229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233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232</v>
      </c>
      <c r="O162" s="44">
        <v>1546080</v>
      </c>
    </row>
    <row r="163" spans="1:15" ht="18" customHeight="1">
      <c r="A163" s="102" t="s">
        <v>234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235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229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229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229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229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229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229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229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229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229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229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231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232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229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229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229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229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229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229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229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229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229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229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229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229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233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232</v>
      </c>
      <c r="O189" s="39">
        <v>2355810</v>
      </c>
    </row>
    <row r="190" spans="1:15" ht="18" customHeight="1">
      <c r="A190" s="102" t="s">
        <v>234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235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229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229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229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229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229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229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229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229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229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229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229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229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231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232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229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229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229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229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229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229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229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229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229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229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229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229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233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232</v>
      </c>
      <c r="O216" s="45">
        <v>2013260</v>
      </c>
    </row>
    <row r="217" spans="1:15" ht="18" customHeight="1">
      <c r="A217" s="102" t="s">
        <v>234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235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229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240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229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229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229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229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229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229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229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229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229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229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231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232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229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229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229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229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229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229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229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229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229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229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229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229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233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232</v>
      </c>
      <c r="O243" s="39">
        <v>1545480</v>
      </c>
    </row>
    <row r="244" spans="1:15" ht="18" customHeight="1">
      <c r="A244" s="102" t="s">
        <v>234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235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229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241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229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229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229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229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229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229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229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229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229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229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229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231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232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229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229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229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229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229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229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229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229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229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229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229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229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233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232</v>
      </c>
      <c r="O270" s="39">
        <v>1182690</v>
      </c>
    </row>
    <row r="271" spans="1:15" ht="18" customHeight="1">
      <c r="A271" s="102" t="s">
        <v>234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235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229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229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229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229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229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229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229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229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229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229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229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229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231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232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229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242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229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229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229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229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229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243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229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243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229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243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229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243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229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243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229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243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229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243</v>
      </c>
      <c r="O296" s="47"/>
    </row>
    <row r="297" spans="1:15" ht="15.75" customHeight="1">
      <c r="A297" s="99" t="s">
        <v>233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232</v>
      </c>
      <c r="O297" s="39">
        <v>1843460</v>
      </c>
    </row>
    <row r="298" spans="1:15" ht="18" customHeight="1">
      <c r="A298" s="102" t="s">
        <v>234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235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244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229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229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245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229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229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229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229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229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229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229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229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231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232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229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246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229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246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246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246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229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246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233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232</v>
      </c>
      <c r="O324" s="39">
        <v>1940000</v>
      </c>
    </row>
    <row r="325" spans="1:15" ht="18" customHeight="1">
      <c r="A325" s="102" t="s">
        <v>234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235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229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229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229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229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229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229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229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229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229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229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229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231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232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229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229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229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229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229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229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229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229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229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229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229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229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233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232</v>
      </c>
      <c r="O351" s="39">
        <v>701874</v>
      </c>
    </row>
    <row r="352" spans="1:15" ht="18" customHeight="1">
      <c r="A352" s="102" t="s">
        <v>234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235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248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229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229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229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229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229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229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229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229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229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229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229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231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232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229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229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229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229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229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229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229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229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229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229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229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233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232</v>
      </c>
      <c r="O378" s="39">
        <v>1088710</v>
      </c>
    </row>
    <row r="379" spans="1:15" ht="18" customHeight="1">
      <c r="A379" s="102" t="s">
        <v>234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235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229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229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249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229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250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229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229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229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229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229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229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229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229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231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232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229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229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229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251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229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229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229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229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229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229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229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229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229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233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232</v>
      </c>
      <c r="O405" s="39">
        <v>1202270</v>
      </c>
    </row>
    <row r="406" spans="1:15" ht="18" customHeight="1">
      <c r="A406" s="102" t="s">
        <v>234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235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229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252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229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229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253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229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229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229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229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229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229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254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254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229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229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231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232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229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229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229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229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229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229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229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229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229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229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229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229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233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232</v>
      </c>
      <c r="O432" s="39">
        <v>1801910</v>
      </c>
    </row>
    <row r="433" spans="1:15" ht="18" customHeight="1">
      <c r="A433" s="102" t="s">
        <v>234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235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229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229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229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229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229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229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229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229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229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231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232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256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256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256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256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256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256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256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256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256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256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256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256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233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232</v>
      </c>
      <c r="O459" s="39">
        <v>2675000</v>
      </c>
    </row>
    <row r="460" spans="1:15" ht="18" customHeight="1">
      <c r="A460" s="102" t="s">
        <v>234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235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229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229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231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232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229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233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232</v>
      </c>
      <c r="O486" s="39">
        <v>2310070</v>
      </c>
    </row>
    <row r="487" spans="1:15" ht="18" customHeight="1">
      <c r="A487" s="102" t="s">
        <v>234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256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256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229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229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229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229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229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231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232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229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229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229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229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229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229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229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229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229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229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229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233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232</v>
      </c>
      <c r="O513" s="39">
        <v>1298429</v>
      </c>
    </row>
    <row r="514" spans="1:15" ht="18" customHeight="1">
      <c r="A514" s="102" t="s">
        <v>234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235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257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229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229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229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229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229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229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229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229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229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229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229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231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232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229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229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258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229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229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229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229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229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229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229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229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229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233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232</v>
      </c>
      <c r="O540" s="39">
        <v>1240140</v>
      </c>
    </row>
    <row r="541" spans="1:15" ht="18" customHeight="1">
      <c r="A541" s="102" t="s">
        <v>234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235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229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259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229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229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229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229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229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229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229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229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229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229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229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231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232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229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229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229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229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229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229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229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229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229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229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229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229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233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232</v>
      </c>
      <c r="O567" s="39">
        <v>1482110</v>
      </c>
    </row>
    <row r="568" spans="1:15" ht="18" customHeight="1">
      <c r="A568" s="102" t="s">
        <v>234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235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229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229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229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229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229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229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231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232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229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229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/>
      <c r="M583" s="35">
        <f t="shared" ca="1" si="130"/>
        <v>6.0468865740403999E-2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229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229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229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229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256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229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229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229</v>
      </c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229</v>
      </c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229</v>
      </c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233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7.4357754629292838E-2</v>
      </c>
      <c r="N594" s="36" t="s">
        <v>232</v>
      </c>
      <c r="O594" s="39"/>
    </row>
    <row r="595" spans="1:15" ht="18" customHeight="1">
      <c r="A595" s="102" t="s">
        <v>234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0.13269108796262613</v>
      </c>
      <c r="N595" s="40" t="s">
        <v>235</v>
      </c>
      <c r="O595" s="48">
        <f>IFERROR(O581+O594,"")</f>
        <v>1630000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231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232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233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232</v>
      </c>
      <c r="O621" s="39"/>
    </row>
    <row r="622" spans="1:15" ht="18" customHeight="1">
      <c r="A622" s="102" t="s">
        <v>234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231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232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233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232</v>
      </c>
      <c r="O648" s="39"/>
    </row>
    <row r="649" spans="1:15" ht="18" customHeight="1">
      <c r="A649" s="102" t="s">
        <v>234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231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232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233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232</v>
      </c>
      <c r="O675" s="39"/>
    </row>
    <row r="676" spans="1:15" ht="18" customHeight="1">
      <c r="A676" s="102" t="s">
        <v>234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231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232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233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232</v>
      </c>
      <c r="O702" s="39"/>
    </row>
    <row r="703" spans="1:15" ht="18" customHeight="1">
      <c r="A703" s="102" t="s">
        <v>234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231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232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233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232</v>
      </c>
      <c r="O729" s="39"/>
    </row>
    <row r="730" spans="1:15" ht="18" customHeight="1">
      <c r="A730" s="102" t="s">
        <v>234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231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232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233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232</v>
      </c>
      <c r="O756" s="39"/>
    </row>
    <row r="757" spans="1:15" ht="18" customHeight="1">
      <c r="A757" s="102" t="s">
        <v>234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231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232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233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232</v>
      </c>
      <c r="O783" s="39"/>
    </row>
    <row r="784" spans="1:15" ht="18" customHeight="1">
      <c r="A784" s="102" t="s">
        <v>234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231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232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233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232</v>
      </c>
      <c r="O810" s="39"/>
    </row>
    <row r="811" spans="1:15" ht="18" customHeight="1">
      <c r="A811" s="59" t="s">
        <v>229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68" activePane="bottomLeft" state="frozen"/>
      <selection pane="bottomLeft" activeCell="F591" sqref="F59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256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256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231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232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256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233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232</v>
      </c>
      <c r="O27" s="77">
        <v>393200</v>
      </c>
    </row>
    <row r="28" spans="1:15" ht="18" customHeight="1">
      <c r="A28" s="102" t="s">
        <v>234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235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260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231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232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261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256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233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232</v>
      </c>
      <c r="O54" s="84">
        <v>276360</v>
      </c>
    </row>
    <row r="55" spans="1:15" ht="18" customHeight="1">
      <c r="A55" s="102" t="s">
        <v>234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235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262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263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231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232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256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233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232</v>
      </c>
      <c r="O81" s="54">
        <v>787860</v>
      </c>
    </row>
    <row r="82" spans="1:15" ht="18" customHeight="1">
      <c r="A82" s="102" t="s">
        <v>234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235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264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229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229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229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229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231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232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265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266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267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233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232</v>
      </c>
      <c r="O108" s="54">
        <v>1087080</v>
      </c>
    </row>
    <row r="109" spans="1:15" ht="18" customHeight="1">
      <c r="A109" s="102" t="s">
        <v>234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235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268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231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232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229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269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229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229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247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229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270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229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229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229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271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229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233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232</v>
      </c>
      <c r="O135" s="54">
        <v>794480</v>
      </c>
    </row>
    <row r="136" spans="1:15" ht="18" customHeight="1">
      <c r="A136" s="102" t="s">
        <v>234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235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229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229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272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229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273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229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229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229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229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231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232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229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274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229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233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232</v>
      </c>
      <c r="O162" s="54">
        <v>882280</v>
      </c>
    </row>
    <row r="163" spans="1:15" ht="18" customHeight="1">
      <c r="A163" s="102" t="s">
        <v>234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235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231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232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233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232</v>
      </c>
      <c r="O189" s="77"/>
    </row>
    <row r="190" spans="1:15" ht="18" customHeight="1">
      <c r="A190" s="102" t="s">
        <v>234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235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231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232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229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276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277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233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232</v>
      </c>
      <c r="O216" s="77">
        <v>648410</v>
      </c>
    </row>
    <row r="217" spans="1:15" ht="18" customHeight="1">
      <c r="A217" s="102" t="s">
        <v>234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235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278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279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231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232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229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280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256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256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274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233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232</v>
      </c>
      <c r="O243" s="77">
        <v>849060</v>
      </c>
    </row>
    <row r="244" spans="1:15" ht="18" customHeight="1">
      <c r="A244" s="102" t="s">
        <v>234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235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281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231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232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229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233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232</v>
      </c>
      <c r="O270" s="77">
        <v>625070</v>
      </c>
    </row>
    <row r="271" spans="1:15" ht="18" customHeight="1">
      <c r="A271" s="102" t="s">
        <v>234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235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282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283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256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256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256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231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232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256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256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284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256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256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229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256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256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256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256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256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256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233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232</v>
      </c>
      <c r="O297" s="77">
        <v>761660</v>
      </c>
    </row>
    <row r="298" spans="1:15" ht="18" customHeight="1">
      <c r="A298" s="102" t="s">
        <v>234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235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256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256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256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285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256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256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256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256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256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231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232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256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256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286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256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256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256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256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256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256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256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256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229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233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232</v>
      </c>
      <c r="O324" s="77">
        <v>524410</v>
      </c>
    </row>
    <row r="325" spans="1:15" ht="18" customHeight="1">
      <c r="A325" s="102" t="s">
        <v>234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235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256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256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256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256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229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256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256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256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256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256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256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256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231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232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256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256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289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256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256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290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256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256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256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233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232</v>
      </c>
      <c r="O351" s="77">
        <v>598420</v>
      </c>
    </row>
    <row r="352" spans="1:15" ht="18" customHeight="1">
      <c r="A352" s="102" t="s">
        <v>234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235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256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256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256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256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256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256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256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256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256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256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231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232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256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256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256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256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256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256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256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256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5.2199073252268136E-5</v>
      </c>
      <c r="N377" s="46"/>
      <c r="O377" s="47"/>
    </row>
    <row r="378" spans="1:15" ht="15.75" customHeight="1">
      <c r="A378" s="99" t="s">
        <v>233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0.15769108796214115</v>
      </c>
      <c r="N378" s="36" t="s">
        <v>232</v>
      </c>
      <c r="O378" s="77">
        <v>511980</v>
      </c>
    </row>
    <row r="379" spans="1:15" ht="18" customHeight="1">
      <c r="A379" s="102" t="s">
        <v>234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0.26741331018436332</v>
      </c>
      <c r="N379" s="40" t="s">
        <v>235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256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256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256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256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274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256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291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256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256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256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256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256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256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256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231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232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256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292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256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247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256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256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256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256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256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256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256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256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256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256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233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232</v>
      </c>
      <c r="O405" s="77">
        <v>552440</v>
      </c>
    </row>
    <row r="406" spans="1:15" ht="18" customHeight="1">
      <c r="A406" s="102" t="s">
        <v>234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235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256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256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256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256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256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256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256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256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229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229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256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256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231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232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256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256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293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256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256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0.9785244212980615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256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256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256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256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256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256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256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256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233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1.1493577546313949</v>
      </c>
      <c r="N432" s="36" t="s">
        <v>232</v>
      </c>
      <c r="O432" s="77">
        <v>484540</v>
      </c>
    </row>
    <row r="433" spans="1:15" ht="18" customHeight="1">
      <c r="A433" s="93" t="s">
        <v>234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1.2944966435202838</v>
      </c>
      <c r="N433" s="40" t="s">
        <v>235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256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256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256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295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256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256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256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256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256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256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256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256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256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231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232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229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229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296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229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229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229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229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229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229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229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229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229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229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233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232</v>
      </c>
      <c r="O459" s="77">
        <v>631190</v>
      </c>
    </row>
    <row r="460" spans="1:15" ht="18" customHeight="1">
      <c r="A460" s="102" t="s">
        <v>234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235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229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297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229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229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229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298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229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299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229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229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229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229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229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229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229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231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232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229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229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300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229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229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229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229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229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229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229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229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229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229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233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232</v>
      </c>
      <c r="O486" s="77">
        <v>969510</v>
      </c>
    </row>
    <row r="487" spans="1:15" ht="18" customHeight="1">
      <c r="A487" s="102" t="s">
        <v>234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235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229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229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229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229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301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229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256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256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256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256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256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256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256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231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232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256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229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256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256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256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256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256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256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256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256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256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256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233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232</v>
      </c>
      <c r="O513" s="77">
        <v>556040</v>
      </c>
    </row>
    <row r="514" spans="1:15" ht="18" customHeight="1">
      <c r="A514" s="93" t="s">
        <v>234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235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256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256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256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256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256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256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256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256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302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256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256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256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256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231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232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256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256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256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256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256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256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256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256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256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256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256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256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233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232</v>
      </c>
      <c r="O540" s="77">
        <v>548610</v>
      </c>
    </row>
    <row r="541" spans="1:15" ht="18" customHeight="1">
      <c r="A541" s="102" t="s">
        <v>234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235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256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256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303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256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256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256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256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256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256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256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256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256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256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231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232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256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256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256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256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256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304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256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256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256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256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256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256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256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233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232</v>
      </c>
      <c r="O567" s="77">
        <v>722660</v>
      </c>
    </row>
    <row r="568" spans="1:15" ht="18" customHeight="1">
      <c r="A568" s="102" t="s">
        <v>234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235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256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256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256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256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256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256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256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256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256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256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305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256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256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231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232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256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229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256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256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256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256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256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256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256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256</v>
      </c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256</v>
      </c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256</v>
      </c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233</v>
      </c>
      <c r="B594" s="100"/>
      <c r="C594" s="100"/>
      <c r="D594" s="100"/>
      <c r="E594" s="101">
        <f>SUM(E582:E593)</f>
        <v>0</v>
      </c>
      <c r="F594" s="36">
        <f>SUM(F582:F593)</f>
        <v>124</v>
      </c>
      <c r="G594" s="36">
        <f>SUM(G582:G593)</f>
        <v>529.59999999999991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232</v>
      </c>
      <c r="O594" s="77"/>
    </row>
    <row r="595" spans="1:15" ht="18" customHeight="1">
      <c r="A595" s="102" t="s">
        <v>234</v>
      </c>
      <c r="B595" s="103"/>
      <c r="C595" s="103"/>
      <c r="D595" s="103"/>
      <c r="E595" s="104">
        <f>E581+E594</f>
        <v>0</v>
      </c>
      <c r="F595" s="40">
        <f>F581+F594</f>
        <v>354</v>
      </c>
      <c r="G595" s="40">
        <f>G581+G594</f>
        <v>1495.6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235</v>
      </c>
      <c r="O595" s="83">
        <f>IFERROR(O581+O594,"")</f>
        <v>966000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231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232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233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232</v>
      </c>
      <c r="O621" s="77"/>
    </row>
    <row r="622" spans="1:15" ht="18" customHeight="1">
      <c r="A622" s="102" t="s">
        <v>234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231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232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233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232</v>
      </c>
      <c r="O648" s="77"/>
    </row>
    <row r="649" spans="1:15" ht="18" customHeight="1">
      <c r="A649" s="102" t="s">
        <v>234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231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232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233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232</v>
      </c>
      <c r="O675" s="77"/>
    </row>
    <row r="676" spans="1:15" ht="18" customHeight="1">
      <c r="A676" s="102" t="s">
        <v>234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231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232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233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232</v>
      </c>
      <c r="O702" s="77"/>
    </row>
    <row r="703" spans="1:15" ht="18" customHeight="1">
      <c r="A703" s="102" t="s">
        <v>234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231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232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233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232</v>
      </c>
      <c r="O729" s="77"/>
    </row>
    <row r="730" spans="1:15" ht="18" customHeight="1">
      <c r="A730" s="102" t="s">
        <v>234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231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232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233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232</v>
      </c>
      <c r="O756" s="39"/>
    </row>
    <row r="757" spans="1:15" ht="18" customHeight="1">
      <c r="A757" s="102" t="s">
        <v>234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231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232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233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232</v>
      </c>
      <c r="O783" s="39"/>
    </row>
    <row r="784" spans="1:15" ht="18" customHeight="1">
      <c r="A784" s="102" t="s">
        <v>234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231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232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233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232</v>
      </c>
      <c r="O810" s="39"/>
    </row>
    <row r="811" spans="1:15" ht="18" customHeight="1">
      <c r="A811" s="102" t="s">
        <v>234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49" zoomScale="50" zoomScaleNormal="50" workbookViewId="0">
      <selection activeCell="F591" sqref="F59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306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307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231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232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233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232</v>
      </c>
      <c r="O27" s="39">
        <v>308500</v>
      </c>
    </row>
    <row r="28" spans="1:15" ht="18" customHeight="1">
      <c r="A28" s="102" t="s">
        <v>234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235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231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232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233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232</v>
      </c>
      <c r="O54" s="39">
        <v>124290</v>
      </c>
    </row>
    <row r="55" spans="1:15" ht="18" customHeight="1">
      <c r="A55" s="102" t="s">
        <v>234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235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309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231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232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296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233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232</v>
      </c>
      <c r="O81" s="39">
        <v>396340</v>
      </c>
    </row>
    <row r="82" spans="1:15" ht="18" customHeight="1">
      <c r="A82" s="102" t="s">
        <v>234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235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229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229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229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310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229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229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229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229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229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231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232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233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232</v>
      </c>
      <c r="O108" s="39">
        <v>41230</v>
      </c>
    </row>
    <row r="109" spans="1:15" ht="18" customHeight="1">
      <c r="A109" s="102" t="s">
        <v>234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235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231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232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229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229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229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229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229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229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229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271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233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232</v>
      </c>
      <c r="O135" s="39">
        <v>381250</v>
      </c>
    </row>
    <row r="136" spans="1:15" ht="18" customHeight="1">
      <c r="A136" s="102" t="s">
        <v>234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235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229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229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229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229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229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273</v>
      </c>
      <c r="K141" s="29">
        <v>0.71597222222222223</v>
      </c>
      <c r="L141" s="29" t="s">
        <v>312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229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229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229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229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231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232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229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229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233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232</v>
      </c>
      <c r="O162" s="39">
        <v>337120</v>
      </c>
    </row>
    <row r="163" spans="1:15" ht="18" customHeight="1">
      <c r="A163" s="102" t="s">
        <v>234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235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229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314</v>
      </c>
      <c r="N166" s="27" t="s">
        <v>315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231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232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233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232</v>
      </c>
      <c r="O189" s="39">
        <v>747210</v>
      </c>
    </row>
    <row r="190" spans="1:15" ht="18" customHeight="1">
      <c r="A190" s="102" t="s">
        <v>234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235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316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231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232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229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233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232</v>
      </c>
      <c r="O216" s="39">
        <v>468430</v>
      </c>
    </row>
    <row r="217" spans="1:15" ht="18" customHeight="1">
      <c r="A217" s="102" t="s">
        <v>234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235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231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232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229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229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233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232</v>
      </c>
      <c r="O243" s="39">
        <v>575930</v>
      </c>
    </row>
    <row r="244" spans="1:15" ht="18" customHeight="1">
      <c r="A244" s="102" t="s">
        <v>234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235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231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232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317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318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233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232</v>
      </c>
      <c r="O270" s="39">
        <v>483510</v>
      </c>
    </row>
    <row r="271" spans="1:15" ht="18" customHeight="1">
      <c r="A271" s="102" t="s">
        <v>234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235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256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256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231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232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256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319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256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256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256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320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256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256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256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256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256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256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233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232</v>
      </c>
      <c r="O297" s="39">
        <v>487980</v>
      </c>
    </row>
    <row r="298" spans="1:15" ht="18" customHeight="1">
      <c r="A298" s="102" t="s">
        <v>234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235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256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256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321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256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256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256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256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229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231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232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256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322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256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256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256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323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256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256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256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256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256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256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229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233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232</v>
      </c>
      <c r="O324" s="39">
        <v>609460</v>
      </c>
    </row>
    <row r="325" spans="1:15" ht="18" customHeight="1">
      <c r="A325" s="102" t="s">
        <v>234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235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256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324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256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256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256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296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229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256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256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256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256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256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256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231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232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256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256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256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256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256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256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233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232</v>
      </c>
      <c r="O351" s="39">
        <v>437940</v>
      </c>
    </row>
    <row r="352" spans="1:15" ht="18" customHeight="1">
      <c r="A352" s="102" t="s">
        <v>234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235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256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256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256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256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256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256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256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256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256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256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231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232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256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256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256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256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256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256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256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256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256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256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256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256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233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232</v>
      </c>
      <c r="O378" s="39">
        <v>473310</v>
      </c>
    </row>
    <row r="379" spans="1:15" ht="18" customHeight="1">
      <c r="A379" s="102" t="s">
        <v>234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235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256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256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256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256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256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256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256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256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256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256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256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256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231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232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229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256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256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256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256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256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256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256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256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256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256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256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233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232</v>
      </c>
      <c r="O405" s="39">
        <v>507450</v>
      </c>
    </row>
    <row r="406" spans="1:15" ht="18" customHeight="1">
      <c r="A406" s="102" t="s">
        <v>234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235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256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256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256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256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256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256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256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256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229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229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256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256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231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232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229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256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293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256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256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256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256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256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256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256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256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256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256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233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232</v>
      </c>
      <c r="O432" s="39">
        <v>229150</v>
      </c>
    </row>
    <row r="433" spans="1:15" ht="18" customHeight="1">
      <c r="A433" s="102" t="s">
        <v>234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235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256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256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256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256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256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256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256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256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256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256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256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256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231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232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229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229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229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229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229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229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229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229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229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229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229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229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233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232</v>
      </c>
      <c r="O459" s="39">
        <v>409980</v>
      </c>
    </row>
    <row r="460" spans="1:15" ht="18" customHeight="1">
      <c r="A460" s="102" t="s">
        <v>234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235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229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229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229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229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229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229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229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229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229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229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229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229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231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232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229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229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229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229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229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229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229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229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229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229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229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229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233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232</v>
      </c>
      <c r="O486" s="39">
        <v>341550</v>
      </c>
    </row>
    <row r="487" spans="1:15" ht="18" customHeight="1">
      <c r="A487" s="102" t="s">
        <v>234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235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229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326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229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229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229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229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229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256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256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256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256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256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256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231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232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256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229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256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256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256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256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256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256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256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256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256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256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233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232</v>
      </c>
      <c r="O513" s="39">
        <v>276610</v>
      </c>
    </row>
    <row r="514" spans="1:15" ht="18" customHeight="1">
      <c r="A514" s="102" t="s">
        <v>234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235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256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256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256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256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256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256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256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256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256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256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256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256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231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232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256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256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327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256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256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256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328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256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329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256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256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256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256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256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256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233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232</v>
      </c>
      <c r="O540" s="39">
        <v>194990</v>
      </c>
    </row>
    <row r="541" spans="1:15" ht="18" customHeight="1">
      <c r="A541" s="102" t="s">
        <v>234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235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256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256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256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256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256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256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256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256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256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256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256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256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231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232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256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256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256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331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256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256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256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256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256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256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256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256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256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233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232</v>
      </c>
      <c r="O567" s="39">
        <v>315860</v>
      </c>
    </row>
    <row r="568" spans="1:15" ht="18" customHeight="1">
      <c r="A568" s="102" t="s">
        <v>234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235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256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256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332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256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256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256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256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256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256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256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256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256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256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231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232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256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229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256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256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256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256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256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256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256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256</v>
      </c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256</v>
      </c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256</v>
      </c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233</v>
      </c>
      <c r="B594" s="100"/>
      <c r="C594" s="100"/>
      <c r="D594" s="100"/>
      <c r="E594" s="101">
        <f>SUM(E582:E593)</f>
        <v>0</v>
      </c>
      <c r="F594" s="36">
        <f>SUM(F582:F593)</f>
        <v>93</v>
      </c>
      <c r="G594" s="36">
        <f>SUM(G582:G593)</f>
        <v>394.6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232</v>
      </c>
      <c r="O594" s="39"/>
    </row>
    <row r="595" spans="1:15" ht="18" customHeight="1">
      <c r="A595" s="102" t="s">
        <v>234</v>
      </c>
      <c r="B595" s="103"/>
      <c r="C595" s="103"/>
      <c r="D595" s="103"/>
      <c r="E595" s="104">
        <f>E581+E594</f>
        <v>0</v>
      </c>
      <c r="F595" s="40">
        <f>F581+F594</f>
        <v>146</v>
      </c>
      <c r="G595" s="40">
        <f>G581+G594</f>
        <v>617.20000000000005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235</v>
      </c>
      <c r="O595" s="48">
        <f>IFERROR(O581+O594,"")</f>
        <v>222600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231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232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233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232</v>
      </c>
      <c r="O621" s="39"/>
    </row>
    <row r="622" spans="1:15" ht="18" customHeight="1">
      <c r="A622" s="102" t="s">
        <v>234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231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232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233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232</v>
      </c>
      <c r="O648" s="39"/>
    </row>
    <row r="649" spans="1:15" ht="18" customHeight="1">
      <c r="A649" s="102" t="s">
        <v>234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231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232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233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232</v>
      </c>
      <c r="O675" s="39"/>
    </row>
    <row r="676" spans="1:15" ht="18" customHeight="1">
      <c r="A676" s="102" t="s">
        <v>234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231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232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233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232</v>
      </c>
      <c r="O702" s="39"/>
    </row>
    <row r="703" spans="1:15" ht="18" customHeight="1">
      <c r="A703" s="102" t="s">
        <v>234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231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232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233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232</v>
      </c>
      <c r="O729" s="39"/>
    </row>
    <row r="730" spans="1:15" ht="18" customHeight="1">
      <c r="A730" s="102" t="s">
        <v>234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231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232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233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232</v>
      </c>
      <c r="O756" s="39"/>
    </row>
    <row r="757" spans="1:15" ht="18" customHeight="1">
      <c r="A757" s="102" t="s">
        <v>234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231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232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233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232</v>
      </c>
      <c r="O783" s="39"/>
    </row>
    <row r="784" spans="1:15" ht="18" customHeight="1">
      <c r="A784" s="102" t="s">
        <v>234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231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232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233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232</v>
      </c>
      <c r="O810" s="39"/>
    </row>
    <row r="811" spans="1:15" ht="18" customHeight="1">
      <c r="A811" s="102" t="s">
        <v>234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562" activePane="bottomLeft" state="frozen"/>
      <selection pane="bottomLeft" activeCell="J583" sqref="J58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333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256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296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231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232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334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233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232</v>
      </c>
      <c r="O27" s="39">
        <v>202230</v>
      </c>
    </row>
    <row r="28" spans="1:15" ht="18" customHeight="1">
      <c r="A28" s="102" t="s">
        <v>234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235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335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336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256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256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231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232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233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232</v>
      </c>
      <c r="O54" s="39">
        <v>473910</v>
      </c>
    </row>
    <row r="55" spans="1:15" ht="18" customHeight="1">
      <c r="A55" s="102" t="s">
        <v>234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235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337</v>
      </c>
      <c r="L58" s="29">
        <v>0.54097222222222219</v>
      </c>
      <c r="M58" s="30" t="str">
        <f t="shared" ca="1" si="13"/>
        <v/>
      </c>
      <c r="N58" s="27" t="s">
        <v>338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231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232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306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256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339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340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341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342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256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233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232</v>
      </c>
      <c r="O81" s="39">
        <v>565120</v>
      </c>
    </row>
    <row r="82" spans="1:15" ht="18" customHeight="1">
      <c r="A82" s="102" t="s">
        <v>234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235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343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229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229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229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229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229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229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229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231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232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233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232</v>
      </c>
      <c r="O108" s="39">
        <v>558590</v>
      </c>
    </row>
    <row r="109" spans="1:15" ht="18" customHeight="1">
      <c r="A109" s="102" t="s">
        <v>234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235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344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231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232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229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229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345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229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346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229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229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229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0.990329976855719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229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271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233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1.1896355324112746</v>
      </c>
      <c r="N135" s="36" t="s">
        <v>232</v>
      </c>
      <c r="O135" s="39">
        <v>729290</v>
      </c>
    </row>
    <row r="136" spans="1:18" ht="18" customHeight="1">
      <c r="A136" s="102" t="s">
        <v>234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1.5569966435223856</v>
      </c>
      <c r="N136" s="40" t="s">
        <v>235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229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229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229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347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229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273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229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229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229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229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229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229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231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232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229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229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233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232</v>
      </c>
      <c r="O162" s="39">
        <v>697320</v>
      </c>
    </row>
    <row r="163" spans="1:15" ht="18" customHeight="1">
      <c r="A163" s="102" t="s">
        <v>234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235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229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256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256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349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231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232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256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256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233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232</v>
      </c>
      <c r="O189" s="39">
        <v>973580</v>
      </c>
    </row>
    <row r="190" spans="1:15" ht="18" customHeight="1">
      <c r="A190" s="102" t="s">
        <v>234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235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256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256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350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256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351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231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232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229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352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233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232</v>
      </c>
      <c r="O216" s="45">
        <v>1060630</v>
      </c>
    </row>
    <row r="217" spans="1:15" ht="18" customHeight="1">
      <c r="A217" s="102" t="s">
        <v>234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235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353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354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256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256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231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232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229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356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256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229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229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233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232</v>
      </c>
      <c r="O243" s="39">
        <v>982340</v>
      </c>
    </row>
    <row r="244" spans="1:15" ht="18" customHeight="1">
      <c r="A244" s="102" t="s">
        <v>234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235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357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256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256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231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232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256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233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232</v>
      </c>
      <c r="O270" s="39">
        <v>1208450</v>
      </c>
    </row>
    <row r="271" spans="1:15" ht="18" customHeight="1">
      <c r="A271" s="102" t="s">
        <v>234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235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256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256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256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231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232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256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256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256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229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256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256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256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256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256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256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256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233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232</v>
      </c>
      <c r="O297" s="39">
        <v>1049090</v>
      </c>
    </row>
    <row r="298" spans="1:15" ht="18" customHeight="1">
      <c r="A298" s="102" t="s">
        <v>234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235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358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256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256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256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256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256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256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256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256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256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231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232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229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256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256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256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256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256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256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268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256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256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256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256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229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233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232</v>
      </c>
      <c r="O324" s="39">
        <v>1063720</v>
      </c>
    </row>
    <row r="325" spans="1:15" ht="18" customHeight="1">
      <c r="A325" s="102" t="s">
        <v>234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235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256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256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296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256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256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229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256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256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256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256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256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256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256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231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232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256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256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256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256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256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256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359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256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256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256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360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256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256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233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232</v>
      </c>
      <c r="O351" s="39">
        <v>696140</v>
      </c>
    </row>
    <row r="352" spans="1:15" ht="18" customHeight="1">
      <c r="A352" s="102" t="s">
        <v>234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235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256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256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256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256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256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256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256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256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256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256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231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232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256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256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256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361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256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256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256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256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256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256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256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256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256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233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232</v>
      </c>
      <c r="O378" s="39">
        <v>704750</v>
      </c>
    </row>
    <row r="379" spans="1:15" ht="18" customHeight="1">
      <c r="A379" s="102" t="s">
        <v>234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235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256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362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256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256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349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256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256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256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256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256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256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256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256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256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231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232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229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256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363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256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256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256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256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364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256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256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256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256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256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256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233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232</v>
      </c>
      <c r="O405" s="39">
        <v>958130</v>
      </c>
    </row>
    <row r="406" spans="1:15" ht="18" customHeight="1">
      <c r="A406" s="102" t="s">
        <v>234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235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256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256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256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256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256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256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256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256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229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256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256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229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231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232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256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256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256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256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256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256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365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256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256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256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256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256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256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233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232</v>
      </c>
      <c r="O432" s="39">
        <v>605220</v>
      </c>
    </row>
    <row r="433" spans="1:17" ht="18" customHeight="1">
      <c r="A433" s="102" t="s">
        <v>234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235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256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256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256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256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256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256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256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256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256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256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256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256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231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232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229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229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229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229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229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229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229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229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229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229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229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233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232</v>
      </c>
      <c r="O459" s="39">
        <v>615330</v>
      </c>
    </row>
    <row r="460" spans="1:15" ht="18" customHeight="1">
      <c r="A460" s="102" t="s">
        <v>234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235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229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367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229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368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229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229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229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342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229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229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229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229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229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229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229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231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232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229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229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229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229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229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229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229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229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229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229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229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229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233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232</v>
      </c>
      <c r="O486" s="39">
        <v>1120830</v>
      </c>
    </row>
    <row r="487" spans="1:15" ht="18" customHeight="1">
      <c r="A487" s="102" t="s">
        <v>234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235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229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229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342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229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229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229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229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256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256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256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256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256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256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231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232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256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229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256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369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256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256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256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256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256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256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256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256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256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233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232</v>
      </c>
      <c r="O513" s="39">
        <v>416720</v>
      </c>
    </row>
    <row r="514" spans="1:15" ht="18" customHeight="1">
      <c r="A514" s="102" t="s">
        <v>234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235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256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370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256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256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371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256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256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256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256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256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256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256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256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256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231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232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256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256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256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256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256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256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256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256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256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256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256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256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233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232</v>
      </c>
      <c r="O540" s="39">
        <v>404370</v>
      </c>
    </row>
    <row r="541" spans="1:15" ht="18" customHeight="1">
      <c r="A541" s="102" t="s">
        <v>234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235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256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372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256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373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256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374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256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256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256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256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256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256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256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256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256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231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232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256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256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256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375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256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256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256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256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256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256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256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256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256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233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232</v>
      </c>
      <c r="O567" s="39">
        <v>499820</v>
      </c>
    </row>
    <row r="568" spans="1:15" ht="18" customHeight="1">
      <c r="A568" s="102" t="s">
        <v>234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235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256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376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256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256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256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256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256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256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256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256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256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256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256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231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232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256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256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/>
      <c r="M583" s="35">
        <f t="shared" ref="M582:M593" ca="1" si="131">IFERROR(IF(K583="","",IF(L583="",MOD(NOW()-K583,1),IF(L583&gt;=K583,L583-K583,L583+1-K583))),"")</f>
        <v>8.3855324119213037E-3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256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256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256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256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256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256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256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256</v>
      </c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256</v>
      </c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256</v>
      </c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233</v>
      </c>
      <c r="B594" s="100"/>
      <c r="C594" s="100"/>
      <c r="D594" s="100"/>
      <c r="E594" s="101">
        <f>SUM(E582:E593)</f>
        <v>0</v>
      </c>
      <c r="F594" s="36">
        <f>SUM(F582:F593)</f>
        <v>112</v>
      </c>
      <c r="G594" s="36">
        <f>SUM(G582:G593)</f>
        <v>470.8</v>
      </c>
      <c r="H594" s="37"/>
      <c r="I594" s="37"/>
      <c r="J594" s="37"/>
      <c r="K594" s="61"/>
      <c r="L594" s="61"/>
      <c r="M594" s="38">
        <f ca="1">IFERROR(SUM(M582:M593),"")</f>
        <v>8.3855324119213037E-3</v>
      </c>
      <c r="N594" s="36" t="s">
        <v>232</v>
      </c>
      <c r="O594" s="39"/>
    </row>
    <row r="595" spans="1:15" ht="18" customHeight="1">
      <c r="A595" s="102" t="s">
        <v>234</v>
      </c>
      <c r="B595" s="103"/>
      <c r="C595" s="103"/>
      <c r="D595" s="103"/>
      <c r="E595" s="104">
        <f>E581+E594</f>
        <v>0</v>
      </c>
      <c r="F595" s="40">
        <f>F581+F594</f>
        <v>112</v>
      </c>
      <c r="G595" s="40">
        <f>G581+G594</f>
        <v>470.8</v>
      </c>
      <c r="H595" s="41"/>
      <c r="I595" s="41"/>
      <c r="J595" s="41"/>
      <c r="K595" s="63"/>
      <c r="L595" s="63"/>
      <c r="M595" s="42">
        <f ca="1">IFERROR(M581+M594,"")</f>
        <v>0.5083855324119213</v>
      </c>
      <c r="N595" s="40" t="s">
        <v>235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231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232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233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232</v>
      </c>
      <c r="O621" s="39"/>
    </row>
    <row r="622" spans="1:15" ht="18" customHeight="1">
      <c r="A622" s="102" t="s">
        <v>234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231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232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233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232</v>
      </c>
      <c r="O648" s="39"/>
    </row>
    <row r="649" spans="1:15" ht="18" customHeight="1">
      <c r="A649" s="102" t="s">
        <v>234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231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232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233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232</v>
      </c>
      <c r="O675" s="39"/>
    </row>
    <row r="676" spans="1:15" ht="18" customHeight="1">
      <c r="A676" s="102" t="s">
        <v>234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231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232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233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232</v>
      </c>
      <c r="O702" s="39"/>
    </row>
    <row r="703" spans="1:15" ht="18" customHeight="1">
      <c r="A703" s="102" t="s">
        <v>234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231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232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233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232</v>
      </c>
      <c r="O729" s="39"/>
    </row>
    <row r="730" spans="1:15" ht="18" customHeight="1">
      <c r="A730" s="102" t="s">
        <v>234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231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232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233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232</v>
      </c>
      <c r="O756" s="39"/>
    </row>
    <row r="757" spans="1:15" ht="18" customHeight="1">
      <c r="A757" s="102" t="s">
        <v>234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231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232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233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232</v>
      </c>
      <c r="O783" s="39"/>
    </row>
    <row r="784" spans="1:15" ht="18" customHeight="1">
      <c r="A784" s="102" t="s">
        <v>234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231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232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233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232</v>
      </c>
      <c r="O810" s="39"/>
    </row>
    <row r="811" spans="1:15" ht="18" customHeight="1">
      <c r="A811" s="102" t="s">
        <v>234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235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2026-07-23T09:45:24Z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