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67" documentId="13_ncr:1_{0A10D8D4-8450-4366-8075-B53B08E6B7EA}" xr6:coauthVersionLast="47" xr6:coauthVersionMax="47" xr10:uidLastSave="{9EB75616-BFE2-4AD8-B8B1-39E5A3502097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6" i="5" s="1"/>
  <c r="J38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6" i="4" s="1"/>
  <c r="J38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5" i="6" l="1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<sst xmlns="http://schemas.openxmlformats.org/spreadsheetml/2006/main" count="6748" uniqueCount="350">
  <si>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</si>
  <si>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</si>
  <si>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</si>
  <si>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</si>
  <si>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</si>
  <si>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</si>
  <si>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</si>
  <si>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</si>
  <si>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</si>
  <si>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</si>
  <si>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</si>
  <si>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</si>
  <si>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</si>
  <si>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</si>
  <si>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</si>
  <si>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</si>
  <si>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</si>
  <si>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</si>
  <si>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</si>
  <si>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</si>
  <si>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</si>
  <si>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</si>
  <si>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</si>
  <si>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</si>
  <si>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</si>
  <si>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</si>
  <si>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</si>
  <si>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</si>
  <si>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</si>
  <si>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</si>
  <si>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</si>
  <si>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</si>
  <si>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</si>
  <si>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</si>
  <si>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</si>
  <si>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</si>
  <si>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</si>
  <si>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</si>
  <si>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</si>
  <si>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</si>
  <si>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</si>
  <si>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</si>
  <si>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</si>
  <si>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</si>
  <si>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</si>
  <si>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</si>
  <si>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</si>
  <si>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</si>
  <si>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</si>
  <si>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</si>
  <si>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</si>
  <si>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</si>
  <si>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</si>
  <si>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</si>
  <si>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</si>
  <si>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</si>
  <si>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</si>
  <si>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</si>
  <si>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</si>
  <si>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</si>
  <si>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</si>
  <si>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</si>
  <si>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</si>
  <si>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</si>
  <si>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</si>
  <si>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</si>
  <si>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</si>
  <si>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</si>
  <si>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</si>
  <si>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</si>
  <si>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</si>
  <si>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</si>
  <si>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</si>
  <si>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</si>
  <si>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</si>
  <si>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</si>
  <si>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</si>
  <si>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</si>
  <si>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</si>
  <si>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</si>
  <si>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</si>
  <si>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</si>
  <si>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</si>
  <si>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</si>
  <si>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</si>
  <si>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</si>
  <si>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</si>
  <si>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</si>
  <si>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</si>
  <si>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</si>
  <si>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</si>
  <si>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</si>
  <si>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</si>
  <si>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</si>
  <si>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</si>
  <si>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</si>
  <si>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</si>
  <si>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</si>
  <si>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</si>
  <si>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</si>
  <si>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</si>
  <si>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</si>
  <si>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</si>
  <si>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</si>
  <si>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</si>
  <si>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</si>
  <si>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</si>
  <si>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</si>
  <si>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</si>
  <si>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</si>
  <si>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</si>
  <si>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</si>
  <si>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</si>
  <si>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</si>
  <si>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</si>
  <si>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</si>
  <si>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</si>
  <si>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</si>
  <si>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</si>
  <si>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</si>
  <si>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</si>
  <si>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</si>
  <si>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</si>
  <si>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</si>
  <si>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</si>
  <si>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</si>
  <si>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</si>
  <si>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</si>
  <si>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</si>
  <si>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</si>
  <si>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</si>
  <si>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</si>
  <si>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</si>
  <si>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</si>
  <si>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</si>
  <si>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</si>
  <si>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</si>
  <si>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</si>
  <si>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</si>
  <si>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</si>
  <si>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</si>
  <si>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</si>
  <si>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</si>
  <si>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</si>
  <si>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</si>
  <si>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</si>
  <si>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</si>
  <si>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</si>
  <si>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</si>
  <si>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</si>
  <si>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</si>
  <si>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</si>
  <si>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</si>
  <si>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</si>
  <si>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</si>
  <si>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</si>
  <si>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</si>
  <si>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</si>
  <si>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</si>
  <si>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</si>
  <si>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</si>
  <si>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</si>
  <si>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</si>
  <si>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</si>
  <si>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</si>
  <si>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</si>
  <si>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</si>
  <si>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</si>
  <si>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</si>
  <si>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</si>
  <si>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</si>
  <si>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</si>
  <si>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</si>
  <si>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</si>
  <si>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</si>
  <si>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</si>
  <si>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</si>
  <si>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</si>
  <si>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</si>
  <si>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</si>
  <si>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</si>
  <si>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</si>
  <si>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</si>
  <si>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</si>
  <si>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</si>
  <si>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</si>
  <si>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</si>
  <si>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</si>
  <si>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</si>
  <si>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</si>
  <si>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</si>
  <si>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</si>
  <si>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</si>
  <si>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</si>
  <si>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</si>
  <si>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</si>
  <si>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</si>
  <si>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</si>
  <si>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</si>
  <si>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</si>
  <si>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</si>
  <si>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</si>
  <si>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</si>
  <si>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</si>
  <si>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</si>
  <si>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</si>
  <si>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</si>
  <si>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</si>
  <si>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</si>
  <si>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</si>
  <si>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</si>
  <si>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</si>
  <si>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</si>
  <si>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</si>
  <si>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</si>
  <si>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</si>
  <si>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</si>
  <si>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</si>
  <si>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</si>
  <si>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</si>
  <si>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</si>
  <si>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</si>
  <si>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</si>
  <si>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</si>
  <si>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</si>
  <si>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</si>
  <si>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</si>
  <si>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</si>
  <si>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</si>
  <si>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</si>
  <si>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</si>
  <si>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</si>
  <si>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</si>
  <si>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</si>
  <si>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</si>
  <si>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</si>
  <si>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</si>
  <si>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</si>
  <si>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</si>
  <si>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</si>
  <si>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</si>
  <si>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</si>
  <si>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</si>
  <si>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</si>
  <si>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</si>
  <si>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</si>
  <si>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</si>
  <si>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</si>
  <si>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</si>
  <si>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</si>
  <si>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</si>
  <si>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</si>
  <si>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</si>
  <si>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</si>
  <si>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</si>
  <si>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</si>
  <si>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</si>
  <si>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</si>
  <si>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</si>
  <si>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</si>
  <si>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</si>
  <si>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</si>
  <si>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</si>
  <si>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</si>
  <si>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</si>
  <si>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</si>
  <si>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</si>
  <si>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</si>
  <si>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</si>
  <si>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</si>
  <si>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</si>
  <si>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</si>
  <si>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</si>
  <si>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</si>
  <si>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</si>
  <si>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</si>
  <si>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</si>
  <si>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</si>
  <si>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</si>
  <si>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</si>
  <si>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</si>
  <si>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</si>
  <si>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</si>
  <si>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</si>
  <si>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</si>
  <si>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</si>
  <si>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</si>
  <si>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</si>
  <si>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</si>
  <si>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</si>
  <si>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</si>
  <si>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</si>
  <si>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</si>
  <si>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</si>
  <si>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</si>
  <si>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</si>
  <si>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</si>
  <si>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</si>
  <si>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</si>
  <si>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</si>
  <si>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</si>
  <si>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</si>
  <si>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</si>
  <si>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</si>
  <si>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</si>
  <si>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</si>
  <si>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</si>
  <si>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</si>
  <si>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</si>
  <si>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</si>
  <si>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</si>
  <si>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</si>
  <si>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</si>
  <si>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</si>
  <si>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</si>
  <si>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</si>
  <si>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</si>
  <si>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</si>
  <si>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</si>
  <si>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parado pra faze um sevico na polia da bomba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</si>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</sst>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7" sqref="F38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111</v>
      </c>
      <c r="G392" s="36">
        <f>SUM(G380:G391)</f>
        <v>570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111</v>
      </c>
      <c r="G406" s="40">
        <f>G392+G405</f>
        <v>570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85" sqref="N3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0.47016203703242354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0.60905092592131238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0.69377314814353475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/>
      <c r="Q385" s="35">
        <f t="shared" ca="1" si="92"/>
        <v>8.3564814776764251E-3</v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420.00000000000006</v>
      </c>
      <c r="L392" s="37"/>
      <c r="M392" s="37"/>
      <c r="N392" s="37"/>
      <c r="O392" s="37"/>
      <c r="P392" s="37"/>
      <c r="Q392" s="38">
        <f ca="1">IFERROR(SUM(Q380:Q391),"")</f>
        <v>5.4189814811009707E-2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420.00000000000006</v>
      </c>
      <c r="L406" s="41"/>
      <c r="M406" s="41"/>
      <c r="N406" s="41"/>
      <c r="O406" s="41"/>
      <c r="P406" s="41"/>
      <c r="Q406" s="42">
        <f ca="1">IFERROR(Q392+Q405,"")</f>
        <v>5.4189814811009707E-2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R385" sqref="R3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/>
      <c r="Q384" s="30">
        <f t="shared" ca="1" si="90"/>
        <v>8.3564814776764251E-3</v>
      </c>
      <c r="R384" s="27" t="s">
        <v>319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53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193.2</v>
      </c>
      <c r="L392" s="37"/>
      <c r="M392" s="37"/>
      <c r="N392" s="37"/>
      <c r="O392" s="37"/>
      <c r="P392" s="37"/>
      <c r="Q392" s="38">
        <f ca="1">IFERROR(SUM(Q380:Q391),"")</f>
        <v>5.5578703699898702E-2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53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193.2</v>
      </c>
      <c r="L406" s="41"/>
      <c r="M406" s="41"/>
      <c r="N406" s="41"/>
      <c r="O406" s="41"/>
      <c r="P406" s="41"/>
      <c r="Q406" s="42">
        <f ca="1">IFERROR(Q392+Q405,"")</f>
        <v>5.5578703699898702E-2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R385" sqref="R3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/>
      <c r="Q384" s="30">
        <f t="shared" ca="1" si="92"/>
        <v>8.3564814776764251E-3</v>
      </c>
      <c r="R384" s="27" t="s">
        <v>319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</v>
      </c>
      <c r="L392" s="37"/>
      <c r="M392" s="37"/>
      <c r="N392" s="37"/>
      <c r="O392" s="61"/>
      <c r="P392" s="61"/>
      <c r="Q392" s="38">
        <f ca="1">IFERROR(SUM(Q380:Q391),"")</f>
        <v>4.6550925922120789E-2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</v>
      </c>
      <c r="L406" s="41"/>
      <c r="M406" s="41"/>
      <c r="N406" s="41"/>
      <c r="O406" s="63"/>
      <c r="P406" s="63"/>
      <c r="Q406" s="42">
        <f ca="1">IFERROR(Q392+Q405,"")</f>
        <v>4.6550925922120789E-2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2026-08-15T18:12:36Z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