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12" documentId="8_{AF585B22-221D-4780-BB9C-493D365A6A02}" xr6:coauthVersionLast="47" xr6:coauthVersionMax="47" xr10:uidLastSave="{F160B24C-42CD-4F41-939D-132E920456E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<sst xmlns="http://schemas.openxmlformats.org/spreadsheetml/2006/main" count="3747" uniqueCount="266">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</sst>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E208" sqref="E2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/>
      <c r="K204" s="29">
        <v>0.95277777777777772</v>
      </c>
      <c r="L204" s="29"/>
      <c r="M204" s="30">
        <f t="shared" ref="M204:M215" ca="1" si="46">IFERROR(IF(K204="","",IF(L204="",MOD(NOW()-K204,1),IF(L204&gt;=K204,L204-K204,L204+1-K204))),"")</f>
        <v>2.0954513893229887E-2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208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111</v>
      </c>
      <c r="G216" s="36">
        <f>SUM(G204:G215)</f>
        <v>534.20000000000005</v>
      </c>
      <c r="H216" s="37"/>
      <c r="I216" s="37"/>
      <c r="J216" s="37"/>
      <c r="K216" s="37"/>
      <c r="L216" s="37"/>
      <c r="M216" s="38">
        <f ca="1">IFERROR(SUM(M204:M215),"")</f>
        <v>2.0954513893229887E-2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441</v>
      </c>
      <c r="G217" s="40">
        <f>G203+G216</f>
        <v>2184.1999999999998</v>
      </c>
      <c r="H217" s="41"/>
      <c r="I217" s="41"/>
      <c r="J217" s="41"/>
      <c r="K217" s="41"/>
      <c r="L217" s="41"/>
      <c r="M217" s="42">
        <f ca="1">IFERROR(M203+M216,"")</f>
        <v>4.4565625004341025E-2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1" activePane="bottomLeft" state="frozen"/>
      <selection pane="bottomLeft" activeCell="E215" sqref="E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71</v>
      </c>
      <c r="G216" s="36">
        <f>SUM(G204:G215)</f>
        <v>298.20000000000005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71</v>
      </c>
      <c r="G217" s="40">
        <f>G203+G216</f>
        <v>298.20000000000005</v>
      </c>
      <c r="H217" s="41"/>
      <c r="I217" s="41"/>
      <c r="J217" s="41"/>
      <c r="K217" s="41"/>
      <c r="L217" s="41"/>
      <c r="M217" s="42">
        <f ca="1">IFERROR(M203+M216,"")</f>
        <v>3.472222222222221E-2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8" sqref="F2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43</v>
      </c>
      <c r="G216" s="36">
        <f>SUM(G204:G215)</f>
        <v>180.60000000000002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133</v>
      </c>
      <c r="G217" s="40">
        <f>G203+G216</f>
        <v>558.59999999999991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08" sqref="F2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0.72442673611658392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0.92373229167213955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1.2910934027832506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/>
      <c r="I205" s="33"/>
      <c r="J205" s="33"/>
      <c r="K205" s="29">
        <v>0.95138888888888884</v>
      </c>
      <c r="L205" s="29">
        <v>0.95763888888888893</v>
      </c>
      <c r="M205" s="35">
        <f t="shared" ca="1" si="46"/>
        <v>6.2500000000000888E-3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20</v>
      </c>
      <c r="G207" s="34">
        <f t="shared" si="45"/>
        <v>84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57</v>
      </c>
      <c r="G216" s="36">
        <f>SUM(G204:G215)</f>
        <v>239.4</v>
      </c>
      <c r="H216" s="37"/>
      <c r="I216" s="37"/>
      <c r="J216" s="37"/>
      <c r="K216" s="61"/>
      <c r="L216" s="61"/>
      <c r="M216" s="38">
        <f ca="1">IFERROR(SUM(M204:M215),"")</f>
        <v>4.0972222222222299E-2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207</v>
      </c>
      <c r="G217" s="40">
        <f>G203+G216</f>
        <v>869.4</v>
      </c>
      <c r="H217" s="41"/>
      <c r="I217" s="41"/>
      <c r="J217" s="41"/>
      <c r="K217" s="63"/>
      <c r="L217" s="63"/>
      <c r="M217" s="42">
        <f ca="1">IFERROR(M203+M216,"")</f>
        <v>0.23819444444444449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2026-07-09T03:22:38Z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