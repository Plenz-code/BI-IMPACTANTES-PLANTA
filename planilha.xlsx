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39" documentId="8_{AF585B22-221D-4780-BB9C-493D365A6A02}" xr6:coauthVersionLast="47" xr6:coauthVersionMax="47" xr10:uidLastSave="{45C6ED58-645D-4C88-AFF3-178E8D61A8CF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<sst xmlns="http://schemas.openxmlformats.org/spreadsheetml/2006/main" count="3570" uniqueCount="261">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</sst>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G196" sqref="G1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J191" sqref="J1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/>
      <c r="G191" s="34" t="str">
        <f t="shared" ref="G191:G202" si="42">IF(F191="","",IF(E191="PC 17",F191*4.2,IF(E191="PC 19",F191*5,"")))</f>
        <v/>
      </c>
      <c r="H191" s="33" t="s">
        <v>18</v>
      </c>
      <c r="I191" s="33" t="s">
        <v>127</v>
      </c>
      <c r="J191" s="33" t="s">
        <v>94</v>
      </c>
      <c r="K191" s="29">
        <v>0.33194444444444443</v>
      </c>
      <c r="L191" s="29"/>
      <c r="M191" s="35">
        <f t="shared" ref="M191:M202" ca="1" si="43">IFERROR(IF(K191="","",IF(L191="",MOD(NOW()-K191,1),IF(L191&gt;=K191,L191-K191,L191+1-K191))),"")</f>
        <v>1.3215277795097791E-3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1.3215277795097791E-3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1.3215277795097791E-3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E202" sqref="E2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8.3960648153151851E-2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0.28326620370870748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0.6506273148198185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2026-07-08T12:00:27Z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