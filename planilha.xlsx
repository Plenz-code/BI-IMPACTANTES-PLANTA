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58" documentId="8_{AF585B22-221D-4780-BB9C-493D365A6A02}" xr6:coauthVersionLast="47" xr6:coauthVersionMax="47" xr10:uidLastSave="{3DD85E47-E320-45A3-8235-E0A2AD0559AC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<sst xmlns="http://schemas.openxmlformats.org/spreadsheetml/2006/main" count="11129" uniqueCount="413">
  <si>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</si>
  <si>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</si>
  <si>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</si>
  <si>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</si>
  <si>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</si>
  <si>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</si>
  <si>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</si>
  <si>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</si>
  <si>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</si>
  <si>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</si>
  <si>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</si>
  <si>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</si>
  <si>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</si>
  <si>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</si>
  <si>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</si>
  <si>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</si>
  <si>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</si>
  <si>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</si>
  <si>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</si>
  <si>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</si>
  <si>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</si>
  <si>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</si>
  <si>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</si>
  <si>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</si>
  <si>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</si>
  <si>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</si>
  <si>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</si>
  <si>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</si>
  <si>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</si>
  <si>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</si>
  <si>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</si>
  <si>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</si>
  <si>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</si>
  <si>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</si>
  <si>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</si>
  <si>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</si>
  <si>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</si>
  <si>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</si>
  <si>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</si>
  <si>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</si>
  <si>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</si>
  <si>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</si>
  <si>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</si>
  <si>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</si>
  <si>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</si>
  <si>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</si>
  <si>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</si>
  <si>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</si>
  <si>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</si>
  <si>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</si>
  <si>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</si>
  <si>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</si>
  <si>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</si>
  <si>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</si>
  <si>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</si>
  <si>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</si>
  <si>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</si>
  <si>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</si>
  <si>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</si>
  <si>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</si>
  <si>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</si>
  <si>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</si>
  <si>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</si>
  <si>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</si>
  <si>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</si>
  <si>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</si>
  <si>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</si>
  <si>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</si>
  <si>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</si>
  <si>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</si>
  <si>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</si>
  <si>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</si>
  <si>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</si>
  <si>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</si>
  <si>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</si>
  <si>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</si>
  <si>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</si>
  <si>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</si>
  <si>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</si>
  <si>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</si>
  <si>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</si>
  <si>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</si>
  <si>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</si>
  <si>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</si>
  <si>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</si>
  <si>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</si>
  <si>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</si>
  <si>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</si>
  <si>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</si>
  <si>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</si>
  <si>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</si>
  <si>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</si>
  <si>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</si>
  <si>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</si>
  <si>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</si>
  <si>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</si>
  <si>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</si>
  <si>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</si>
  <si>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</si>
  <si>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</si>
  <si>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</si>
  <si>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</si>
  <si>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</si>
  <si>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</si>
  <si>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</si>
  <si>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</si>
  <si>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</si>
  <si>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</si>
  <si>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</si>
  <si>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</si>
  <si>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</si>
  <si>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</si>
  <si>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</si>
  <si>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</si>
  <si>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</si>
  <si>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</si>
  <si>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</si>
  <si>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</si>
  <si>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</si>
  <si>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</si>
  <si>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</si>
  <si>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</si>
  <si>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</si>
  <si>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</si>
  <si>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</si>
  <si>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</si>
  <si>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</si>
  <si>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</si>
  <si>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</si>
  <si>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</si>
  <si>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</si>
  <si>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</si>
  <si>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</si>
  <si>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</si>
  <si>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</si>
  <si>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</si>
  <si>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</si>
  <si>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</si>
  <si>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</si>
  <si>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</si>
  <si>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</si>
  <si>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</si>
  <si>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</si>
  <si>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</si>
  <si>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</si>
  <si>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</si>
  <si>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</si>
  <si>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</si>
  <si>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</si>
  <si>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</si>
  <si>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</si>
  <si>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</si>
  <si>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</si>
  <si>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</si>
  <si>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</si>
  <si>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</si>
  <si>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</si>
  <si>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</si>
  <si>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</si>
  <si>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</si>
  <si>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</si>
  <si>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</si>
  <si>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</si>
  <si>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</si>
  <si>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</si>
  <si>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</si>
  <si>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</si>
  <si>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</si>
  <si>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</si>
  <si>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</si>
  <si>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</si>
  <si>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</si>
  <si>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</si>
  <si>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</si>
  <si>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</si>
  <si>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</si>
  <si>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</si>
  <si>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</si>
  <si>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</si>
  <si>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</si>
  <si>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</si>
  <si>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</si>
  <si>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</si>
  <si>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</si>
  <si>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</si>
  <si>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</si>
  <si>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</si>
  <si>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</si>
  <si>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</si>
  <si>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</si>
  <si>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</si>
  <si>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</si>
  <si>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</si>
  <si>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</si>
  <si>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</si>
  <si>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</si>
  <si>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</si>
  <si>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</si>
  <si>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</si>
  <si>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</si>
  <si>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</si>
  <si>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</si>
  <si>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</si>
  <si>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</si>
  <si>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</si>
  <si>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</si>
  <si>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</si>
  <si>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</si>
  <si>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</si>
  <si>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</si>
  <si>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</si>
  <si>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</si>
  <si>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</si>
  <si>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</si>
  <si>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</si>
  <si>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</si>
  <si>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</si>
  <si>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</si>
  <si>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</si>
  <si>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</si>
  <si>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</si>
  <si>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</si>
  <si>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</si>
  <si>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</si>
  <si>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</si>
  <si>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</si>
  <si>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</si>
  <si>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</si>
  <si>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</si>
  <si>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</si>
  <si>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</si>
  <si>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</si>
  <si>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</si>
  <si>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</si>
  <si>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</si>
  <si>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</si>
  <si>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</si>
  <si>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</si>
  <si>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</si>
  <si>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</si>
  <si>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</si>
  <si>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</si>
  <si>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</si>
  <si>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</si>
  <si>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</si>
  <si>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</si>
  <si>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</si>
  <si>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</si>
  <si>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</si>
  <si>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</si>
  <si>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</si>
  <si>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</si>
  <si>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</si>
  <si>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</si>
  <si>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</si>
  <si>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</si>
  <si>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</si>
  <si>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</si>
  <si>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</si>
  <si>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</si>
  <si>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</si>
  <si>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</si>
  <si>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</si>
  <si>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</si>
  <si>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</si>
  <si>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</si>
  <si>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</si>
  <si>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</si>
  <si>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</si>
  <si>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</si>
  <si>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</si>
  <si>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</si>
  <si>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</si>
  <si>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</si>
  <si>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</si>
  <si>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</si>
  <si>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</si>
  <si>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</si>
  <si>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</si>
  <si>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</si>
  <si>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</si>
  <si>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</si>
  <si>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</si>
  <si>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</si>
  <si>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</si>
  <si>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</si>
  <si>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</si>
  <si>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</si>
  <si>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</si>
  <si>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</si>
  <si>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</si>
  <si>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</si>
  <si>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</si>
  <si>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</si>
  <si>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</si>
  <si>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</si>
  <si>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</si>
  <si>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</si>
  <si>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</si>
  <si>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</si>
  <si>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</si>
  <si>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</si>
  <si>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</si>
  <si>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</si>
  <si>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</si>
  <si>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</si>
  <si>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</si>
  <si>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</si>
  <si>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</si>
  <si>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</si>
  <si>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</si>
  <si>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</si>
  <si>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</si>
  <si>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</si>
  <si>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</si>
  <si>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</si>
  <si>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</si>
  <si>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</si>
  <si>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</si>
  <si>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</si>
  <si>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</si>
  <si>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</si>
  <si>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</si>
  <si>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</si>
  <si>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</si>
  <si>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</si>
  <si>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</si>
  <si>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</si>
  <si>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</si>
  <si>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</si>
  <si>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troca de martelos mm 1 e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</si>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</sst>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5" sqref="E7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119</v>
      </c>
      <c r="G743" s="36">
        <f>SUM(G731:G742)</f>
        <v>595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119</v>
      </c>
      <c r="G757" s="40">
        <f>G743+G756</f>
        <v>595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3" activePane="bottomLeft" state="frozen"/>
      <selection pane="bottomLeft" activeCell="I731" sqref="I7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0.33547326388361398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0.49311215277250287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0.60283437499472503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0.31394548610842321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0.4847788194417566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0.62991770833064553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39</v>
      </c>
      <c r="J731" s="33" t="s">
        <v>35</v>
      </c>
      <c r="K731" s="29">
        <v>0.51944444444444449</v>
      </c>
      <c r="L731" s="29">
        <v>0.56388888888888888</v>
      </c>
      <c r="M731" s="35">
        <f t="shared" ref="M731:M742" ca="1" si="163">IFERROR(IF(K731="","",IF(L731="",MOD(NOW()-K731,1),IF(L731&gt;=K731,L731-K731,L731+1-K731))),"")</f>
        <v>4.4444444444444398E-2</v>
      </c>
      <c r="N731" s="46" t="s">
        <v>330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66</v>
      </c>
      <c r="G743" s="36">
        <f>SUM(G731:G742)</f>
        <v>277.20000000000005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66</v>
      </c>
      <c r="G757" s="40">
        <f>G743+G756</f>
        <v>277.20000000000005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E732" sqref="E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6" sqref="F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0.32575104166608071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0.52505659722163633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0.89241770833274736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61</v>
      </c>
      <c r="G743" s="36">
        <f>SUM(G731:G742)</f>
        <v>256.2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61</v>
      </c>
      <c r="G757" s="40">
        <f>G743+G756</f>
        <v>256.2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2026-07-28T17:48:37Z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