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73" documentId="8_{C51EB6CB-002B-4D6B-B68F-DDEBDB4460C0}" xr6:coauthVersionLast="47" xr6:coauthVersionMax="47" xr10:uidLastSave="{FB2FA515-6C91-4A16-BF86-5D09C79D0895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<sst xmlns="http://schemas.openxmlformats.org/spreadsheetml/2006/main" count="2466" uniqueCount="262">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</sst>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7779405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63" activePane="bottomLeft" state="frozen"/>
      <selection pane="bottomLeft" activeCell="F89" sqref="F8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180</v>
      </c>
      <c r="G95" s="36">
        <f>SUM(G83:G94)</f>
        <v>900</v>
      </c>
      <c r="H95" s="37"/>
      <c r="I95" s="37"/>
      <c r="J95" s="37"/>
      <c r="K95" s="37"/>
      <c r="L95" s="37"/>
      <c r="M95" s="38">
        <f ca="1">IFERROR(SUM(M83:M94),"")</f>
        <v>2.7083333333333348E-2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180</v>
      </c>
      <c r="G109" s="40">
        <f>G95+G108</f>
        <v>900</v>
      </c>
      <c r="H109" s="41"/>
      <c r="I109" s="41"/>
      <c r="J109" s="41"/>
      <c r="K109" s="41"/>
      <c r="L109" s="41"/>
      <c r="M109" s="42">
        <f ca="1">IFERROR(M95+M108,"")</f>
        <v>2.7083333333333348E-2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9" activePane="bottomLeft" state="frozen"/>
      <selection pane="bottomLeft" activeCell="F89" sqref="F8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238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238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238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238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0.42201469907013234</v>
      </c>
      <c r="N53" s="46" t="s">
        <v>247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0.56090358795902118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0.64562581018124354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239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238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238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238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249</v>
      </c>
      <c r="E83" s="59" t="s">
        <v>238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>
        <v>13</v>
      </c>
      <c r="G86" s="34">
        <f t="shared" si="18"/>
        <v>54.6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>
        <v>14</v>
      </c>
      <c r="G87" s="28">
        <f t="shared" si="18"/>
        <v>58.800000000000004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78</v>
      </c>
      <c r="G95" s="36">
        <f>SUM(G83:G94)</f>
        <v>327.60000000000002</v>
      </c>
      <c r="H95" s="37"/>
      <c r="I95" s="37"/>
      <c r="J95" s="37"/>
      <c r="K95" s="37"/>
      <c r="L95" s="37"/>
      <c r="M95" s="38">
        <f ca="1">IFERROR(SUM(M83:M94),"")</f>
        <v>3.9583333333333359E-2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78</v>
      </c>
      <c r="G109" s="40">
        <f>G95+G108</f>
        <v>327.60000000000002</v>
      </c>
      <c r="H109" s="41"/>
      <c r="I109" s="41"/>
      <c r="J109" s="41"/>
      <c r="K109" s="41"/>
      <c r="L109" s="41"/>
      <c r="M109" s="42">
        <f ca="1">IFERROR(M95+M108,"")</f>
        <v>3.9583333333333359E-2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54" zoomScale="50" zoomScaleNormal="50" workbookViewId="0">
      <selection activeCell="F89" sqref="F8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238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238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238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238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5</v>
      </c>
      <c r="G85" s="28">
        <f t="shared" si="18"/>
        <v>21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35</v>
      </c>
      <c r="G95" s="36">
        <f>SUM(G83:G94)</f>
        <v>147</v>
      </c>
      <c r="H95" s="37"/>
      <c r="I95" s="37"/>
      <c r="J95" s="37"/>
      <c r="K95" s="37"/>
      <c r="L95" s="37"/>
      <c r="M95" s="38">
        <f ca="1">IFERROR(SUM(M83:M94),"")</f>
        <v>3.1944444444444442E-2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35</v>
      </c>
      <c r="G109" s="40">
        <f>G95+G108</f>
        <v>147</v>
      </c>
      <c r="H109" s="41"/>
      <c r="I109" s="41"/>
      <c r="J109" s="41"/>
      <c r="K109" s="41"/>
      <c r="L109" s="41"/>
      <c r="M109" s="42">
        <f ca="1">IFERROR(M95+M108,"")</f>
        <v>3.1944444444444442E-2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65" activePane="bottomLeft" state="frozen"/>
      <selection pane="bottomLeft" activeCell="F89" sqref="F8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259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20</v>
      </c>
      <c r="G84" s="34">
        <f t="shared" si="18"/>
        <v>84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94</v>
      </c>
      <c r="G95" s="36">
        <f>SUM(G83:G94)</f>
        <v>394.79999999999995</v>
      </c>
      <c r="H95" s="37"/>
      <c r="I95" s="37"/>
      <c r="J95" s="37"/>
      <c r="K95" s="61"/>
      <c r="L95" s="61"/>
      <c r="M95" s="38">
        <f ca="1">IFERROR(SUM(M83:M94),"")</f>
        <v>1.9444444444444431E-2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94</v>
      </c>
      <c r="G109" s="40">
        <f>G95+G108</f>
        <v>394.79999999999995</v>
      </c>
      <c r="H109" s="41"/>
      <c r="I109" s="41"/>
      <c r="J109" s="41"/>
      <c r="K109" s="63"/>
      <c r="L109" s="63"/>
      <c r="M109" s="42">
        <f ca="1">IFERROR(M95+M108,"")</f>
        <v>1.9444444444444431E-2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2026-08-04T17:02:54Z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