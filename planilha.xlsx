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275" documentId="8_{AF585B22-221D-4780-BB9C-493D365A6A02}" xr6:coauthVersionLast="47" xr6:coauthVersionMax="47" xr10:uidLastSave="{8598273E-91D4-47E7-A8CC-7F7D443CE7D3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<sst xmlns="http://schemas.openxmlformats.org/spreadsheetml/2006/main" count="7256" uniqueCount="343">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</sst>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19" sqref="J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/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34" activePane="bottomLeft" state="frozen"/>
      <selection pane="bottomLeft" activeCell="K447" sqref="K44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227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251</v>
      </c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>
        <v>0.82638888888888884</v>
      </c>
      <c r="L447" s="29"/>
      <c r="M447" s="35">
        <f t="shared" ref="M447:M458" ca="1" si="100">IFERROR(IF(K447="","",IF(L447="",MOD(NOW()-K447,1),IF(L447&gt;=K447,L447-K447,L447+1-K447))),"")</f>
        <v>1.4569444392691366E-3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251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251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251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251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251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251</v>
      </c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251</v>
      </c>
      <c r="F454" s="27"/>
      <c r="G454" s="28" t="str">
        <f>IF(F454="","",IF(#REF!="PC 17",F454*4.2,IF(#REF!="PC 19",F454*5,"")))</f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251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251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251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251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1.4569444392691366E-3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179</v>
      </c>
      <c r="G460" s="40">
        <f>G446+G459</f>
        <v>895</v>
      </c>
      <c r="H460" s="41"/>
      <c r="I460" s="41"/>
      <c r="J460" s="41"/>
      <c r="K460" s="41"/>
      <c r="L460" s="41"/>
      <c r="M460" s="42">
        <f ca="1">IFERROR(M446+M459,"")</f>
        <v>0.23895694443926918</v>
      </c>
      <c r="N460" s="40" t="s">
        <v>230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33" activePane="bottomLeft" state="frozen"/>
      <selection pane="bottomLeft" activeCell="J447" sqref="J44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0.58826249999401625</v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0.74590138888290514</v>
      </c>
      <c r="N378" s="36" t="s">
        <v>227</v>
      </c>
      <c r="O378" s="78">
        <v>511980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0.8556236111051273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0.56673472221882548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0.73756805555215887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0.8827069444410478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287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227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224</v>
      </c>
      <c r="F447" s="27"/>
      <c r="G447" s="34" t="str">
        <f t="shared" ref="G447:G458" si="99">IF(F447="","",IF(E447="PC 17",F447*4.2,IF(E447="PC 19",F447*5,"")))</f>
        <v/>
      </c>
      <c r="H447" s="33" t="s">
        <v>20</v>
      </c>
      <c r="I447" s="33"/>
      <c r="J447" s="33" t="s">
        <v>28</v>
      </c>
      <c r="K447" s="29">
        <v>0.82291666666666663</v>
      </c>
      <c r="L447" s="29"/>
      <c r="M447" s="35">
        <f t="shared" ref="M447:M458" ca="1" si="100">IFERROR(IF(K447="","",IF(L447="",MOD(NOW()-K447,1),IF(L447&gt;=K447,L447-K447,L447+1-K447))),"")</f>
        <v>4.9291666655335575E-3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224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224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224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224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224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224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224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224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224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224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224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4.9291666655335575E-3</v>
      </c>
      <c r="N459" s="36" t="s">
        <v>227</v>
      </c>
      <c r="O459" s="78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198</v>
      </c>
      <c r="G460" s="40">
        <f>G446+G459</f>
        <v>831.60000000000014</v>
      </c>
      <c r="H460" s="41"/>
      <c r="I460" s="41"/>
      <c r="J460" s="41"/>
      <c r="K460" s="41"/>
      <c r="L460" s="41"/>
      <c r="M460" s="42">
        <f ca="1">IFERROR(M446+M459,"")</f>
        <v>7.4373611109978033E-2</v>
      </c>
      <c r="N460" s="40" t="s">
        <v>230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26" zoomScale="50" zoomScaleNormal="50" workbookViewId="0">
      <selection activeCell="J447" sqref="J44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297</v>
      </c>
      <c r="N166" s="27" t="s">
        <v>298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227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224</v>
      </c>
      <c r="F447" s="27"/>
      <c r="G447" s="34" t="str">
        <f t="shared" ref="G447:G458" si="99">IF(F447="","",IF(E447="PC 17",F447*4.2,IF(E447="PC 19",F447*5,"")))</f>
        <v/>
      </c>
      <c r="H447" s="33" t="s">
        <v>20</v>
      </c>
      <c r="I447" s="33"/>
      <c r="J447" s="33" t="s">
        <v>28</v>
      </c>
      <c r="K447" s="29">
        <v>0.82638888888888884</v>
      </c>
      <c r="L447" s="29"/>
      <c r="M447" s="35">
        <f t="shared" ref="M447:M458" ca="1" si="100">IFERROR(IF(K447="","",IF(L447="",MOD(NOW()-K447,1),IF(L447&gt;=K447,L447-K447,L447+1-K447))),"")</f>
        <v>1.4569444392691366E-3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224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224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224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224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224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224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224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224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224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224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224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1.4569444392691366E-3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35</v>
      </c>
      <c r="G460" s="40">
        <f>G446+G459</f>
        <v>147.00000000000003</v>
      </c>
      <c r="H460" s="41"/>
      <c r="I460" s="41"/>
      <c r="J460" s="41"/>
      <c r="K460" s="41"/>
      <c r="L460" s="41"/>
      <c r="M460" s="42">
        <f ca="1">IFERROR(M446+M459,"")</f>
        <v>0.19937361110593588</v>
      </c>
      <c r="N460" s="40" t="s">
        <v>230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33" activePane="bottomLeft" state="frozen"/>
      <selection pane="bottomLeft" activeCell="F447" sqref="F44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313</v>
      </c>
      <c r="L58" s="29">
        <v>0.54097222222222219</v>
      </c>
      <c r="M58" s="30" t="str">
        <f t="shared" ca="1" si="13"/>
        <v/>
      </c>
      <c r="N58" s="27" t="s">
        <v>314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0.57854027777648298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0.77784583333203861</v>
      </c>
      <c r="N135" s="36" t="s">
        <v>227</v>
      </c>
      <c r="O135" s="39">
        <v>729290</v>
      </c>
    </row>
    <row r="136" spans="1:18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1.1452069444431496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226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336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338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325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339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340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341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227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224</v>
      </c>
      <c r="F447" s="27"/>
      <c r="G447" s="34" t="str">
        <f t="shared" ref="G447:G458" si="99">IF(F447="","",IF(E447="PC 17",F447*4.2,IF(E447="PC 19",F447*5,"")))</f>
        <v/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224</v>
      </c>
      <c r="F448" s="27"/>
      <c r="G448" s="28" t="str">
        <f t="shared" si="99"/>
        <v/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224</v>
      </c>
      <c r="F449" s="27"/>
      <c r="G449" s="34" t="str">
        <f t="shared" si="99"/>
        <v/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/>
      <c r="M449" s="35">
        <f t="shared" ca="1" si="100"/>
        <v>8.4013888845220208E-3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57" t="s">
        <v>342</v>
      </c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224</v>
      </c>
      <c r="F451" s="27"/>
      <c r="G451" s="34" t="str">
        <f>IF(F451="","",IF(#REF!="PC 17",F451*4.2,IF(#REF!="PC 19",F451*5,"")))</f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224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224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224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224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224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224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224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2.7151388884522065E-2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195</v>
      </c>
      <c r="G460" s="40">
        <f>G446+G459</f>
        <v>819</v>
      </c>
      <c r="H460" s="41"/>
      <c r="I460" s="41"/>
      <c r="J460" s="41"/>
      <c r="K460" s="63"/>
      <c r="L460" s="63"/>
      <c r="M460" s="42">
        <f ca="1">IFERROR(M446+M459,"")</f>
        <v>7.7845833328966663E-2</v>
      </c>
      <c r="N460" s="40" t="s">
        <v>230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2026-07-17T23:52:38Z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