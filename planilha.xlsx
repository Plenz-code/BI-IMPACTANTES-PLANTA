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34" documentId="8_{AF585B22-221D-4780-BB9C-493D365A6A02}" xr6:coauthVersionLast="47" xr6:coauthVersionMax="47" xr10:uidLastSave="{F3775113-91C6-4CED-9DC2-2D8327DF265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<sst xmlns="http://schemas.openxmlformats.org/spreadsheetml/2006/main" count="12512" uniqueCount="444">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</sst>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27" sqref="E8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</v>
      </c>
      <c r="G837" s="109">
        <f>SUM(G825:G836)</f>
        <v>130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159</v>
      </c>
      <c r="G838" s="111">
        <f>G824+G837</f>
        <v>130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L828" sqref="L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0.67455636573868105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0.83219525462756994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0.9419174768497921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0.65302858796349028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0.82386192129682367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0.9690008101857126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25</v>
      </c>
      <c r="G827" s="104">
        <f>IF(F827="","",IF(E827="PC 17",F827*4.2,IF(E827="PC 19",F827*5,"")))</f>
        <v>105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60</v>
      </c>
      <c r="G837" s="109">
        <f>SUM(G825:G836)</f>
        <v>264.8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229</v>
      </c>
      <c r="G838" s="111">
        <f>G824+G837</f>
        <v>974.60000000000014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28" sqref="F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15</v>
      </c>
      <c r="G827" s="104">
        <f>IF(F827="","",IF(E827="PC 17",F827*4.2,IF(E827="PC 19",F827*5,"")))</f>
        <v>63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33</v>
      </c>
      <c r="G837" s="109">
        <f>SUM(G825:G836)</f>
        <v>147.4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128</v>
      </c>
      <c r="G838" s="111">
        <f>G824+G837</f>
        <v>546.4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27" sqref="F8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0.66483414352114778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0.8641396990767034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1.2315008101878144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20</v>
      </c>
      <c r="G837" s="109">
        <f>SUM(G825:G836)</f>
        <v>84</v>
      </c>
      <c r="H837" s="37"/>
      <c r="I837" s="37"/>
      <c r="J837" s="37"/>
      <c r="K837" s="37"/>
      <c r="L837" s="37"/>
      <c r="M837" s="110">
        <f ca="1">IFERROR(SUM(M825:M836),"")</f>
        <v>9.7222222222221877E-3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139</v>
      </c>
      <c r="G838" s="111">
        <f>G824+G837</f>
        <v>583.80000000000007</v>
      </c>
      <c r="H838" s="41"/>
      <c r="I838" s="41"/>
      <c r="J838" s="41"/>
      <c r="K838" s="41"/>
      <c r="L838" s="41"/>
      <c r="M838" s="112">
        <f ca="1">IFERROR(M824+M837,"")</f>
        <v>0.12569444444444433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2026-08-01T01:56:53Z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