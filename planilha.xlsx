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13" documentId="8_{AF585B22-221D-4780-BB9C-493D365A6A02}" xr6:coauthVersionLast="47" xr6:coauthVersionMax="47" xr10:uidLastSave="{DC159855-086E-43EE-B814-36904E600D19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<sst xmlns="http://schemas.openxmlformats.org/spreadsheetml/2006/main" count="5312" uniqueCount="302">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</sst>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8" activePane="bottomLeft" state="frozen"/>
      <selection pane="bottomLeft" activeCell="F313" sqref="F31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>
        <v>14</v>
      </c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14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231.5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09" activePane="bottomLeft" state="frozen"/>
      <selection pane="bottomLeft" activeCell="N314" sqref="N3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/>
      <c r="M313" s="35">
        <f t="shared" ca="1" si="70"/>
        <v>5.5365740772685967E-3</v>
      </c>
      <c r="N313" s="46" t="s">
        <v>259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19</v>
      </c>
      <c r="G324" s="36">
        <f>SUM(G312:G323)</f>
        <v>79.8</v>
      </c>
      <c r="H324" s="37"/>
      <c r="I324" s="37"/>
      <c r="J324" s="37"/>
      <c r="K324" s="37"/>
      <c r="L324" s="37"/>
      <c r="M324" s="38">
        <f ca="1">IFERROR(SUM(M312:M323),"")</f>
        <v>1.8036574077268663E-2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110</v>
      </c>
      <c r="G325" s="40">
        <f>G311+G324</f>
        <v>462</v>
      </c>
      <c r="H325" s="41"/>
      <c r="I325" s="41"/>
      <c r="J325" s="41"/>
      <c r="K325" s="41"/>
      <c r="L325" s="41"/>
      <c r="M325" s="42">
        <f ca="1">IFERROR(M311+M324,"")</f>
        <v>0.16873101852171307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F313" sqref="F3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268</v>
      </c>
      <c r="N166" s="27" t="s">
        <v>269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6.3175462964863982E-2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232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16</v>
      </c>
      <c r="G324" s="36">
        <f>SUM(G312:G323)</f>
        <v>67.2</v>
      </c>
      <c r="H324" s="37"/>
      <c r="I324" s="37"/>
      <c r="J324" s="37"/>
      <c r="K324" s="37"/>
      <c r="L324" s="37"/>
      <c r="M324" s="38">
        <f ca="1">IFERROR(SUM(M312:M323),"")</f>
        <v>6.3175462964863982E-2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85</v>
      </c>
      <c r="G325" s="40">
        <f>G311+G324</f>
        <v>361.8</v>
      </c>
      <c r="H325" s="41"/>
      <c r="I325" s="41"/>
      <c r="J325" s="41"/>
      <c r="K325" s="41"/>
      <c r="L325" s="41"/>
      <c r="M325" s="42">
        <f ca="1">IFERROR(M311+M324,"")</f>
        <v>0.16248101852041941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5" activePane="bottomLeft" state="frozen"/>
      <selection pane="bottomLeft" activeCell="F313" sqref="F31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280</v>
      </c>
      <c r="L58" s="29">
        <v>0.54097222222222219</v>
      </c>
      <c r="M58" s="30" t="str">
        <f t="shared" ca="1" si="13"/>
        <v/>
      </c>
      <c r="N58" s="27" t="s">
        <v>281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0.61039768518821802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0.80970324074377364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1.1770643518548847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232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20</v>
      </c>
      <c r="G324" s="36">
        <f>SUM(G312:G323)</f>
        <v>100</v>
      </c>
      <c r="H324" s="37"/>
      <c r="I324" s="37"/>
      <c r="J324" s="37"/>
      <c r="K324" s="61"/>
      <c r="L324" s="61"/>
      <c r="M324" s="38">
        <f ca="1">IFERROR(SUM(M312:M323),"")</f>
        <v>4.0277777777777746E-2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50</v>
      </c>
      <c r="G325" s="40">
        <f>G311+G324</f>
        <v>226</v>
      </c>
      <c r="H325" s="41"/>
      <c r="I325" s="41"/>
      <c r="J325" s="41"/>
      <c r="K325" s="63"/>
      <c r="L325" s="63"/>
      <c r="M325" s="42">
        <f ca="1">IFERROR(M311+M324,"")</f>
        <v>0.45347222222222228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2026-07-13T00:38:29Z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