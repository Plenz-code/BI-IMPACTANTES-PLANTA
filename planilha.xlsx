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251" documentId="8_{AF585B22-221D-4780-BB9C-493D365A6A02}" xr6:coauthVersionLast="47" xr6:coauthVersionMax="47" xr10:uidLastSave="{6B02A182-091B-4241-B904-3AB84BD04B0C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<sst xmlns="http://schemas.openxmlformats.org/spreadsheetml/2006/main" count="6368" uniqueCount="325">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</sst>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C21" sqref="C21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1576070</v>
      </c>
      <c r="D18" s="8">
        <f>IFERROR('Linha 1'!O406,"")</f>
        <v>281950</v>
      </c>
      <c r="E18" s="8">
        <f>IFERROR('Linha 2'!O406,"")</f>
        <v>399940</v>
      </c>
      <c r="F18" s="8">
        <f>IFERROR('Linha 3'!O406,"")</f>
        <v>565570</v>
      </c>
      <c r="G18" s="9">
        <f t="shared" si="0"/>
        <v>1247460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43719092</v>
      </c>
      <c r="D35" s="13">
        <f>IFERROR(SUM(D4:D34),"")</f>
        <v>16028150</v>
      </c>
      <c r="E35" s="13">
        <f>IFERROR(SUM(E4:E34),"")</f>
        <v>10699830</v>
      </c>
      <c r="F35" s="13">
        <f>IFERROR(SUM(F4:F34),"")</f>
        <v>19982890</v>
      </c>
      <c r="G35" s="13">
        <f>IFERROR(SUM(G4:G34),"")</f>
        <v>46710870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65" activePane="bottomLeft" state="frozen"/>
      <selection pane="bottomLeft" activeCell="O393" sqref="O39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260</v>
      </c>
      <c r="G406" s="40">
        <f>G392+G405</f>
        <v>1300</v>
      </c>
      <c r="H406" s="41"/>
      <c r="I406" s="41"/>
      <c r="J406" s="41"/>
      <c r="K406" s="41"/>
      <c r="L406" s="41"/>
      <c r="M406" s="42">
        <f ca="1">IFERROR(M392+M405,"")</f>
        <v>0.11527777777777776</v>
      </c>
      <c r="N406" s="40" t="s">
        <v>226</v>
      </c>
      <c r="O406" s="48">
        <f>IFERROR(O392+O405,"")</f>
        <v>1576070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63" activePane="bottomLeft" state="frozen"/>
      <selection pane="bottomLeft" activeCell="O393" sqref="O39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242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270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242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242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242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242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242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242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242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242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272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273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0.53674456018052297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0.69438344906941185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0.80410567129163402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257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274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223</v>
      </c>
      <c r="O405" s="78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74</v>
      </c>
      <c r="G406" s="40">
        <f>G392+G405</f>
        <v>310.8</v>
      </c>
      <c r="H406" s="41"/>
      <c r="I406" s="41"/>
      <c r="J406" s="41"/>
      <c r="K406" s="41"/>
      <c r="L406" s="41"/>
      <c r="M406" s="42">
        <f ca="1">IFERROR(M392+M405,"")</f>
        <v>0.34027777777777773</v>
      </c>
      <c r="N406" s="40" t="s">
        <v>226</v>
      </c>
      <c r="O406" s="84">
        <f>IFERROR(O392+O405,"")</f>
        <v>281950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64" zoomScale="50" zoomScaleNormal="50" workbookViewId="0">
      <selection activeCell="O393" sqref="O39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279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256</v>
      </c>
      <c r="K141" s="29">
        <v>0.71597222222222223</v>
      </c>
      <c r="L141" s="29" t="s">
        <v>282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284</v>
      </c>
      <c r="N166" s="27" t="s">
        <v>285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287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288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292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242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242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279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242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242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242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242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242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242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242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242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242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242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242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242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242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242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242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242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242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95</v>
      </c>
      <c r="G406" s="40">
        <f>G392+G405</f>
        <v>399.00000000000006</v>
      </c>
      <c r="H406" s="41"/>
      <c r="I406" s="41"/>
      <c r="J406" s="41"/>
      <c r="K406" s="41"/>
      <c r="L406" s="41"/>
      <c r="M406" s="42">
        <f ca="1">IFERROR(M392+M405,"")</f>
        <v>2.9861111111111061E-2</v>
      </c>
      <c r="N406" s="40" t="s">
        <v>226</v>
      </c>
      <c r="O406" s="48">
        <f>IFERROR(O392+O405,"")</f>
        <v>399940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64" activePane="bottomLeft" state="frozen"/>
      <selection pane="bottomLeft" activeCell="O393" sqref="O39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299</v>
      </c>
      <c r="L58" s="29">
        <v>0.54097222222222219</v>
      </c>
      <c r="M58" s="30" t="str">
        <f t="shared" ca="1" si="13"/>
        <v/>
      </c>
      <c r="N58" s="27" t="s">
        <v>300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0.5270223379629897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0.72632789351854532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1.0936890046296563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242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319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320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251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242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279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242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242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242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242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242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242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242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242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242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322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242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242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242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324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311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143</v>
      </c>
      <c r="G406" s="40">
        <f>G392+G405</f>
        <v>600.6</v>
      </c>
      <c r="H406" s="41"/>
      <c r="I406" s="41"/>
      <c r="J406" s="41"/>
      <c r="K406" s="63"/>
      <c r="L406" s="63"/>
      <c r="M406" s="42">
        <f ca="1">IFERROR(M392+M405,"")</f>
        <v>0.18263888888888896</v>
      </c>
      <c r="N406" s="40" t="s">
        <v>226</v>
      </c>
      <c r="O406" s="48">
        <f>IFERROR(O392+O405,"")</f>
        <v>565570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2026-07-15T22:38:29Z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