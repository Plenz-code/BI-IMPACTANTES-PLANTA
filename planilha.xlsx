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154" documentId="8_{AF585B22-221D-4780-BB9C-493D365A6A02}" xr6:coauthVersionLast="47" xr6:coauthVersionMax="47" xr10:uidLastSave="{52AFBB16-B422-4D0D-AA9F-50F20EA11517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<sst xmlns="http://schemas.openxmlformats.org/spreadsheetml/2006/main" count="3947" uniqueCount="273">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</sst>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97" activePane="bottomLeft" state="frozen"/>
      <selection pane="bottomLeft" activeCell="F223" sqref="F22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58</v>
      </c>
      <c r="G230" s="36">
        <f>SUM(G218:G229)</f>
        <v>290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58</v>
      </c>
      <c r="G244" s="40">
        <f>G230+G243</f>
        <v>290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0" activePane="bottomLeft" state="frozen"/>
      <selection pane="bottomLeft" activeCell="F224" sqref="F22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18</v>
      </c>
      <c r="I219" s="33"/>
      <c r="J219" s="33"/>
      <c r="K219" s="29">
        <v>0.52013888888888893</v>
      </c>
      <c r="L219" s="29"/>
      <c r="M219" s="35">
        <f t="shared" ca="1" si="49"/>
        <v>1.9887847221980337E-2</v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70</v>
      </c>
      <c r="G230" s="36">
        <f>SUM(G218:G229)</f>
        <v>294</v>
      </c>
      <c r="H230" s="37"/>
      <c r="I230" s="37"/>
      <c r="J230" s="37"/>
      <c r="K230" s="37"/>
      <c r="L230" s="37"/>
      <c r="M230" s="38">
        <f ca="1">IFERROR(SUM(M218:M229),"")</f>
        <v>0.1837767361108692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70</v>
      </c>
      <c r="G244" s="40">
        <f>G230+G243</f>
        <v>294</v>
      </c>
      <c r="H244" s="41"/>
      <c r="I244" s="41"/>
      <c r="J244" s="41"/>
      <c r="K244" s="41"/>
      <c r="L244" s="41"/>
      <c r="M244" s="42">
        <f ca="1">IFERROR(M230+M243,"")</f>
        <v>0.1837767361108692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188" zoomScale="50" zoomScaleNormal="50" workbookViewId="0">
      <selection activeCell="E223" sqref="E22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249</v>
      </c>
      <c r="N166" s="27" t="s">
        <v>250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4</v>
      </c>
      <c r="G220" s="28">
        <f t="shared" si="48"/>
        <v>16.8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55</v>
      </c>
      <c r="G230" s="36">
        <f>SUM(G218:G229)</f>
        <v>231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55</v>
      </c>
      <c r="G244" s="40">
        <f>G230+G243</f>
        <v>231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89" activePane="bottomLeft" state="frozen"/>
      <selection pane="bottomLeft" activeCell="F224" sqref="F22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256</v>
      </c>
      <c r="L58" s="29">
        <v>0.54097222222222219</v>
      </c>
      <c r="M58" s="30" t="str">
        <f t="shared" ca="1" si="13"/>
        <v/>
      </c>
      <c r="N58" s="27" t="s">
        <v>257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0.29072118055773899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0.49002673611329461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0.85738784722440564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8</v>
      </c>
      <c r="G223" s="34">
        <f t="shared" si="48"/>
        <v>33.6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46</v>
      </c>
      <c r="G230" s="36">
        <f>SUM(G218:G229)</f>
        <v>193.20000000000002</v>
      </c>
      <c r="H230" s="37"/>
      <c r="I230" s="37"/>
      <c r="J230" s="37"/>
      <c r="K230" s="61"/>
      <c r="L230" s="61"/>
      <c r="M230" s="38">
        <f ca="1">IFERROR(SUM(M218:M229),"")</f>
        <v>0.12361111111111117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46</v>
      </c>
      <c r="G244" s="40">
        <f>G230+G243</f>
        <v>193.20000000000002</v>
      </c>
      <c r="H244" s="41"/>
      <c r="I244" s="41"/>
      <c r="J244" s="41"/>
      <c r="K244" s="63"/>
      <c r="L244" s="63"/>
      <c r="M244" s="42">
        <f ca="1">IFERROR(M230+M243,"")</f>
        <v>0.12361111111111117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2026-07-09T16:57:38Z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