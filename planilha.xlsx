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33" documentId="13_ncr:1_{A6DBCFB4-28D9-4249-9038-216934055CA6}" xr6:coauthVersionLast="47" xr6:coauthVersionMax="47" xr10:uidLastSave="{C2FF7A54-C0F8-4C23-843B-117C1AF7B518}"/>
  <bookViews>
    <workbookView xWindow="-110" yWindow="-110" windowWidth="25820" windowHeight="1550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<sst xmlns="http://schemas.openxmlformats.org/spreadsheetml/2006/main" count="9440" uniqueCount="415">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</sst>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K559" sqref="K55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/>
      <c r="I559" s="70"/>
      <c r="J559" s="70"/>
      <c r="K559" s="65">
        <v>8.3333333333333329E-2</v>
      </c>
      <c r="L559" s="65"/>
      <c r="M559" s="71">
        <f t="shared" ca="1" si="120"/>
        <v>6.0234953707549721E-3</v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41</v>
      </c>
      <c r="G567" s="2">
        <f>SUM(G555:G566)</f>
        <v>205</v>
      </c>
      <c r="H567" s="72"/>
      <c r="I567" s="72"/>
      <c r="J567" s="72"/>
      <c r="K567" s="72"/>
      <c r="L567" s="72"/>
      <c r="M567" s="73">
        <f ca="1">IFERROR(SUM(M555:M566),"")</f>
        <v>0.21991238425964396</v>
      </c>
      <c r="N567" s="2" t="s">
        <v>262</v>
      </c>
      <c r="O567" s="74"/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41</v>
      </c>
      <c r="G568" s="1">
        <f>G554+G567</f>
        <v>205</v>
      </c>
      <c r="H568" s="76"/>
      <c r="I568" s="76"/>
      <c r="J568" s="76"/>
      <c r="K568" s="76"/>
      <c r="L568" s="76"/>
      <c r="M568" s="77">
        <f ca="1">IFERROR(M554+M567,"")</f>
        <v>0.71991238425964388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1" activePane="bottomLeft" state="frozen"/>
      <selection pane="bottomLeft" activeCell="L564" sqref="L56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0.96782905092550209</v>
      </c>
      <c r="R53" s="80" t="s">
        <v>309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1.1067179398143898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1.1914401620366126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311</v>
      </c>
      <c r="Q96" s="66" t="str">
        <f t="shared" ref="Q96:Q107" ca="1" si="22">IFERROR(IF(O96="","",IF(P96="",MOD(NOW()-O96,1),IF(P96&gt;=O96,P96-O96,P96+1-O96))),"")</f>
        <v/>
      </c>
      <c r="R96" s="80" t="s">
        <v>312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0.29769016204227228</v>
      </c>
      <c r="R555" s="80" t="s">
        <v>343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0.29769016204227228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0.61921793982004991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2" activePane="bottomLeft" state="frozen"/>
      <selection pane="bottomLeft" activeCell="L573" sqref="L57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357</v>
      </c>
      <c r="Q222" s="66" t="str">
        <f t="shared" ca="1" si="49"/>
        <v/>
      </c>
      <c r="R222" s="63" t="s">
        <v>358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39"/>
        <v>0</v>
      </c>
      <c r="K561" s="69">
        <f t="shared" si="140"/>
        <v>12.600000000000001</v>
      </c>
      <c r="L561" s="70" t="s">
        <v>29</v>
      </c>
      <c r="M561" s="70" t="s">
        <v>56</v>
      </c>
      <c r="N561" s="61"/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/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39"/>
        <v/>
      </c>
      <c r="K562" s="64" t="str">
        <f t="shared" si="140"/>
        <v/>
      </c>
      <c r="L562" s="61"/>
      <c r="M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72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317.60000000000002</v>
      </c>
      <c r="L567" s="72"/>
      <c r="M567" s="72"/>
      <c r="N567" s="72"/>
      <c r="O567" s="72"/>
      <c r="P567" s="72"/>
      <c r="Q567" s="73">
        <f ca="1">IFERROR(SUM(Q555:Q566),"")</f>
        <v>5.0000000000000121E-2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81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355.40000000000003</v>
      </c>
      <c r="L568" s="76"/>
      <c r="M568" s="76"/>
      <c r="N568" s="76"/>
      <c r="O568" s="76"/>
      <c r="P568" s="76"/>
      <c r="Q568" s="77">
        <f ca="1">IFERROR(Q554+Q567,"")</f>
        <v>0.46041666666666681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560 N563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561" xr:uid="{279206EE-9305-4E66-95E4-E242720FBD76}">
      <formula1>INDIRECT("Desc_"&amp;SUBSTITUTE(SUBSTITUTE(SUBSTITUTE(SUBSTITUTE(SUBSTITUTE(SUBSTITUTE(SUBSTITUTE(SUBSTITUTE(SUBSTITUTE(SUBSTITUTE(L562,"é","e"),"ê","e"),"ã","a"),"ç","c"),"â","a"),"í","i"),"á","a"),"ó","o"),"ú","u"),"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42" activePane="bottomLeft" state="frozen"/>
      <selection pane="bottomLeft" activeCell="D562" sqref="D56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372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373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374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375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376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377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378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379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380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381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382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383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385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387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388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389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390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391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392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393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394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395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396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397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398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399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400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401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402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403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404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405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399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406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407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408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409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410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411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412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42"/>
        <v>0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413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/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 t="str">
        <f t="shared" si="143"/>
        <v/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414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61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258.60000000000002</v>
      </c>
      <c r="L567" s="72"/>
      <c r="M567" s="72"/>
      <c r="N567" s="72"/>
      <c r="O567" s="134"/>
      <c r="P567" s="134"/>
      <c r="Q567" s="73">
        <f ca="1">IFERROR(SUM(Q555:Q566),"")</f>
        <v>9.7916666666666541E-2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192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808.80000000000007</v>
      </c>
      <c r="L568" s="76"/>
      <c r="M568" s="76"/>
      <c r="N568" s="76"/>
      <c r="O568" s="135"/>
      <c r="P568" s="135"/>
      <c r="Q568" s="77">
        <f ca="1">IFERROR(Q554+Q567,"")</f>
        <v>0.2541666666666666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2026-08-22T06:08:42Z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