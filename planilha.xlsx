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3" documentId="8_{C51EB6CB-002B-4D6B-B68F-DDEBDB4460C0}" xr6:coauthVersionLast="47" xr6:coauthVersionMax="47" xr10:uidLastSave="{693C32BB-7B26-4FF2-A576-EAB71424ABFF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811" i="3" l="1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<sst xmlns="http://schemas.openxmlformats.org/spreadsheetml/2006/main" count="1209" uniqueCount="237">
  <si>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</si>
  <si>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</si>
  <si>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</si>
  <si>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</si>
  <si>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</si>
  <si>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</si>
  <si>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</si>
  <si>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</si>
  <si>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</si>
  <si>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</si>
  <si>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</si>
  <si>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</si>
  <si>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</si>
  <si>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</si>
  <si>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</si>
  <si>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</si>
  <si>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</si>
  <si>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</si>
  <si>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</si>
  <si>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</si>
  <si>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</si>
  <si>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</si>
  <si>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</si>
  <si>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</si>
  <si>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</si>
  <si>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</si>
  <si>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</si>
  <si>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</si>
  <si>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</si>
  <si>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</si>
  <si>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</si>
  <si>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</si>
  <si>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</si>
  <si>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</si>
  <si>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</si>
  <si>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</si>
  <si>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</si>
  <si>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</si>
  <si>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</si>
  <si>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</si>
  <si>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</si>
  <si>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</si>
  <si>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</si>
  <si>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</si>
  <si>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</si>
  <si>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</si>
  <si>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</si>
  <si>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</si>
  <si>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</si>
  <si>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</si>
  <si>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</si>
  <si>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</si>
  <si>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</si>
  <si>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</si>
  <si>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</si>
  <si>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</si>
  <si>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</si>
  <si>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</si>
  <si>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</si>
  <si>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</si>
  <si>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</si>
  <si>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</si>
  <si>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</si>
  <si>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</si>
  <si>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</si>
  <si>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</si>
  <si>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</si>
  <si>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</si>
  <si>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</si>
  <si>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</si>
  <si>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</si>
  <si>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</si>
  <si>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</si>
  <si>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</si>
  <si>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</si>
  <si>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</si>
  <si>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</si>
  <si>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</si>
  <si>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</si>
  <si>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</si>
  <si>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</si>
  <si>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</si>
  <si>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</si>
  <si>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</si>
  <si>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</si>
  <si>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</si>
  <si>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</si>
  <si>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</si>
  <si>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</si>
  <si>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</si>
  <si>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</si>
  <si>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</si>
  <si>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</si>
  <si>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</si>
  <si>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</si>
  <si>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</si>
  <si>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</si>
  <si>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</si>
  <si>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</si>
  <si>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</si>
  <si>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</si>
  <si>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</si>
  <si>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</si>
  <si>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</si>
  <si>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</si>
  <si>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</si>
  <si>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</si>
  <si>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</si>
  <si>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</si>
  <si>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</si>
  <si>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</si>
  <si>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</si>
  <si>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</si>
  <si>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</si>
  <si>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</si>
  <si>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</si>
  <si>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</si>
  <si>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</si>
  <si>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</si>
  <si>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</si>
  <si>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</si>
  <si>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</si>
  <si>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</si>
  <si>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</si>
  <si>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</si>
  <si>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</si>
  <si>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</si>
  <si>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</si>
  <si>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</si>
  <si>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</si>
  <si>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</si>
  <si>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</si>
  <si>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</si>
  <si>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</si>
  <si>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</si>
  <si>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</si>
  <si>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</si>
  <si>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</si>
  <si>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</si>
  <si>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</si>
  <si>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</si>
  <si>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</si>
  <si>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</si>
  <si>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</si>
  <si>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</si>
  <si>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</si>
  <si>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</si>
  <si>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</si>
  <si>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</si>
  <si>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</si>
  <si>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</si>
  <si>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</si>
  <si>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</si>
  <si>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</si>
  <si>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</si>
  <si>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</si>
  <si>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</si>
  <si>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</si>
  <si>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</si>
  <si>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</si>
  <si>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</si>
  <si>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</si>
  <si>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</si>
  <si>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</si>
  <si>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</si>
  <si>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</si>
  <si>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</si>
  <si>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</si>
  <si>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</si>
  <si>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</si>
  <si>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</si>
  <si>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</si>
  <si>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</si>
  <si>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</si>
  <si>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</si>
  <si>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</si>
  <si>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</si>
  <si>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</si>
  <si>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</si>
  <si>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</si>
  <si>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</si>
  <si>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</si>
  <si>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</si>
  <si>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</si>
  <si>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</si>
  <si>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</si>
  <si>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</si>
  <si>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</si>
  <si>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</si>
  <si>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</si>
  <si>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</si>
  <si>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</si>
  <si>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</si>
  <si>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</si>
  <si>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</si>
  <si>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</si>
  <si>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</si>
  <si>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</si>
  <si>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</si>
  <si>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</si>
  <si>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</si>
  <si>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</si>
  <si>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</si>
  <si>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</si>
  <si>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</si>
  <si>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</si>
  <si>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</si>
  <si>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</si>
  <si>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</si>
  <si>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</si>
  <si>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</si>
  <si>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</si>
  <si>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</si>
  <si>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</si>
  <si>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</si>
  <si>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</si>
  <si>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</si>
  <si>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</si>
  <si>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</si>
  <si>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</si>
  <si>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</si>
  <si>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</si>
  <si>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</si>
  <si>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</si>
  <si>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</si>
  <si>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</si>
  <si>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</si>
  <si>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</si>
  <si>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</si>
  <si>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</si>
  <si>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</si>
  <si>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</si>
  <si>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</si>
  <si>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</si>
  <si>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</si>
  <si>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</si>
  <si>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00:020:00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</si>
</sst>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/>
      <c r="I2" s="26"/>
      <c r="J2" s="26"/>
      <c r="K2" s="29"/>
      <c r="L2" s="29"/>
      <c r="M2" s="30" t="str">
        <f ca="1">IFERROR(IF(K2="","",IF(L2="",MOD(NOW()-K2,1),IF(L2&gt;=K2,L2-K2,L2+1-K2))),"")</f>
        <v/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116</v>
      </c>
      <c r="G14" s="36">
        <f>SUM(G2:G13)</f>
        <v>580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116</v>
      </c>
      <c r="G28" s="40">
        <f>G14+G27</f>
        <v>580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>
        <v>3.3333333333333333E-2</v>
      </c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3.3333333333333333E-2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31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19</v>
      </c>
      <c r="I5" s="33" t="s">
        <v>39</v>
      </c>
      <c r="J5" s="33" t="s">
        <v>27</v>
      </c>
      <c r="K5" s="29">
        <v>0.56458333333333333</v>
      </c>
      <c r="L5" s="29"/>
      <c r="M5" s="30">
        <f t="shared" ca="1" si="1"/>
        <v>6.3185069448081776E-2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79</v>
      </c>
      <c r="G14" s="36">
        <f>SUM(G2:G13)</f>
        <v>331.8</v>
      </c>
      <c r="H14" s="37"/>
      <c r="I14" s="37"/>
      <c r="J14" s="37"/>
      <c r="K14" s="37"/>
      <c r="L14" s="37"/>
      <c r="M14" s="38">
        <f ca="1">IFERROR(SUM(M2:M13),"")</f>
        <v>0.14096284722585956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79</v>
      </c>
      <c r="G28" s="40">
        <f>G14+G27</f>
        <v>331.8</v>
      </c>
      <c r="H28" s="41"/>
      <c r="I28" s="41"/>
      <c r="J28" s="41"/>
      <c r="K28" s="41"/>
      <c r="L28" s="41"/>
      <c r="M28" s="42">
        <f ca="1">IFERROR(M14+M27,"")</f>
        <v>0.14096284722585956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9" sqref="F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48</v>
      </c>
      <c r="G14" s="36">
        <f>SUM(G2:G13)</f>
        <v>201.6</v>
      </c>
      <c r="H14" s="37"/>
      <c r="I14" s="37"/>
      <c r="J14" s="37"/>
      <c r="K14" s="37"/>
      <c r="L14" s="37"/>
      <c r="M14" s="38">
        <f ca="1">IFERROR(SUM(M2:M13),"")</f>
        <v>3.4722222222222099E-3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48</v>
      </c>
      <c r="G28" s="40">
        <f>G14+G27</f>
        <v>201.6</v>
      </c>
      <c r="H28" s="41"/>
      <c r="I28" s="41"/>
      <c r="J28" s="41"/>
      <c r="K28" s="41"/>
      <c r="L28" s="41"/>
      <c r="M28" s="42">
        <f ca="1">IFERROR(M14+M27,"")</f>
        <v>3.4722222222222099E-3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">
        <v>236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>
        <v>5.5555555555555558E-3</v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5.5555555555555558E-3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5.5555555555555558E-3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100</v>
      </c>
      <c r="G14" s="36">
        <f>SUM(G2:G13)</f>
        <v>420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100</v>
      </c>
      <c r="G28" s="40">
        <f>G14+G27</f>
        <v>420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>
        <v>6.9444444444444441E-3</v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6.9444444444444441E-3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6.9444444444444441E-3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>
        <v>2.7777777777777776E-2</v>
      </c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2.7777777777777776E-2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2.7777777777777776E-2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2026-08-01T19:04:54Z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