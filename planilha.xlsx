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41" documentId="8_{AF585B22-221D-4780-BB9C-493D365A6A02}" xr6:coauthVersionLast="47" xr6:coauthVersionMax="47" xr10:uidLastSave="{13E3705C-3582-4F4C-9A03-4D672A853E4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<sst xmlns="http://schemas.openxmlformats.org/spreadsheetml/2006/main" count="8000" uniqueCount="354">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</sst>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5" sqref="F5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73</v>
      </c>
      <c r="G513" s="36">
        <f>SUM(G501:G512)</f>
        <v>365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304</v>
      </c>
      <c r="G514" s="40">
        <f>G500+G513</f>
        <v>1447.2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82" activePane="bottomLeft" state="frozen"/>
      <selection pane="bottomLeft" activeCell="J501" sqref="J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0.73434606481168885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0.89198495370057773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1.0017071759228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0.71281828703649808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0.88365162036983147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1.0287905092587204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/>
      <c r="M501" s="35">
        <f t="shared" ref="M501:M512" ca="1" si="112">IFERROR(IF(K501="","",IF(L501="",MOD(NOW()-K501,1),IF(L501&gt;=K501,L501-K501,L501+1-K501))),"")</f>
        <v>6.5682870335876942E-3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56</v>
      </c>
      <c r="G513" s="36">
        <f>SUM(G501:G512)</f>
        <v>244.8</v>
      </c>
      <c r="H513" s="37"/>
      <c r="I513" s="37"/>
      <c r="J513" s="37"/>
      <c r="K513" s="37"/>
      <c r="L513" s="37"/>
      <c r="M513" s="38">
        <f ca="1">IFERROR(SUM(M501:M512),"")</f>
        <v>6.5682870335876942E-3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835.59999999999991</v>
      </c>
      <c r="H514" s="41"/>
      <c r="I514" s="41"/>
      <c r="J514" s="41"/>
      <c r="K514" s="41"/>
      <c r="L514" s="41"/>
      <c r="M514" s="42">
        <f ca="1">IFERROR(M500+M513,"")</f>
        <v>0.1058738425891434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30</v>
      </c>
      <c r="G513" s="36">
        <f>SUM(G501:G512)</f>
        <v>130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84</v>
      </c>
      <c r="G514" s="40">
        <f>G500+G513</f>
        <v>378.40000000000003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5" sqref="F5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0.72462384259415558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0.9239293981497112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1.2912905092608222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48</v>
      </c>
      <c r="G513" s="36">
        <f>SUM(G501:G512)</f>
        <v>206.4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203</v>
      </c>
      <c r="G514" s="40">
        <f>G500+G513</f>
        <v>920.60000000000014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2026-07-20T03:22:44Z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