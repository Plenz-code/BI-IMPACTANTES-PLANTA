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34" documentId="13_ncr:1_{0A10D8D4-8450-4366-8075-B53B08E6B7EA}" xr6:coauthVersionLast="47" xr6:coauthVersionMax="47" xr10:uidLastSave="{9F464EE6-FDDB-4847-A76B-E07337460691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1" i="5" l="1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<sst xmlns="http://schemas.openxmlformats.org/spreadsheetml/2006/main" count="8043" uniqueCount="376">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</sst>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D479" sqref="D47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347</v>
      </c>
      <c r="G487" s="40">
        <f>G473+G486</f>
        <v>1735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53" activePane="bottomLeft" state="frozen"/>
      <selection pane="bottomLeft" activeCell="D484" sqref="D484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0.70907071758847451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0.84795960647736335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0.93268182869958571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/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/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/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/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/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/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193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810.59999999999991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46" activePane="bottomLeft" state="frozen"/>
      <selection pane="bottomLeft" activeCell="E481" sqref="E48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>
        <v>0.79166666666666663</v>
      </c>
      <c r="P474" s="29"/>
      <c r="Q474" s="30">
        <f t="shared" ref="Q474:Q485" ca="1" si="118">IFERROR(IF(O474="","",IF(P474="",MOD(NOW()-O474,1),IF(P474&gt;=O474,P474-O474,P474+1-O474))),"")</f>
        <v>3.8931828705244698E-2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261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3.8931828705244698E-2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66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277.2</v>
      </c>
      <c r="L487" s="41"/>
      <c r="M487" s="41"/>
      <c r="N487" s="41"/>
      <c r="O487" s="41"/>
      <c r="P487" s="41"/>
      <c r="Q487" s="42">
        <f ca="1">IFERROR(Q473+Q486,"")</f>
        <v>0.33059849537191133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59" activePane="bottomLeft" state="frozen"/>
      <selection pane="bottomLeft" activeCell="E480" sqref="E48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1.3194444444444398E-2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154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646.80000000000007</v>
      </c>
      <c r="L487" s="41"/>
      <c r="M487" s="41"/>
      <c r="N487" s="41"/>
      <c r="O487" s="63"/>
      <c r="P487" s="63"/>
      <c r="Q487" s="42">
        <f ca="1">IFERROR(Q473+Q486,"")</f>
        <v>0.30624999999999974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2026-08-18T23:56:07Z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