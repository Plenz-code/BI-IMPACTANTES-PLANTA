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03" documentId="8_{C51EB6CB-002B-4D6B-B68F-DDEBDB4460C0}" xr6:coauthVersionLast="47" xr6:coauthVersionMax="47" xr10:uidLastSave="{A2403551-B9F4-4240-AF00-71C0B997CF84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<sst xmlns="http://schemas.openxmlformats.org/spreadsheetml/2006/main" count="2073" uniqueCount="260">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</sst>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62" sqref="F6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196</v>
      </c>
      <c r="G68" s="36">
        <f>SUM(G56:G67)</f>
        <v>980</v>
      </c>
      <c r="H68" s="37"/>
      <c r="I68" s="37"/>
      <c r="J68" s="37"/>
      <c r="K68" s="37"/>
      <c r="L68" s="37"/>
      <c r="M68" s="38">
        <f ca="1">IFERROR(SUM(M56:M67),"")</f>
        <v>2.777777777777779E-2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980</v>
      </c>
      <c r="H82" s="41"/>
      <c r="I82" s="41"/>
      <c r="J82" s="41"/>
      <c r="K82" s="41"/>
      <c r="L82" s="41"/>
      <c r="M82" s="42">
        <f ca="1">IFERROR(M68+M81,"")</f>
        <v>2.777777777777779E-2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5" t="s">
        <v>233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40" activePane="bottomLeft" state="frozen"/>
      <selection pane="bottomLeft" activeCell="D67" sqref="D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0.4334807870327495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0.57236967592163834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0.65709189814386071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/>
      <c r="G62" s="28" t="str">
        <f t="shared" si="12"/>
        <v/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69</v>
      </c>
      <c r="G68" s="36">
        <f>SUM(G56:G67)</f>
        <v>289.8</v>
      </c>
      <c r="H68" s="37"/>
      <c r="I68" s="37"/>
      <c r="J68" s="37"/>
      <c r="K68" s="37"/>
      <c r="L68" s="37"/>
      <c r="M68" s="38">
        <f ca="1">IFERROR(SUM(M56:M67),"")</f>
        <v>7.7083333333333337E-2</v>
      </c>
      <c r="N68" s="36" t="s">
        <v>230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69</v>
      </c>
      <c r="G82" s="40">
        <f>G68+G81</f>
        <v>289.8</v>
      </c>
      <c r="H82" s="41"/>
      <c r="I82" s="41"/>
      <c r="J82" s="41"/>
      <c r="K82" s="41"/>
      <c r="L82" s="41"/>
      <c r="M82" s="42">
        <f ca="1">IFERROR(M68+M81,"")</f>
        <v>7.7083333333333337E-2</v>
      </c>
      <c r="N82" s="40" t="s">
        <v>234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L61" sqref="L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29</v>
      </c>
      <c r="G68" s="36">
        <f>SUM(G56:G67)</f>
        <v>121.80000000000001</v>
      </c>
      <c r="H68" s="37"/>
      <c r="I68" s="37"/>
      <c r="J68" s="37"/>
      <c r="K68" s="37"/>
      <c r="L68" s="37"/>
      <c r="M68" s="38">
        <f ca="1">IFERROR(SUM(M56:M67),"")</f>
        <v>5.00000000000001E-2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29</v>
      </c>
      <c r="G82" s="40">
        <f>G68+G81</f>
        <v>121.80000000000001</v>
      </c>
      <c r="H82" s="41"/>
      <c r="I82" s="41"/>
      <c r="J82" s="41"/>
      <c r="K82" s="41"/>
      <c r="L82" s="41"/>
      <c r="M82" s="42">
        <f ca="1">IFERROR(M68+M81,"")</f>
        <v>5.00000000000001E-2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32" activePane="bottomLeft" state="frozen"/>
      <selection pane="bottomLeft" activeCell="F62" sqref="F6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83</v>
      </c>
      <c r="G68" s="36">
        <f>SUM(G56:G67)</f>
        <v>348.59999999999997</v>
      </c>
      <c r="H68" s="37"/>
      <c r="I68" s="37"/>
      <c r="J68" s="37"/>
      <c r="K68" s="61"/>
      <c r="L68" s="61"/>
      <c r="M68" s="38">
        <f ca="1">IFERROR(SUM(M56:M67),"")</f>
        <v>3.4027777777777823E-2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83</v>
      </c>
      <c r="G82" s="40">
        <f>G68+G81</f>
        <v>348.59999999999997</v>
      </c>
      <c r="H82" s="41"/>
      <c r="I82" s="41"/>
      <c r="J82" s="41"/>
      <c r="K82" s="63"/>
      <c r="L82" s="63"/>
      <c r="M82" s="42">
        <f ca="1">IFERROR(M68+M81,"")</f>
        <v>3.4027777777777823E-2</v>
      </c>
      <c r="N82" s="40" t="s">
        <v>234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2026-08-03T17:21:15Z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