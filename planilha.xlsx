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004" documentId="13_ncr:1_{0A10D8D4-8450-4366-8075-B53B08E6B7EA}" xr6:coauthVersionLast="47" xr6:coauthVersionMax="47" xr10:uidLastSave="{D05F561E-3BFA-4C2D-A033-5A10FE62853C}"/>
  <bookViews>
    <workbookView xWindow="-108" yWindow="-108" windowWidth="23256" windowHeight="12456" tabRatio="500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84" i="6" l="1"/>
  <c r="J484" i="6" s="1"/>
  <c r="H485" i="6"/>
  <c r="J485" i="6" s="1"/>
  <c r="H484" i="5"/>
  <c r="J484" i="5" s="1"/>
  <c r="H485" i="5"/>
  <c r="J485" i="5" s="1"/>
  <c r="H484" i="4"/>
  <c r="J484" i="4" s="1"/>
  <c r="H485" i="4"/>
  <c r="J485" i="4" s="1"/>
  <c r="H482" i="5"/>
  <c r="J482" i="5" s="1"/>
  <c r="H483" i="5"/>
  <c r="J483" i="5" s="1"/>
  <c r="H482" i="6"/>
  <c r="J482" i="6" s="1"/>
  <c r="H483" i="6"/>
  <c r="J483" i="6" s="1"/>
  <c r="H482" i="4"/>
  <c r="J482" i="4" s="1"/>
  <c r="H483" i="4"/>
  <c r="J483" i="4" s="1"/>
  <c r="H480" i="5"/>
  <c r="J480" i="5" s="1"/>
  <c r="H481" i="5"/>
  <c r="J481" i="5" s="1"/>
  <c r="H480" i="6"/>
  <c r="J480" i="6" s="1"/>
  <c r="H481" i="6"/>
  <c r="J481" i="6" s="1"/>
  <c r="H480" i="4"/>
  <c r="J480" i="4" s="1"/>
  <c r="H481" i="4"/>
  <c r="J481" i="4" s="1"/>
  <c r="H477" i="5"/>
  <c r="J477" i="5" s="1"/>
  <c r="H479" i="5"/>
  <c r="J479" i="5" s="1"/>
  <c r="H477" i="6"/>
  <c r="J477" i="6" s="1"/>
  <c r="H479" i="6"/>
  <c r="J479" i="6" s="1"/>
  <c r="H477" i="4"/>
  <c r="J477" i="4" s="1"/>
  <c r="H479" i="4"/>
  <c r="J479" i="4" s="1"/>
  <c r="H476" i="6"/>
  <c r="J476" i="6" s="1"/>
  <c r="H478" i="6"/>
  <c r="J478" i="6" s="1"/>
  <c r="H474" i="5"/>
  <c r="J474" i="5" s="1"/>
  <c r="H478" i="5"/>
  <c r="J478" i="5" s="1"/>
  <c r="H476" i="4"/>
  <c r="J476" i="4" s="1"/>
  <c r="H478" i="4"/>
  <c r="J478" i="4" s="1"/>
  <c r="H475" i="5"/>
  <c r="H476" i="5"/>
  <c r="J476" i="5" s="1"/>
  <c r="H474" i="6"/>
  <c r="H475" i="6"/>
  <c r="J475" i="6" s="1"/>
  <c r="J475" i="5"/>
  <c r="J486" i="5" s="1"/>
  <c r="T486" i="5" s="1"/>
  <c r="H486" i="5"/>
  <c r="H474" i="4"/>
  <c r="H475" i="4"/>
  <c r="J475" i="4" s="1"/>
  <c r="J474" i="6"/>
  <c r="J474" i="4"/>
  <c r="J486" i="4" s="1"/>
  <c r="T486" i="4" s="1"/>
  <c r="H486" i="4"/>
  <c r="H471" i="5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K514" i="5" l="1"/>
  <c r="H486" i="6"/>
  <c r="J486" i="6"/>
  <c r="T486" i="6" s="1"/>
  <c r="J461" i="6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<sst xmlns="http://schemas.openxmlformats.org/spreadsheetml/2006/main" count="8303" uniqueCount="382">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</sst>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9" fontId="6" fillId="8" borderId="10" xfId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abSelected="1" topLeftCell="B1" zoomScaleNormal="100" workbookViewId="0">
      <pane ySplit="3" topLeftCell="A13" activePane="bottomLeft" state="frozen"/>
      <selection pane="bottomLeft" activeCell="L23" sqref="L23"/>
    </sheetView>
  </sheetViews>
  <sheetFormatPr defaultColWidth="8.5546875" defaultRowHeight="14.4" x14ac:dyDescent="0.3"/>
  <cols>
    <col min="1" max="1" width="17.5546875" customWidth="1"/>
    <col min="2" max="2" width="21" style="69" customWidth="1"/>
    <col min="3" max="3" width="19.5546875" customWidth="1"/>
    <col min="4" max="4" width="23.5546875" customWidth="1"/>
    <col min="5" max="5" width="26" customWidth="1"/>
    <col min="6" max="6" width="8.5546875" customWidth="1"/>
    <col min="7" max="7" width="14.6640625" customWidth="1"/>
    <col min="8" max="8" width="19" customWidth="1"/>
    <col min="9" max="9" width="18.5546875" customWidth="1"/>
    <col min="10" max="10" width="13.109375" customWidth="1"/>
    <col min="11" max="11" width="22.109375" customWidth="1"/>
    <col min="12" max="13" width="8.5546875" customWidth="1"/>
  </cols>
  <sheetData>
    <row r="1" spans="1:11" ht="31.5" customHeight="1" x14ac:dyDescent="0.3">
      <c r="A1" s="175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</row>
    <row r="2" spans="1:11" ht="30" customHeight="1" x14ac:dyDescent="0.3">
      <c r="A2" s="173"/>
      <c r="B2" s="17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 x14ac:dyDescent="0.3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 x14ac:dyDescent="0.3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 x14ac:dyDescent="0.3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 x14ac:dyDescent="0.3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 x14ac:dyDescent="0.3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 x14ac:dyDescent="0.3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 x14ac:dyDescent="0.3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 x14ac:dyDescent="0.3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 x14ac:dyDescent="0.3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 x14ac:dyDescent="0.3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 x14ac:dyDescent="0.3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 x14ac:dyDescent="0.3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 x14ac:dyDescent="0.3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 x14ac:dyDescent="0.3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 x14ac:dyDescent="0.3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 x14ac:dyDescent="0.3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 x14ac:dyDescent="0.3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 x14ac:dyDescent="0.3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 x14ac:dyDescent="0.3">
      <c r="A21" s="10">
        <v>18</v>
      </c>
      <c r="B21" s="72">
        <v>46252</v>
      </c>
      <c r="C21" s="11">
        <f>IFERROR(Britador!O487,"")</f>
        <v>4083060</v>
      </c>
      <c r="D21" s="11">
        <f>IFERROR('Linha 1'!S487,"")</f>
        <v>1442380</v>
      </c>
      <c r="E21" s="11">
        <f>IFERROR('Linha 2'!S487,"")</f>
        <v>615040</v>
      </c>
      <c r="F21" s="11">
        <f>IFERROR('Linha 3'!S487,"")</f>
        <v>1354860</v>
      </c>
      <c r="G21" s="12">
        <f t="shared" si="0"/>
        <v>3412280</v>
      </c>
      <c r="H21" s="96">
        <f>IFERROR('Linha 1'!T487+'Linha 2'!T487+'Linha 3'!T487,0)</f>
        <v>716.57879999999989</v>
      </c>
      <c r="I21" s="96"/>
      <c r="J21" s="129">
        <f t="shared" si="1"/>
        <v>0</v>
      </c>
      <c r="K21" s="154"/>
    </row>
    <row r="22" spans="1:11" ht="15.75" customHeight="1" x14ac:dyDescent="0.3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 x14ac:dyDescent="0.3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 x14ac:dyDescent="0.3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 x14ac:dyDescent="0.3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 x14ac:dyDescent="0.3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 x14ac:dyDescent="0.3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 x14ac:dyDescent="0.3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 x14ac:dyDescent="0.3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 x14ac:dyDescent="0.3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 x14ac:dyDescent="0.3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 x14ac:dyDescent="0.3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 x14ac:dyDescent="0.3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 x14ac:dyDescent="0.3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 x14ac:dyDescent="0.3">
      <c r="A35" s="174" t="s">
        <v>14</v>
      </c>
      <c r="B35" s="174"/>
      <c r="C35" s="13">
        <f t="shared" ref="C35:H35" si="2">IFERROR(SUM(C4:C34),"")</f>
        <v>67918850</v>
      </c>
      <c r="D35" s="13">
        <f t="shared" si="2"/>
        <v>22167400</v>
      </c>
      <c r="E35" s="13">
        <f t="shared" si="2"/>
        <v>11538670</v>
      </c>
      <c r="F35" s="13">
        <f t="shared" si="2"/>
        <v>28115430</v>
      </c>
      <c r="G35" s="13">
        <f t="shared" si="2"/>
        <v>61821500</v>
      </c>
      <c r="H35" s="97">
        <f t="shared" si="2"/>
        <v>5170.7046450601893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 x14ac:dyDescent="0.3">
      <c r="J36" s="160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546875" defaultRowHeight="14.4" x14ac:dyDescent="0.3"/>
  <cols>
    <col min="1" max="1" width="14" customWidth="1"/>
    <col min="2" max="2" width="2" customWidth="1"/>
    <col min="3" max="3" width="26.44140625" customWidth="1"/>
    <col min="4" max="4" width="2" customWidth="1"/>
    <col min="5" max="5" width="17.5546875" customWidth="1"/>
    <col min="6" max="6" width="2" customWidth="1"/>
    <col min="7" max="7" width="17.554687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09375" customWidth="1"/>
    <col min="15" max="15" width="45.44140625" customWidth="1"/>
    <col min="16" max="16" width="42.109375" customWidth="1"/>
    <col min="17" max="17" width="36" customWidth="1"/>
    <col min="18" max="18" width="45.88671875" customWidth="1"/>
  </cols>
  <sheetData>
    <row r="1" spans="1:18" ht="27.75" customHeight="1" x14ac:dyDescent="0.3">
      <c r="A1" s="177" t="s">
        <v>15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16</v>
      </c>
      <c r="O1" s="179"/>
      <c r="P1" s="179"/>
      <c r="Q1" s="179"/>
      <c r="R1" s="179"/>
    </row>
    <row r="2" spans="1:18" ht="4.5" customHeight="1" x14ac:dyDescent="0.3">
      <c r="M2" s="178"/>
    </row>
    <row r="3" spans="1:18" ht="26.1" customHeight="1" x14ac:dyDescent="0.3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8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 x14ac:dyDescent="0.3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8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 x14ac:dyDescent="0.3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8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 x14ac:dyDescent="0.3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8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 x14ac:dyDescent="0.3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8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 x14ac:dyDescent="0.3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8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 x14ac:dyDescent="0.3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8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 x14ac:dyDescent="0.3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8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 x14ac:dyDescent="0.3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8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 x14ac:dyDescent="0.3">
      <c r="A12" s="16"/>
      <c r="C12" s="16"/>
      <c r="J12" s="16"/>
      <c r="L12" s="16" t="s">
        <v>82</v>
      </c>
      <c r="M12" s="178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 x14ac:dyDescent="0.3">
      <c r="A13" s="17"/>
      <c r="C13" s="17"/>
      <c r="J13" s="17"/>
      <c r="L13" s="17" t="s">
        <v>87</v>
      </c>
      <c r="M13" s="178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 x14ac:dyDescent="0.3">
      <c r="A14" s="16"/>
      <c r="C14" s="16"/>
      <c r="J14" s="16"/>
      <c r="L14" s="16" t="s">
        <v>92</v>
      </c>
      <c r="M14" s="178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 x14ac:dyDescent="0.3">
      <c r="A15" s="17"/>
      <c r="C15" s="17"/>
      <c r="J15" s="17"/>
      <c r="L15" s="17" t="s">
        <v>98</v>
      </c>
      <c r="M15" s="178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 x14ac:dyDescent="0.3">
      <c r="A16" s="16"/>
      <c r="C16" s="16"/>
      <c r="J16" s="16"/>
      <c r="L16" s="16" t="s">
        <v>104</v>
      </c>
      <c r="M16" s="178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 x14ac:dyDescent="0.3">
      <c r="A17" s="17"/>
      <c r="C17" s="17"/>
      <c r="J17" s="17"/>
      <c r="L17" s="17" t="s">
        <v>110</v>
      </c>
      <c r="M17" s="178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 x14ac:dyDescent="0.3">
      <c r="A18" s="16"/>
      <c r="C18" s="16"/>
      <c r="J18" s="16"/>
      <c r="L18" s="16" t="s">
        <v>116</v>
      </c>
      <c r="M18" s="178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 x14ac:dyDescent="0.3">
      <c r="A19" s="17"/>
      <c r="C19" s="17"/>
      <c r="J19" s="17"/>
      <c r="L19" s="17" t="s">
        <v>122</v>
      </c>
      <c r="M19" s="178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 x14ac:dyDescent="0.3">
      <c r="A20" s="16"/>
      <c r="C20" s="16"/>
      <c r="J20" s="16"/>
      <c r="L20" s="16" t="s">
        <v>127</v>
      </c>
      <c r="M20" s="178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 x14ac:dyDescent="0.3">
      <c r="A21" s="17"/>
      <c r="C21" s="17"/>
      <c r="J21" s="17"/>
      <c r="L21" s="17" t="s">
        <v>131</v>
      </c>
      <c r="M21" s="178"/>
      <c r="N21" s="17"/>
      <c r="O21" s="17"/>
      <c r="P21" s="17" t="s">
        <v>132</v>
      </c>
      <c r="Q21" s="17"/>
      <c r="R21" s="17" t="s">
        <v>133</v>
      </c>
    </row>
    <row r="22" spans="1:18" ht="15.75" customHeight="1" x14ac:dyDescent="0.3">
      <c r="A22" s="16"/>
      <c r="C22" s="16"/>
      <c r="J22" s="16"/>
      <c r="L22" s="16" t="s">
        <v>134</v>
      </c>
      <c r="M22" s="178"/>
      <c r="N22" s="16"/>
      <c r="O22" s="16"/>
      <c r="P22" s="16" t="s">
        <v>135</v>
      </c>
      <c r="Q22" s="16"/>
      <c r="R22" s="16" t="s">
        <v>136</v>
      </c>
    </row>
    <row r="23" spans="1:18" ht="15.75" customHeight="1" x14ac:dyDescent="0.3">
      <c r="A23" s="17"/>
      <c r="C23" s="17"/>
      <c r="J23" s="17"/>
      <c r="L23" s="17" t="s">
        <v>137</v>
      </c>
      <c r="M23" s="178"/>
      <c r="N23" s="17"/>
      <c r="O23" s="17"/>
      <c r="P23" s="17" t="s">
        <v>138</v>
      </c>
      <c r="Q23" s="17"/>
      <c r="R23" s="17" t="s">
        <v>139</v>
      </c>
    </row>
    <row r="24" spans="1:18" ht="15.75" customHeight="1" x14ac:dyDescent="0.3">
      <c r="A24" s="16"/>
      <c r="C24" s="16"/>
      <c r="J24" s="16"/>
      <c r="L24" s="16" t="s">
        <v>140</v>
      </c>
      <c r="M24" s="178"/>
      <c r="N24" s="16"/>
      <c r="O24" s="16"/>
      <c r="P24" s="16" t="s">
        <v>141</v>
      </c>
      <c r="Q24" s="16"/>
      <c r="R24" s="16" t="s">
        <v>142</v>
      </c>
    </row>
    <row r="25" spans="1:18" ht="15.75" customHeight="1" x14ac:dyDescent="0.3">
      <c r="A25" s="17"/>
      <c r="C25" s="17"/>
      <c r="J25" s="17"/>
      <c r="L25" s="17" t="s">
        <v>143</v>
      </c>
      <c r="M25" s="178"/>
      <c r="N25" s="17"/>
      <c r="O25" s="17"/>
      <c r="P25" s="17" t="s">
        <v>144</v>
      </c>
      <c r="Q25" s="17"/>
      <c r="R25" s="17" t="s">
        <v>145</v>
      </c>
    </row>
    <row r="26" spans="1:18" ht="15.75" customHeight="1" x14ac:dyDescent="0.3">
      <c r="A26" s="16"/>
      <c r="C26" s="16"/>
      <c r="J26" s="16"/>
      <c r="L26" s="16" t="s">
        <v>146</v>
      </c>
      <c r="M26" s="178"/>
      <c r="N26" s="16"/>
      <c r="O26" s="16"/>
      <c r="P26" s="16" t="s">
        <v>147</v>
      </c>
      <c r="Q26" s="16"/>
      <c r="R26" s="16"/>
    </row>
    <row r="27" spans="1:18" ht="15.75" customHeight="1" x14ac:dyDescent="0.3">
      <c r="A27" s="17"/>
      <c r="C27" s="17"/>
      <c r="J27" s="17"/>
      <c r="L27" s="17" t="s">
        <v>148</v>
      </c>
      <c r="M27" s="178"/>
      <c r="N27" s="17"/>
      <c r="O27" s="17"/>
      <c r="P27" s="17" t="s">
        <v>139</v>
      </c>
      <c r="Q27" s="17"/>
      <c r="R27" s="17" t="s">
        <v>69</v>
      </c>
    </row>
    <row r="28" spans="1:18" ht="15.75" customHeight="1" x14ac:dyDescent="0.3">
      <c r="A28" s="16"/>
      <c r="C28" s="16"/>
      <c r="J28" s="16"/>
      <c r="L28" s="16" t="s">
        <v>149</v>
      </c>
      <c r="M28" s="178"/>
      <c r="N28" s="16"/>
      <c r="O28" s="16"/>
      <c r="P28" s="16" t="s">
        <v>142</v>
      </c>
      <c r="Q28" s="16"/>
      <c r="R28" s="16" t="s">
        <v>150</v>
      </c>
    </row>
    <row r="29" spans="1:18" ht="15.75" customHeight="1" x14ac:dyDescent="0.3">
      <c r="A29" s="17"/>
      <c r="C29" s="17"/>
      <c r="J29" s="17"/>
      <c r="L29" s="17" t="s">
        <v>151</v>
      </c>
      <c r="M29" s="178"/>
      <c r="N29" s="17"/>
      <c r="O29" s="17"/>
      <c r="P29" s="17" t="s">
        <v>152</v>
      </c>
      <c r="Q29" s="17"/>
      <c r="R29" s="17" t="s">
        <v>153</v>
      </c>
    </row>
    <row r="30" spans="1:18" ht="15.75" customHeight="1" x14ac:dyDescent="0.3">
      <c r="A30" s="16"/>
      <c r="C30" s="16"/>
      <c r="J30" s="16"/>
      <c r="L30" s="16" t="s">
        <v>154</v>
      </c>
      <c r="M30" s="178"/>
      <c r="N30" s="16"/>
      <c r="O30" s="16"/>
      <c r="P30" s="16" t="s">
        <v>155</v>
      </c>
      <c r="Q30" s="16"/>
      <c r="R30" s="16" t="s">
        <v>156</v>
      </c>
    </row>
    <row r="31" spans="1:18" ht="15.75" customHeight="1" x14ac:dyDescent="0.3">
      <c r="A31" s="17"/>
      <c r="C31" s="17"/>
      <c r="J31" s="17"/>
      <c r="L31" s="17" t="s">
        <v>157</v>
      </c>
      <c r="M31" s="178"/>
      <c r="N31" s="17"/>
      <c r="O31" s="17"/>
      <c r="P31" s="18" t="s">
        <v>158</v>
      </c>
      <c r="Q31" s="17"/>
      <c r="R31" s="17" t="s">
        <v>159</v>
      </c>
    </row>
    <row r="32" spans="1:18" ht="15.75" customHeight="1" x14ac:dyDescent="0.3">
      <c r="A32" s="16"/>
      <c r="C32" s="16"/>
      <c r="J32" s="16"/>
      <c r="L32" s="16" t="s">
        <v>160</v>
      </c>
      <c r="M32" s="178"/>
      <c r="N32" s="16"/>
      <c r="O32" s="16"/>
      <c r="P32" s="16" t="s">
        <v>161</v>
      </c>
      <c r="Q32" s="16"/>
      <c r="R32" t="s">
        <v>162</v>
      </c>
    </row>
    <row r="33" spans="1:18" ht="15.75" customHeight="1" x14ac:dyDescent="0.3">
      <c r="A33" s="17"/>
      <c r="C33" s="131" t="s">
        <v>163</v>
      </c>
      <c r="E33" s="113">
        <v>1000</v>
      </c>
      <c r="J33" s="17"/>
      <c r="L33" s="17" t="s">
        <v>164</v>
      </c>
      <c r="M33" s="178"/>
      <c r="N33" s="17"/>
      <c r="O33" s="17"/>
      <c r="P33" s="18" t="s">
        <v>165</v>
      </c>
      <c r="Q33" s="17"/>
      <c r="R33" s="17" t="s">
        <v>27</v>
      </c>
    </row>
    <row r="34" spans="1:18" ht="15.75" customHeight="1" x14ac:dyDescent="0.3">
      <c r="A34" s="16"/>
      <c r="C34" s="16"/>
      <c r="J34" s="16"/>
      <c r="L34" s="16" t="s">
        <v>166</v>
      </c>
      <c r="M34" s="178"/>
      <c r="N34" s="16"/>
      <c r="O34" s="16"/>
      <c r="P34" s="16" t="s">
        <v>86</v>
      </c>
      <c r="Q34" s="16"/>
      <c r="R34" s="16" t="s">
        <v>167</v>
      </c>
    </row>
    <row r="35" spans="1:18" ht="15.75" customHeight="1" x14ac:dyDescent="0.3">
      <c r="A35" s="17"/>
      <c r="C35" s="17"/>
      <c r="J35" s="17"/>
      <c r="L35" s="17" t="s">
        <v>168</v>
      </c>
      <c r="M35" s="178"/>
      <c r="N35" s="17"/>
      <c r="O35" s="17"/>
      <c r="P35" s="17" t="s">
        <v>169</v>
      </c>
      <c r="Q35" s="17"/>
      <c r="R35" s="17" t="s">
        <v>170</v>
      </c>
    </row>
    <row r="36" spans="1:18" ht="15.75" customHeight="1" x14ac:dyDescent="0.3">
      <c r="A36" s="16"/>
      <c r="C36" s="16"/>
      <c r="J36" s="16"/>
      <c r="L36" s="16" t="s">
        <v>171</v>
      </c>
      <c r="M36" s="178"/>
      <c r="N36" s="16"/>
      <c r="O36" s="16"/>
      <c r="P36" s="16" t="s">
        <v>172</v>
      </c>
      <c r="Q36" s="16"/>
      <c r="R36" s="16" t="s">
        <v>173</v>
      </c>
    </row>
    <row r="37" spans="1:18" ht="15.75" customHeight="1" x14ac:dyDescent="0.3">
      <c r="A37" s="17"/>
      <c r="C37" s="17"/>
      <c r="J37" s="17"/>
      <c r="L37" s="17" t="s">
        <v>174</v>
      </c>
      <c r="M37" s="178"/>
      <c r="N37" s="17"/>
      <c r="O37" s="17"/>
      <c r="P37" s="17" t="s">
        <v>175</v>
      </c>
      <c r="Q37" s="17"/>
      <c r="R37" s="17" t="s">
        <v>176</v>
      </c>
    </row>
    <row r="38" spans="1:18" ht="15.75" customHeight="1" x14ac:dyDescent="0.3">
      <c r="A38" s="16"/>
      <c r="C38" s="16"/>
      <c r="J38" s="16"/>
      <c r="L38" s="16" t="s">
        <v>177</v>
      </c>
      <c r="M38" s="178"/>
      <c r="N38" s="16"/>
      <c r="O38" s="16"/>
      <c r="P38" s="16" t="s">
        <v>178</v>
      </c>
      <c r="Q38" s="16"/>
      <c r="R38" s="16" t="s">
        <v>179</v>
      </c>
    </row>
    <row r="39" spans="1:18" ht="15.75" customHeight="1" x14ac:dyDescent="0.3">
      <c r="A39" s="17"/>
      <c r="C39" s="17"/>
      <c r="J39" s="17"/>
      <c r="L39" s="17"/>
      <c r="M39" s="178"/>
      <c r="N39" s="17"/>
      <c r="O39" s="17"/>
      <c r="P39" s="17" t="s">
        <v>180</v>
      </c>
      <c r="Q39" s="17"/>
      <c r="R39" s="17" t="s">
        <v>181</v>
      </c>
    </row>
    <row r="40" spans="1:18" ht="15.75" customHeight="1" x14ac:dyDescent="0.3">
      <c r="A40" s="16"/>
      <c r="C40" s="16"/>
      <c r="J40" s="16"/>
      <c r="L40" s="16"/>
      <c r="M40" s="178"/>
      <c r="N40" s="16"/>
      <c r="O40" s="16"/>
      <c r="P40" s="16" t="s">
        <v>182</v>
      </c>
      <c r="Q40" s="16"/>
      <c r="R40" s="16" t="s">
        <v>183</v>
      </c>
    </row>
    <row r="41" spans="1:18" ht="15.75" customHeight="1" x14ac:dyDescent="0.3">
      <c r="A41" s="17"/>
      <c r="C41" s="17"/>
      <c r="J41" s="17"/>
      <c r="L41" s="17"/>
      <c r="M41" s="178"/>
      <c r="N41" s="17"/>
      <c r="O41" s="17"/>
      <c r="P41" s="17" t="s">
        <v>184</v>
      </c>
      <c r="Q41" s="17"/>
      <c r="R41" s="17" t="s">
        <v>185</v>
      </c>
    </row>
    <row r="42" spans="1:18" ht="15.75" customHeight="1" x14ac:dyDescent="0.3">
      <c r="A42" s="16"/>
      <c r="C42" s="16"/>
      <c r="J42" s="16"/>
      <c r="L42" s="16"/>
      <c r="M42" s="178"/>
      <c r="N42" s="16"/>
      <c r="O42" s="16"/>
      <c r="P42" s="16" t="s">
        <v>186</v>
      </c>
      <c r="Q42" s="16"/>
      <c r="R42" s="16" t="s">
        <v>187</v>
      </c>
    </row>
    <row r="43" spans="1:18" ht="15.75" customHeight="1" x14ac:dyDescent="0.3">
      <c r="A43" s="17"/>
      <c r="C43" s="17"/>
      <c r="J43" s="17"/>
      <c r="L43" s="17"/>
      <c r="M43" s="178"/>
      <c r="N43" s="17"/>
      <c r="O43" s="17"/>
      <c r="P43" s="17" t="s">
        <v>188</v>
      </c>
      <c r="Q43" s="17"/>
      <c r="R43" s="17" t="s">
        <v>189</v>
      </c>
    </row>
    <row r="44" spans="1:18" ht="15.75" customHeight="1" x14ac:dyDescent="0.3">
      <c r="A44" s="16"/>
      <c r="C44" s="16"/>
      <c r="J44" s="16"/>
      <c r="L44" s="16"/>
      <c r="M44" s="178"/>
      <c r="N44" s="16"/>
      <c r="O44" s="16"/>
      <c r="P44" s="16" t="s">
        <v>190</v>
      </c>
      <c r="Q44" s="16"/>
      <c r="R44" s="16" t="s">
        <v>191</v>
      </c>
    </row>
    <row r="45" spans="1:18" ht="15.75" customHeight="1" x14ac:dyDescent="0.3">
      <c r="A45" s="17"/>
      <c r="C45" s="17"/>
      <c r="J45" s="17"/>
      <c r="L45" s="17"/>
      <c r="M45" s="178"/>
      <c r="N45" s="17"/>
      <c r="O45" s="17"/>
      <c r="P45" s="17" t="s">
        <v>192</v>
      </c>
      <c r="Q45" s="17"/>
      <c r="R45" s="17" t="s">
        <v>193</v>
      </c>
    </row>
    <row r="46" spans="1:18" ht="15.75" customHeight="1" x14ac:dyDescent="0.3">
      <c r="A46" s="16"/>
      <c r="C46" s="16"/>
      <c r="J46" s="16"/>
      <c r="L46" s="16"/>
      <c r="M46" s="178"/>
      <c r="N46" s="16"/>
      <c r="O46" s="16"/>
      <c r="P46" s="16" t="s">
        <v>194</v>
      </c>
      <c r="Q46" s="16"/>
      <c r="R46" s="16" t="s">
        <v>195</v>
      </c>
    </row>
    <row r="47" spans="1:18" ht="15.75" customHeight="1" x14ac:dyDescent="0.3">
      <c r="A47" s="17"/>
      <c r="C47" s="17"/>
      <c r="J47" s="17"/>
      <c r="L47" s="17"/>
      <c r="M47" s="178"/>
      <c r="N47" s="17"/>
      <c r="O47" s="17"/>
      <c r="P47" s="17" t="s">
        <v>196</v>
      </c>
      <c r="Q47" s="17"/>
      <c r="R47" s="17" t="s">
        <v>197</v>
      </c>
    </row>
    <row r="48" spans="1:18" ht="15.75" customHeight="1" x14ac:dyDescent="0.3">
      <c r="A48" s="16"/>
      <c r="C48" s="16"/>
      <c r="J48" s="16"/>
      <c r="L48" s="16"/>
      <c r="M48" s="178"/>
      <c r="N48" s="16"/>
      <c r="O48" s="16"/>
      <c r="P48" s="16" t="s">
        <v>198</v>
      </c>
      <c r="Q48" s="16"/>
      <c r="R48" s="16" t="s">
        <v>199</v>
      </c>
    </row>
    <row r="49" spans="1:18" ht="18" customHeight="1" x14ac:dyDescent="0.3">
      <c r="M49" s="178"/>
      <c r="N49" s="17"/>
      <c r="O49" s="17"/>
      <c r="P49" s="17" t="s">
        <v>200</v>
      </c>
      <c r="Q49" s="17"/>
      <c r="R49" s="17" t="s">
        <v>201</v>
      </c>
    </row>
    <row r="50" spans="1:18" ht="21" customHeight="1" x14ac:dyDescent="0.3">
      <c r="A50" s="19" t="s">
        <v>202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8"/>
      <c r="N50" s="16"/>
      <c r="O50" s="16"/>
      <c r="P50" s="16" t="s">
        <v>203</v>
      </c>
      <c r="Q50" s="16"/>
      <c r="R50" s="16" t="s">
        <v>204</v>
      </c>
    </row>
    <row r="51" spans="1:18" ht="24" customHeight="1" x14ac:dyDescent="0.3">
      <c r="M51" s="178"/>
      <c r="N51" s="17"/>
      <c r="O51" s="17"/>
      <c r="P51" s="17" t="s">
        <v>205</v>
      </c>
      <c r="Q51" s="17"/>
      <c r="R51" s="17" t="s">
        <v>206</v>
      </c>
    </row>
    <row r="52" spans="1:18" ht="24" customHeight="1" x14ac:dyDescent="0.3">
      <c r="M52" s="178"/>
      <c r="N52" s="16"/>
      <c r="O52" s="16"/>
      <c r="P52" s="16" t="s">
        <v>207</v>
      </c>
      <c r="Q52" s="16"/>
      <c r="R52" s="16" t="s">
        <v>208</v>
      </c>
    </row>
    <row r="53" spans="1:18" ht="36" customHeight="1" x14ac:dyDescent="0.3">
      <c r="M53" s="178"/>
      <c r="N53" s="17"/>
      <c r="O53" s="17"/>
      <c r="P53" s="17" t="s">
        <v>209</v>
      </c>
      <c r="Q53" s="17"/>
      <c r="R53" s="17" t="s">
        <v>210</v>
      </c>
    </row>
    <row r="54" spans="1:18" ht="15" customHeight="1" x14ac:dyDescent="0.3">
      <c r="M54" s="178"/>
      <c r="N54" s="16"/>
      <c r="O54" s="16"/>
      <c r="P54" s="16" t="s">
        <v>211</v>
      </c>
      <c r="Q54" s="16"/>
      <c r="R54" s="16" t="s">
        <v>212</v>
      </c>
    </row>
    <row r="55" spans="1:18" ht="15" customHeight="1" x14ac:dyDescent="0.3">
      <c r="M55" s="178"/>
      <c r="N55" s="17"/>
      <c r="O55" s="17"/>
      <c r="P55" s="17" t="s">
        <v>213</v>
      </c>
      <c r="Q55" s="17"/>
      <c r="R55" s="17" t="s">
        <v>214</v>
      </c>
    </row>
    <row r="56" spans="1:18" ht="15" customHeight="1" x14ac:dyDescent="0.3">
      <c r="M56" s="178"/>
      <c r="N56" s="16"/>
      <c r="O56" s="16"/>
      <c r="P56" s="16" t="s">
        <v>215</v>
      </c>
      <c r="Q56" s="16"/>
      <c r="R56" s="16" t="s">
        <v>216</v>
      </c>
    </row>
    <row r="57" spans="1:18" ht="15" customHeight="1" x14ac:dyDescent="0.3">
      <c r="M57" s="178"/>
      <c r="N57" s="17"/>
      <c r="O57" s="17"/>
      <c r="P57" s="17" t="s">
        <v>57</v>
      </c>
      <c r="Q57" s="17"/>
      <c r="R57" s="17" t="s">
        <v>217</v>
      </c>
    </row>
    <row r="58" spans="1:18" ht="15" customHeight="1" x14ac:dyDescent="0.3">
      <c r="M58" s="178"/>
      <c r="N58" s="16"/>
      <c r="O58" s="16"/>
      <c r="P58" s="16" t="s">
        <v>218</v>
      </c>
      <c r="Q58" s="16"/>
      <c r="R58" s="16" t="s">
        <v>219</v>
      </c>
    </row>
    <row r="59" spans="1:18" ht="15" customHeight="1" x14ac:dyDescent="0.3">
      <c r="M59" s="178"/>
      <c r="N59" s="17"/>
      <c r="O59" s="17"/>
      <c r="P59" s="17" t="s">
        <v>220</v>
      </c>
      <c r="Q59" s="17"/>
      <c r="R59" s="17"/>
    </row>
    <row r="60" spans="1:18" ht="15" customHeight="1" x14ac:dyDescent="0.3">
      <c r="M60" s="178"/>
      <c r="N60" s="16"/>
      <c r="O60" s="16"/>
      <c r="P60" s="77" t="s">
        <v>112</v>
      </c>
      <c r="Q60" s="16"/>
      <c r="R60" s="16"/>
    </row>
    <row r="61" spans="1:18" ht="15" customHeight="1" x14ac:dyDescent="0.3">
      <c r="M61" s="178"/>
      <c r="N61" s="17"/>
      <c r="O61" s="17"/>
      <c r="P61" s="17" t="s">
        <v>221</v>
      </c>
      <c r="Q61" s="17"/>
      <c r="R61" s="17"/>
    </row>
    <row r="62" spans="1:18" ht="15" customHeight="1" x14ac:dyDescent="0.3">
      <c r="M62" s="178"/>
      <c r="N62" s="16"/>
      <c r="O62" s="16"/>
      <c r="P62" s="16" t="s">
        <v>222</v>
      </c>
      <c r="Q62" s="16"/>
      <c r="R62" s="16"/>
    </row>
    <row r="63" spans="1:18" ht="15" customHeight="1" x14ac:dyDescent="0.3">
      <c r="M63" s="178"/>
      <c r="N63" s="17"/>
      <c r="O63" s="17"/>
      <c r="P63" s="17" t="s">
        <v>223</v>
      </c>
      <c r="Q63" s="17"/>
      <c r="R63" s="17"/>
    </row>
    <row r="64" spans="1:18" ht="15" customHeight="1" x14ac:dyDescent="0.3">
      <c r="M64" s="178"/>
      <c r="N64" s="16"/>
      <c r="O64" s="16"/>
      <c r="P64" s="16" t="s">
        <v>224</v>
      </c>
      <c r="Q64" s="16"/>
      <c r="R64" s="16"/>
    </row>
    <row r="65" spans="13:18" ht="15" customHeight="1" x14ac:dyDescent="0.3">
      <c r="M65" s="178"/>
      <c r="N65" s="17"/>
      <c r="O65" s="17"/>
      <c r="P65" s="17" t="s">
        <v>225</v>
      </c>
      <c r="Q65" s="17"/>
      <c r="R65" s="17"/>
    </row>
    <row r="66" spans="13:18" ht="15" customHeight="1" x14ac:dyDescent="0.3">
      <c r="M66" s="178"/>
      <c r="N66" s="16"/>
      <c r="O66" s="16"/>
      <c r="P66" s="16" t="s">
        <v>226</v>
      </c>
      <c r="Q66" s="16"/>
      <c r="R66" s="16"/>
    </row>
    <row r="67" spans="13:18" ht="15" customHeight="1" x14ac:dyDescent="0.3">
      <c r="M67" s="178"/>
      <c r="N67" s="17"/>
      <c r="O67" s="17"/>
      <c r="P67" s="17" t="s">
        <v>227</v>
      </c>
      <c r="Q67" s="17"/>
      <c r="R67" s="17"/>
    </row>
    <row r="68" spans="13:18" ht="15" customHeight="1" x14ac:dyDescent="0.3">
      <c r="M68" s="178"/>
      <c r="N68" s="16"/>
      <c r="O68" s="16"/>
      <c r="P68" s="16" t="s">
        <v>228</v>
      </c>
      <c r="Q68" s="16"/>
      <c r="R68" s="16"/>
    </row>
    <row r="69" spans="13:18" ht="15" customHeight="1" x14ac:dyDescent="0.3">
      <c r="M69" s="178"/>
      <c r="N69" s="17"/>
      <c r="O69" s="17"/>
      <c r="P69" s="17" t="s">
        <v>229</v>
      </c>
      <c r="Q69" s="17"/>
      <c r="R69" s="17"/>
    </row>
    <row r="70" spans="13:18" ht="15" customHeight="1" x14ac:dyDescent="0.3">
      <c r="M70" s="178"/>
      <c r="N70" s="16"/>
      <c r="O70" s="16"/>
      <c r="P70" s="16" t="s">
        <v>230</v>
      </c>
      <c r="Q70" s="16"/>
      <c r="R70" s="16"/>
    </row>
    <row r="71" spans="13:18" ht="15" customHeight="1" x14ac:dyDescent="0.3">
      <c r="M71" s="178"/>
      <c r="N71" s="17"/>
      <c r="O71" s="17"/>
      <c r="P71" s="17" t="s">
        <v>231</v>
      </c>
      <c r="Q71" s="17"/>
      <c r="R71" s="17"/>
    </row>
    <row r="72" spans="13:18" ht="15" customHeight="1" x14ac:dyDescent="0.3">
      <c r="M72" s="178"/>
      <c r="N72" s="16"/>
      <c r="O72" s="16"/>
      <c r="P72" s="16" t="s">
        <v>232</v>
      </c>
      <c r="Q72" s="16"/>
      <c r="R72" s="16"/>
    </row>
    <row r="73" spans="13:18" ht="15" customHeight="1" x14ac:dyDescent="0.3">
      <c r="M73" s="178"/>
      <c r="N73" s="17"/>
      <c r="O73" s="17"/>
      <c r="P73" s="17" t="s">
        <v>233</v>
      </c>
      <c r="Q73" s="17"/>
      <c r="R73" s="17"/>
    </row>
    <row r="74" spans="13:18" ht="15" customHeight="1" x14ac:dyDescent="0.3">
      <c r="M74" s="178"/>
      <c r="N74" s="16"/>
      <c r="O74" s="16"/>
      <c r="P74" s="16" t="s">
        <v>234</v>
      </c>
      <c r="Q74" s="16"/>
      <c r="R74" s="16"/>
    </row>
    <row r="75" spans="13:18" ht="15" customHeight="1" x14ac:dyDescent="0.3">
      <c r="M75" s="178"/>
      <c r="N75" s="17"/>
      <c r="O75" s="17"/>
      <c r="P75" s="17" t="s">
        <v>235</v>
      </c>
      <c r="Q75" s="17"/>
      <c r="R75" s="17"/>
    </row>
    <row r="76" spans="13:18" ht="15" customHeight="1" x14ac:dyDescent="0.3"/>
    <row r="77" spans="13:18" ht="15" customHeight="1" x14ac:dyDescent="0.3"/>
    <row r="78" spans="13:18" ht="15" customHeight="1" x14ac:dyDescent="0.3"/>
    <row r="79" spans="13:18" ht="15" customHeight="1" x14ac:dyDescent="0.3"/>
    <row r="80" spans="13:18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opLeftCell="F1" zoomScale="80" zoomScaleNormal="80" workbookViewId="0">
      <pane ySplit="1" topLeftCell="A472" activePane="bottomLeft" state="frozen"/>
      <selection sqref="A1:G409"/>
      <selection pane="bottomLeft" activeCell="O487" sqref="O487"/>
    </sheetView>
  </sheetViews>
  <sheetFormatPr defaultColWidth="8.5546875" defaultRowHeight="14.4" x14ac:dyDescent="0.3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8671875" style="20" customWidth="1"/>
    <col min="8" max="8" width="33.109375" style="20" customWidth="1"/>
    <col min="9" max="9" width="23.44140625" style="20" customWidth="1"/>
    <col min="10" max="10" width="43.109375" style="20" customWidth="1"/>
    <col min="11" max="11" width="14" style="20" customWidth="1"/>
    <col min="12" max="12" width="13.109375" style="21" customWidth="1"/>
    <col min="13" max="13" width="14" style="20" customWidth="1"/>
    <col min="14" max="14" width="37.33203125" style="20" customWidth="1"/>
    <col min="15" max="15" width="19.88671875" customWidth="1"/>
  </cols>
  <sheetData>
    <row r="1" spans="1:15" ht="37.5" customHeight="1" x14ac:dyDescent="0.3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23" t="s">
        <v>238</v>
      </c>
      <c r="G1" s="23" t="s">
        <v>239</v>
      </c>
      <c r="H1" s="23" t="s">
        <v>21</v>
      </c>
      <c r="I1" s="23" t="s">
        <v>22</v>
      </c>
      <c r="J1" s="23" t="s">
        <v>240</v>
      </c>
      <c r="K1" s="23" t="s">
        <v>241</v>
      </c>
      <c r="L1" s="23" t="s">
        <v>242</v>
      </c>
      <c r="M1" s="24" t="s">
        <v>243</v>
      </c>
      <c r="N1" s="23" t="s">
        <v>244</v>
      </c>
      <c r="O1" s="23" t="s">
        <v>245</v>
      </c>
    </row>
    <row r="2" spans="1:15" ht="15" customHeight="1" x14ac:dyDescent="0.3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246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 x14ac:dyDescent="0.3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246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 x14ac:dyDescent="0.3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246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3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246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3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246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3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246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3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246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3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246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3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246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3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246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3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246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3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246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3">
      <c r="A14" s="170" t="s">
        <v>247</v>
      </c>
      <c r="B14" s="171"/>
      <c r="C14" s="171"/>
      <c r="D14" s="171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248</v>
      </c>
      <c r="O14" s="39">
        <v>797765</v>
      </c>
    </row>
    <row r="15" spans="1:15" ht="15" customHeight="1" x14ac:dyDescent="0.3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246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 x14ac:dyDescent="0.3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246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 x14ac:dyDescent="0.3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246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249</v>
      </c>
      <c r="O17" s="31"/>
    </row>
    <row r="18" spans="1:15" ht="15" customHeight="1" x14ac:dyDescent="0.3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246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3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3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246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3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3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246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3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246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3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246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3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246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3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246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3">
      <c r="A27" s="170" t="s">
        <v>250</v>
      </c>
      <c r="B27" s="171"/>
      <c r="C27" s="171"/>
      <c r="D27" s="171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248</v>
      </c>
      <c r="O27" s="39">
        <v>997910</v>
      </c>
    </row>
    <row r="28" spans="1:15" ht="18" customHeight="1" x14ac:dyDescent="0.3">
      <c r="A28" s="167" t="s">
        <v>251</v>
      </c>
      <c r="B28" s="168"/>
      <c r="C28" s="168"/>
      <c r="D28" s="168"/>
      <c r="E28" s="169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252</v>
      </c>
      <c r="O28" s="43">
        <f>IFERROR(O14+O27,"")</f>
        <v>1795675</v>
      </c>
    </row>
    <row r="29" spans="1:15" ht="15" customHeight="1" x14ac:dyDescent="0.3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246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 x14ac:dyDescent="0.3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246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253</v>
      </c>
      <c r="O30" s="31"/>
    </row>
    <row r="31" spans="1:15" ht="15" customHeight="1" x14ac:dyDescent="0.3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246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249</v>
      </c>
      <c r="O31" s="31"/>
    </row>
    <row r="32" spans="1:15" ht="15" customHeight="1" x14ac:dyDescent="0.3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246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246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246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246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246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246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">
      <c r="A41" s="170" t="s">
        <v>247</v>
      </c>
      <c r="B41" s="171"/>
      <c r="C41" s="171"/>
      <c r="D41" s="171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248</v>
      </c>
      <c r="O41" s="39">
        <v>1351560</v>
      </c>
    </row>
    <row r="42" spans="1:15" ht="15" customHeight="1" x14ac:dyDescent="0.3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246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254</v>
      </c>
      <c r="O42" s="31"/>
    </row>
    <row r="43" spans="1:15" ht="15" customHeight="1" x14ac:dyDescent="0.3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246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 x14ac:dyDescent="0.3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246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 x14ac:dyDescent="0.3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246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 x14ac:dyDescent="0.3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246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 x14ac:dyDescent="0.3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246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 x14ac:dyDescent="0.3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246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246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">
      <c r="A54" s="170" t="s">
        <v>250</v>
      </c>
      <c r="B54" s="171"/>
      <c r="C54" s="171"/>
      <c r="D54" s="171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248</v>
      </c>
      <c r="O54" s="39">
        <v>981310</v>
      </c>
    </row>
    <row r="55" spans="1:15" ht="18" customHeight="1" x14ac:dyDescent="0.3">
      <c r="A55" s="167" t="s">
        <v>251</v>
      </c>
      <c r="B55" s="168"/>
      <c r="C55" s="168"/>
      <c r="D55" s="168"/>
      <c r="E55" s="169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252</v>
      </c>
      <c r="O55" s="43">
        <f>IFERROR(O41+O54,"")</f>
        <v>2332870</v>
      </c>
    </row>
    <row r="56" spans="1:15" ht="15" customHeight="1" x14ac:dyDescent="0.3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246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 x14ac:dyDescent="0.3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246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 x14ac:dyDescent="0.3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246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3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246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3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246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246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246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246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246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246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246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246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">
      <c r="A68" s="170" t="s">
        <v>247</v>
      </c>
      <c r="B68" s="171"/>
      <c r="C68" s="171"/>
      <c r="D68" s="171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248</v>
      </c>
      <c r="O68" s="39">
        <v>2102950</v>
      </c>
    </row>
    <row r="69" spans="1:15" ht="15" customHeight="1" x14ac:dyDescent="0.3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246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 x14ac:dyDescent="0.3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246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255</v>
      </c>
      <c r="O70" s="31"/>
    </row>
    <row r="71" spans="1:15" ht="15" customHeight="1" x14ac:dyDescent="0.3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246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246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246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246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246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246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246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246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">
      <c r="A81" s="170" t="s">
        <v>250</v>
      </c>
      <c r="B81" s="171"/>
      <c r="C81" s="171"/>
      <c r="D81" s="171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248</v>
      </c>
      <c r="O81" s="39">
        <v>1547910</v>
      </c>
    </row>
    <row r="82" spans="1:15" ht="18" customHeight="1" x14ac:dyDescent="0.3">
      <c r="A82" s="167" t="s">
        <v>251</v>
      </c>
      <c r="B82" s="168"/>
      <c r="C82" s="168"/>
      <c r="D82" s="168"/>
      <c r="E82" s="169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252</v>
      </c>
      <c r="O82" s="43">
        <f>IFERROR(O68+O81,"")</f>
        <v>3650860</v>
      </c>
    </row>
    <row r="83" spans="1:15" ht="15" customHeight="1" x14ac:dyDescent="0.3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246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 x14ac:dyDescent="0.3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246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 x14ac:dyDescent="0.3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246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256</v>
      </c>
      <c r="O85" s="31"/>
    </row>
    <row r="86" spans="1:15" ht="15" customHeight="1" x14ac:dyDescent="0.3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246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3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246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246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3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246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246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246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246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">
      <c r="A95" s="170" t="s">
        <v>247</v>
      </c>
      <c r="B95" s="171"/>
      <c r="C95" s="171"/>
      <c r="D95" s="171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248</v>
      </c>
      <c r="O95" s="39">
        <v>2050000</v>
      </c>
    </row>
    <row r="96" spans="1:15" ht="15" customHeight="1" x14ac:dyDescent="0.3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246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3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246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246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246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246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246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257</v>
      </c>
      <c r="O101" s="31"/>
    </row>
    <row r="102" spans="1:15" ht="15" customHeight="1" x14ac:dyDescent="0.3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246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246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246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246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246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">
      <c r="A108" s="170" t="s">
        <v>250</v>
      </c>
      <c r="B108" s="171"/>
      <c r="C108" s="171"/>
      <c r="D108" s="171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248</v>
      </c>
      <c r="O108" s="39">
        <v>3156240</v>
      </c>
    </row>
    <row r="109" spans="1:15" ht="18" customHeight="1" x14ac:dyDescent="0.3">
      <c r="A109" s="167" t="s">
        <v>251</v>
      </c>
      <c r="B109" s="168"/>
      <c r="C109" s="168"/>
      <c r="D109" s="168"/>
      <c r="E109" s="169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252</v>
      </c>
      <c r="O109" s="43">
        <f>IFERROR(O95+O108,"")</f>
        <v>5206240</v>
      </c>
    </row>
    <row r="110" spans="1:15" ht="15" customHeight="1" x14ac:dyDescent="0.3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246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 x14ac:dyDescent="0.3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246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246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246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246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">
      <c r="A122" s="170" t="s">
        <v>247</v>
      </c>
      <c r="B122" s="171"/>
      <c r="C122" s="171"/>
      <c r="D122" s="171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248</v>
      </c>
      <c r="O122" s="39">
        <v>846660</v>
      </c>
    </row>
    <row r="123" spans="1:15" ht="15" customHeight="1" x14ac:dyDescent="0.3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246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3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246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3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246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246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246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246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246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3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246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246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246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246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246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">
      <c r="A135" s="170" t="s">
        <v>250</v>
      </c>
      <c r="B135" s="171"/>
      <c r="C135" s="171"/>
      <c r="D135" s="171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248</v>
      </c>
      <c r="O135" s="39">
        <v>2875180</v>
      </c>
    </row>
    <row r="136" spans="1:15" ht="18" customHeight="1" x14ac:dyDescent="0.3">
      <c r="A136" s="167" t="s">
        <v>251</v>
      </c>
      <c r="B136" s="168"/>
      <c r="C136" s="168"/>
      <c r="D136" s="168"/>
      <c r="E136" s="169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252</v>
      </c>
      <c r="O136" s="43">
        <f>IFERROR(O122+O135,"")</f>
        <v>3721840</v>
      </c>
    </row>
    <row r="137" spans="1:15" ht="15" customHeight="1" x14ac:dyDescent="0.3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246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258</v>
      </c>
      <c r="O137" s="31"/>
    </row>
    <row r="138" spans="1:15" ht="15" customHeight="1" x14ac:dyDescent="0.3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246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 x14ac:dyDescent="0.3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246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 x14ac:dyDescent="0.3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246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 x14ac:dyDescent="0.3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246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3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246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246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246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246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246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5">
      <c r="A149" s="170" t="s">
        <v>247</v>
      </c>
      <c r="B149" s="171"/>
      <c r="C149" s="171"/>
      <c r="D149" s="171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248</v>
      </c>
      <c r="O149" s="90">
        <v>1650350</v>
      </c>
    </row>
    <row r="150" spans="1:15" ht="15" customHeight="1" x14ac:dyDescent="0.3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246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 x14ac:dyDescent="0.3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246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259</v>
      </c>
      <c r="O151" s="31"/>
    </row>
    <row r="152" spans="1:15" ht="15" customHeight="1" x14ac:dyDescent="0.3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246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 x14ac:dyDescent="0.3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246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 x14ac:dyDescent="0.3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246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 x14ac:dyDescent="0.3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246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246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246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246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246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5">
      <c r="A162" s="170" t="s">
        <v>250</v>
      </c>
      <c r="B162" s="171"/>
      <c r="C162" s="171"/>
      <c r="D162" s="171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248</v>
      </c>
      <c r="O162" s="44">
        <v>842000</v>
      </c>
    </row>
    <row r="163" spans="1:15" ht="18" customHeight="1" x14ac:dyDescent="0.3">
      <c r="A163" s="167" t="s">
        <v>251</v>
      </c>
      <c r="B163" s="168"/>
      <c r="C163" s="168"/>
      <c r="D163" s="168"/>
      <c r="E163" s="169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252</v>
      </c>
      <c r="O163" s="43">
        <f>IFERROR(O149+O162,"")</f>
        <v>2492350</v>
      </c>
    </row>
    <row r="164" spans="1:15" ht="15" customHeight="1" x14ac:dyDescent="0.3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246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234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260</v>
      </c>
      <c r="O164" s="31"/>
    </row>
    <row r="165" spans="1:15" ht="15" customHeight="1" x14ac:dyDescent="0.3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246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 x14ac:dyDescent="0.3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246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3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246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246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246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246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246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246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246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246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246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170" t="s">
        <v>247</v>
      </c>
      <c r="B176" s="171"/>
      <c r="C176" s="171"/>
      <c r="D176" s="171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248</v>
      </c>
      <c r="O176" s="39">
        <v>2934820</v>
      </c>
    </row>
    <row r="177" spans="1:15" ht="15" customHeight="1" x14ac:dyDescent="0.3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246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261</v>
      </c>
      <c r="O177" s="31"/>
    </row>
    <row r="178" spans="1:15" ht="15" customHeight="1" x14ac:dyDescent="0.3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246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246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246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246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246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246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246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262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246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246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246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170" t="s">
        <v>250</v>
      </c>
      <c r="B189" s="171"/>
      <c r="C189" s="171"/>
      <c r="D189" s="171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248</v>
      </c>
      <c r="O189" s="39">
        <v>1901630</v>
      </c>
    </row>
    <row r="190" spans="1:15" ht="18" customHeight="1" x14ac:dyDescent="0.3">
      <c r="A190" s="167" t="s">
        <v>251</v>
      </c>
      <c r="B190" s="168"/>
      <c r="C190" s="168"/>
      <c r="D190" s="168"/>
      <c r="E190" s="169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252</v>
      </c>
      <c r="O190" s="43">
        <f>IFERROR(O176+O189,"")</f>
        <v>4836450</v>
      </c>
    </row>
    <row r="191" spans="1:15" ht="15" customHeight="1" x14ac:dyDescent="0.3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246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 x14ac:dyDescent="0.3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246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 x14ac:dyDescent="0.3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246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263</v>
      </c>
      <c r="O193" s="31"/>
    </row>
    <row r="194" spans="1:15" ht="15" customHeight="1" x14ac:dyDescent="0.3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246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246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246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246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246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246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246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246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170" t="s">
        <v>247</v>
      </c>
      <c r="B203" s="171"/>
      <c r="C203" s="171"/>
      <c r="D203" s="171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248</v>
      </c>
      <c r="O203" s="45">
        <v>1392300</v>
      </c>
    </row>
    <row r="204" spans="1:15" ht="15" customHeight="1" x14ac:dyDescent="0.3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246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3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246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3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246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3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246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3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246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246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246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246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246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246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246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246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">
      <c r="A216" s="170" t="s">
        <v>250</v>
      </c>
      <c r="B216" s="171"/>
      <c r="C216" s="171"/>
      <c r="D216" s="171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248</v>
      </c>
      <c r="O216" s="45">
        <v>1852295</v>
      </c>
    </row>
    <row r="217" spans="1:15" ht="18" customHeight="1" x14ac:dyDescent="0.3">
      <c r="A217" s="167" t="s">
        <v>251</v>
      </c>
      <c r="B217" s="168"/>
      <c r="C217" s="168"/>
      <c r="D217" s="168"/>
      <c r="E217" s="169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252</v>
      </c>
      <c r="O217" s="48">
        <f>IFERROR(O203+O216,"")</f>
        <v>3244595</v>
      </c>
    </row>
    <row r="218" spans="1:15" ht="15" customHeight="1" x14ac:dyDescent="0.3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246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 x14ac:dyDescent="0.3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246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 x14ac:dyDescent="0.3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246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264</v>
      </c>
      <c r="O220" s="47"/>
    </row>
    <row r="221" spans="1:15" ht="15" customHeight="1" x14ac:dyDescent="0.3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246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246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246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246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 x14ac:dyDescent="0.3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246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 x14ac:dyDescent="0.3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 x14ac:dyDescent="0.3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246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 x14ac:dyDescent="0.3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246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 x14ac:dyDescent="0.3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 x14ac:dyDescent="0.3">
      <c r="A230" s="161" t="s">
        <v>247</v>
      </c>
      <c r="B230" s="162"/>
      <c r="C230" s="162"/>
      <c r="D230" s="162"/>
      <c r="E230" s="16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248</v>
      </c>
      <c r="O230" s="39">
        <v>2165620</v>
      </c>
    </row>
    <row r="231" spans="1:21" ht="15" customHeight="1" x14ac:dyDescent="0.3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246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 x14ac:dyDescent="0.3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246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 x14ac:dyDescent="0.3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246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 x14ac:dyDescent="0.3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265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 x14ac:dyDescent="0.3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265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 x14ac:dyDescent="0.3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265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 x14ac:dyDescent="0.3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265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 x14ac:dyDescent="0.3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265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 x14ac:dyDescent="0.3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265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 x14ac:dyDescent="0.3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265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265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265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">
      <c r="A243" s="170" t="s">
        <v>250</v>
      </c>
      <c r="B243" s="171"/>
      <c r="C243" s="171"/>
      <c r="D243" s="171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248</v>
      </c>
      <c r="O243" s="39">
        <v>991010</v>
      </c>
    </row>
    <row r="244" spans="1:15" ht="18" customHeight="1" x14ac:dyDescent="0.3">
      <c r="A244" s="167" t="s">
        <v>251</v>
      </c>
      <c r="B244" s="168"/>
      <c r="C244" s="168"/>
      <c r="D244" s="168"/>
      <c r="E244" s="169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252</v>
      </c>
      <c r="O244" s="48">
        <f>IFERROR(O230+O243,"")</f>
        <v>3156630</v>
      </c>
    </row>
    <row r="245" spans="1:15" ht="15" customHeight="1" x14ac:dyDescent="0.3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246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 x14ac:dyDescent="0.3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246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 x14ac:dyDescent="0.3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246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 x14ac:dyDescent="0.3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246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246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266</v>
      </c>
      <c r="O249" s="47"/>
    </row>
    <row r="250" spans="1:15" ht="15" customHeight="1" x14ac:dyDescent="0.3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246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246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246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246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246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246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246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">
      <c r="A257" s="170" t="s">
        <v>247</v>
      </c>
      <c r="B257" s="171"/>
      <c r="C257" s="171"/>
      <c r="D257" s="171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248</v>
      </c>
      <c r="O257" s="39">
        <v>2149680</v>
      </c>
    </row>
    <row r="258" spans="1:15" ht="15" customHeight="1" x14ac:dyDescent="0.3">
      <c r="A258" s="68">
        <v>46244</v>
      </c>
      <c r="B258" s="32">
        <v>0.83333333333333304</v>
      </c>
      <c r="C258" s="33" t="s">
        <v>52</v>
      </c>
      <c r="D258" s="62" t="s">
        <v>267</v>
      </c>
      <c r="E258" s="62" t="s">
        <v>246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 x14ac:dyDescent="0.3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267</v>
      </c>
      <c r="E259" s="62" t="s">
        <v>246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 x14ac:dyDescent="0.3">
      <c r="A260" s="68">
        <v>46244</v>
      </c>
      <c r="B260" s="32">
        <f t="shared" si="58"/>
        <v>0.9166666666666663</v>
      </c>
      <c r="C260" s="33" t="s">
        <v>52</v>
      </c>
      <c r="D260" s="62" t="s">
        <v>267</v>
      </c>
      <c r="E260" s="62" t="s">
        <v>246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 x14ac:dyDescent="0.3">
      <c r="A261" s="67">
        <v>46244</v>
      </c>
      <c r="B261" s="25">
        <f t="shared" si="58"/>
        <v>0.95833333333333293</v>
      </c>
      <c r="C261" s="33" t="s">
        <v>52</v>
      </c>
      <c r="D261" s="62" t="s">
        <v>267</v>
      </c>
      <c r="E261" s="62" t="s">
        <v>246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 x14ac:dyDescent="0.3">
      <c r="A262" s="68">
        <v>46244</v>
      </c>
      <c r="B262" s="32">
        <f t="shared" si="58"/>
        <v>0.99999999999999956</v>
      </c>
      <c r="C262" s="33" t="s">
        <v>52</v>
      </c>
      <c r="D262" s="62" t="s">
        <v>267</v>
      </c>
      <c r="E262" s="62" t="s">
        <v>246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 x14ac:dyDescent="0.3">
      <c r="A263" s="67">
        <v>46244</v>
      </c>
      <c r="B263" s="25">
        <f t="shared" si="58"/>
        <v>1.0416666666666663</v>
      </c>
      <c r="C263" s="33" t="s">
        <v>52</v>
      </c>
      <c r="D263" s="62" t="s">
        <v>267</v>
      </c>
      <c r="E263" s="62" t="s">
        <v>246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 x14ac:dyDescent="0.3">
      <c r="A264" s="68">
        <v>46244</v>
      </c>
      <c r="B264" s="32">
        <f t="shared" si="58"/>
        <v>1.083333333333333</v>
      </c>
      <c r="C264" s="33" t="s">
        <v>52</v>
      </c>
      <c r="D264" s="62" t="s">
        <v>267</v>
      </c>
      <c r="E264" s="62" t="s">
        <v>246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 x14ac:dyDescent="0.3">
      <c r="A265" s="67">
        <v>46244</v>
      </c>
      <c r="B265" s="25">
        <f t="shared" si="58"/>
        <v>1.1249999999999998</v>
      </c>
      <c r="C265" s="33" t="s">
        <v>52</v>
      </c>
      <c r="D265" s="62" t="s">
        <v>267</v>
      </c>
      <c r="E265" s="62" t="s">
        <v>246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 x14ac:dyDescent="0.3">
      <c r="A266" s="68">
        <v>46244</v>
      </c>
      <c r="B266" s="32">
        <f t="shared" si="58"/>
        <v>1.1666666666666665</v>
      </c>
      <c r="C266" s="33" t="s">
        <v>52</v>
      </c>
      <c r="D266" s="62" t="s">
        <v>267</v>
      </c>
      <c r="E266" s="62" t="s">
        <v>246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 x14ac:dyDescent="0.3">
      <c r="A267" s="67">
        <v>46244</v>
      </c>
      <c r="B267" s="25">
        <f t="shared" si="58"/>
        <v>1.2083333333333333</v>
      </c>
      <c r="C267" s="33" t="s">
        <v>52</v>
      </c>
      <c r="D267" s="62" t="s">
        <v>267</v>
      </c>
      <c r="E267" s="62" t="s">
        <v>246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 x14ac:dyDescent="0.3">
      <c r="A268" s="68">
        <v>46244</v>
      </c>
      <c r="B268" s="32">
        <f t="shared" si="58"/>
        <v>1.25</v>
      </c>
      <c r="C268" s="33" t="s">
        <v>52</v>
      </c>
      <c r="D268" s="62" t="s">
        <v>267</v>
      </c>
      <c r="E268" s="62" t="s">
        <v>246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 x14ac:dyDescent="0.3">
      <c r="A269" s="67">
        <v>46244</v>
      </c>
      <c r="B269" s="25">
        <f t="shared" si="58"/>
        <v>1.2916666666666667</v>
      </c>
      <c r="C269" s="33" t="s">
        <v>52</v>
      </c>
      <c r="D269" s="62" t="s">
        <v>267</v>
      </c>
      <c r="E269" s="62" t="s">
        <v>246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 x14ac:dyDescent="0.3">
      <c r="A270" s="170" t="s">
        <v>250</v>
      </c>
      <c r="B270" s="171"/>
      <c r="C270" s="171"/>
      <c r="D270" s="171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248</v>
      </c>
      <c r="O270" s="39">
        <v>1544700</v>
      </c>
    </row>
    <row r="271" spans="1:15" ht="18" customHeight="1" x14ac:dyDescent="0.3">
      <c r="A271" s="167" t="s">
        <v>251</v>
      </c>
      <c r="B271" s="168"/>
      <c r="C271" s="168"/>
      <c r="D271" s="168"/>
      <c r="E271" s="169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252</v>
      </c>
      <c r="O271" s="48">
        <f>IFERROR(O257+O270,"")</f>
        <v>3694380</v>
      </c>
    </row>
    <row r="272" spans="1:15" ht="15" customHeight="1" x14ac:dyDescent="0.3">
      <c r="A272" s="67">
        <v>46245</v>
      </c>
      <c r="B272" s="25">
        <v>0.33333333333333298</v>
      </c>
      <c r="C272" s="26" t="s">
        <v>36</v>
      </c>
      <c r="D272" s="59" t="s">
        <v>267</v>
      </c>
      <c r="E272" s="59" t="s">
        <v>246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 x14ac:dyDescent="0.3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267</v>
      </c>
      <c r="E273" s="59" t="s">
        <v>246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 x14ac:dyDescent="0.3">
      <c r="A274" s="67">
        <v>46245</v>
      </c>
      <c r="B274" s="25">
        <f t="shared" si="60"/>
        <v>0.41666666666666635</v>
      </c>
      <c r="C274" s="26" t="s">
        <v>36</v>
      </c>
      <c r="D274" s="59" t="s">
        <v>267</v>
      </c>
      <c r="E274" s="59" t="s">
        <v>246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 x14ac:dyDescent="0.3">
      <c r="A275" s="68">
        <v>46245</v>
      </c>
      <c r="B275" s="32">
        <f t="shared" si="60"/>
        <v>0.45833333333333304</v>
      </c>
      <c r="C275" s="26" t="s">
        <v>36</v>
      </c>
      <c r="D275" s="59" t="s">
        <v>267</v>
      </c>
      <c r="E275" s="59" t="s">
        <v>246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217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 x14ac:dyDescent="0.3">
      <c r="A276" s="67">
        <v>46245</v>
      </c>
      <c r="B276" s="25">
        <f t="shared" si="60"/>
        <v>0.49999999999999972</v>
      </c>
      <c r="C276" s="26" t="s">
        <v>36</v>
      </c>
      <c r="D276" s="59" t="s">
        <v>267</v>
      </c>
      <c r="E276" s="59" t="s">
        <v>246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 x14ac:dyDescent="0.3">
      <c r="A277" s="68">
        <v>46245</v>
      </c>
      <c r="B277" s="32">
        <f t="shared" si="60"/>
        <v>0.54166666666666641</v>
      </c>
      <c r="C277" s="26" t="s">
        <v>36</v>
      </c>
      <c r="D277" s="59" t="s">
        <v>267</v>
      </c>
      <c r="E277" s="59" t="s">
        <v>246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268</v>
      </c>
      <c r="O277" s="47"/>
    </row>
    <row r="278" spans="1:15" ht="15" customHeight="1" x14ac:dyDescent="0.3">
      <c r="A278" s="67">
        <v>46245</v>
      </c>
      <c r="B278" s="25">
        <f t="shared" si="60"/>
        <v>0.58333333333333304</v>
      </c>
      <c r="C278" s="26" t="s">
        <v>36</v>
      </c>
      <c r="D278" s="59" t="s">
        <v>267</v>
      </c>
      <c r="E278" s="59" t="s">
        <v>246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 x14ac:dyDescent="0.3">
      <c r="A279" s="68">
        <v>46245</v>
      </c>
      <c r="B279" s="32">
        <f t="shared" si="60"/>
        <v>0.62499999999999967</v>
      </c>
      <c r="C279" s="26" t="s">
        <v>36</v>
      </c>
      <c r="D279" s="59" t="s">
        <v>267</v>
      </c>
      <c r="E279" s="59" t="s">
        <v>246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 x14ac:dyDescent="0.3">
      <c r="A280" s="67">
        <v>46245</v>
      </c>
      <c r="B280" s="25">
        <f t="shared" si="60"/>
        <v>0.6666666666666663</v>
      </c>
      <c r="C280" s="26" t="s">
        <v>36</v>
      </c>
      <c r="D280" s="59" t="s">
        <v>267</v>
      </c>
      <c r="E280" s="59" t="s">
        <v>246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 x14ac:dyDescent="0.3">
      <c r="A281" s="68">
        <v>46245</v>
      </c>
      <c r="B281" s="32">
        <f t="shared" si="60"/>
        <v>0.70833333333333293</v>
      </c>
      <c r="C281" s="26" t="s">
        <v>36</v>
      </c>
      <c r="D281" s="59" t="s">
        <v>267</v>
      </c>
      <c r="E281" s="59" t="s">
        <v>246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 x14ac:dyDescent="0.3">
      <c r="A282" s="67">
        <v>46245</v>
      </c>
      <c r="B282" s="25">
        <f t="shared" si="60"/>
        <v>0.74999999999999956</v>
      </c>
      <c r="C282" s="26" t="s">
        <v>36</v>
      </c>
      <c r="D282" s="59" t="s">
        <v>267</v>
      </c>
      <c r="E282" s="59" t="s">
        <v>246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 x14ac:dyDescent="0.3">
      <c r="A283" s="68">
        <v>46245</v>
      </c>
      <c r="B283" s="32">
        <f t="shared" si="60"/>
        <v>0.79166666666666619</v>
      </c>
      <c r="C283" s="26" t="s">
        <v>36</v>
      </c>
      <c r="D283" s="59" t="s">
        <v>267</v>
      </c>
      <c r="E283" s="59" t="s">
        <v>246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 x14ac:dyDescent="0.3">
      <c r="A284" s="170" t="s">
        <v>247</v>
      </c>
      <c r="B284" s="171"/>
      <c r="C284" s="171"/>
      <c r="D284" s="171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248</v>
      </c>
      <c r="O284" s="39">
        <v>1583020</v>
      </c>
    </row>
    <row r="285" spans="1:15" ht="15" customHeight="1" x14ac:dyDescent="0.3">
      <c r="A285" s="68">
        <v>46245</v>
      </c>
      <c r="B285" s="32">
        <v>0.83333333333333304</v>
      </c>
      <c r="C285" s="33" t="s">
        <v>52</v>
      </c>
      <c r="D285" s="62" t="s">
        <v>267</v>
      </c>
      <c r="E285" s="62" t="s">
        <v>262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 x14ac:dyDescent="0.3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267</v>
      </c>
      <c r="E286" s="62" t="s">
        <v>262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 x14ac:dyDescent="0.3">
      <c r="A287" s="68">
        <v>46245</v>
      </c>
      <c r="B287" s="32">
        <f t="shared" si="62"/>
        <v>0.9166666666666663</v>
      </c>
      <c r="C287" s="33" t="s">
        <v>52</v>
      </c>
      <c r="D287" s="62" t="s">
        <v>267</v>
      </c>
      <c r="E287" s="62" t="s">
        <v>262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 x14ac:dyDescent="0.3">
      <c r="A288" s="67">
        <v>46245</v>
      </c>
      <c r="B288" s="25">
        <f t="shared" si="62"/>
        <v>0.95833333333333293</v>
      </c>
      <c r="C288" s="33" t="s">
        <v>52</v>
      </c>
      <c r="D288" s="62" t="s">
        <v>267</v>
      </c>
      <c r="E288" s="62" t="s">
        <v>262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 x14ac:dyDescent="0.3">
      <c r="A289" s="68">
        <v>46245</v>
      </c>
      <c r="B289" s="32">
        <f t="shared" si="62"/>
        <v>0.99999999999999956</v>
      </c>
      <c r="C289" s="33" t="s">
        <v>52</v>
      </c>
      <c r="D289" s="62" t="s">
        <v>267</v>
      </c>
      <c r="E289" s="62" t="s">
        <v>262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 x14ac:dyDescent="0.3">
      <c r="A290" s="67">
        <v>46245</v>
      </c>
      <c r="B290" s="25">
        <f t="shared" si="62"/>
        <v>1.0416666666666663</v>
      </c>
      <c r="C290" s="33" t="s">
        <v>52</v>
      </c>
      <c r="D290" s="62" t="s">
        <v>267</v>
      </c>
      <c r="E290" s="62" t="s">
        <v>262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 x14ac:dyDescent="0.3">
      <c r="A291" s="68">
        <v>46245</v>
      </c>
      <c r="B291" s="32">
        <f t="shared" si="62"/>
        <v>1.083333333333333</v>
      </c>
      <c r="C291" s="33" t="s">
        <v>52</v>
      </c>
      <c r="D291" s="62" t="s">
        <v>267</v>
      </c>
      <c r="E291" s="62" t="s">
        <v>262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 x14ac:dyDescent="0.3">
      <c r="A292" s="67">
        <v>46245</v>
      </c>
      <c r="B292" s="25">
        <f t="shared" si="62"/>
        <v>1.1249999999999998</v>
      </c>
      <c r="C292" s="33" t="s">
        <v>52</v>
      </c>
      <c r="D292" s="62" t="s">
        <v>267</v>
      </c>
      <c r="E292" s="62" t="s">
        <v>262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 x14ac:dyDescent="0.3">
      <c r="A293" s="68">
        <v>46245</v>
      </c>
      <c r="B293" s="32">
        <f t="shared" si="62"/>
        <v>1.1666666666666665</v>
      </c>
      <c r="C293" s="33" t="s">
        <v>52</v>
      </c>
      <c r="D293" s="62" t="s">
        <v>267</v>
      </c>
      <c r="E293" s="62" t="s">
        <v>262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 x14ac:dyDescent="0.3">
      <c r="A294" s="67">
        <v>46245</v>
      </c>
      <c r="B294" s="25">
        <f t="shared" si="62"/>
        <v>1.2083333333333333</v>
      </c>
      <c r="C294" s="33" t="s">
        <v>52</v>
      </c>
      <c r="D294" s="62" t="s">
        <v>267</v>
      </c>
      <c r="E294" s="62" t="s">
        <v>262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 x14ac:dyDescent="0.3">
      <c r="A295" s="68">
        <v>46245</v>
      </c>
      <c r="B295" s="32">
        <f t="shared" si="62"/>
        <v>1.25</v>
      </c>
      <c r="C295" s="33" t="s">
        <v>52</v>
      </c>
      <c r="D295" s="62" t="s">
        <v>267</v>
      </c>
      <c r="E295" s="62" t="s">
        <v>262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 x14ac:dyDescent="0.3">
      <c r="A296" s="67">
        <v>46245</v>
      </c>
      <c r="B296" s="25">
        <f t="shared" si="62"/>
        <v>1.2916666666666667</v>
      </c>
      <c r="C296" s="33" t="s">
        <v>52</v>
      </c>
      <c r="D296" s="62" t="s">
        <v>267</v>
      </c>
      <c r="E296" s="62" t="s">
        <v>262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 x14ac:dyDescent="0.3">
      <c r="A297" s="170" t="s">
        <v>250</v>
      </c>
      <c r="B297" s="171"/>
      <c r="C297" s="171"/>
      <c r="D297" s="171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248</v>
      </c>
      <c r="O297" s="39">
        <v>1715230</v>
      </c>
    </row>
    <row r="298" spans="1:15" ht="18" customHeight="1" x14ac:dyDescent="0.3">
      <c r="A298" s="167" t="s">
        <v>251</v>
      </c>
      <c r="B298" s="168"/>
      <c r="C298" s="168"/>
      <c r="D298" s="168"/>
      <c r="E298" s="169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252</v>
      </c>
      <c r="O298" s="48">
        <f>IFERROR(O284+O297,"")</f>
        <v>3298250</v>
      </c>
    </row>
    <row r="299" spans="1:15" ht="15" customHeight="1" x14ac:dyDescent="0.3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246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234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 x14ac:dyDescent="0.3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246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 x14ac:dyDescent="0.3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246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 x14ac:dyDescent="0.3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246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269</v>
      </c>
      <c r="M302" s="30" t="str">
        <f t="shared" ca="1" si="63"/>
        <v/>
      </c>
      <c r="N302" s="46"/>
      <c r="O302" s="47"/>
    </row>
    <row r="303" spans="1:15" ht="15" customHeight="1" x14ac:dyDescent="0.3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246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 x14ac:dyDescent="0.3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246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 x14ac:dyDescent="0.3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246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 x14ac:dyDescent="0.3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246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 x14ac:dyDescent="0.3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246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 x14ac:dyDescent="0.3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246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 x14ac:dyDescent="0.3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246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 x14ac:dyDescent="0.3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246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 x14ac:dyDescent="0.3">
      <c r="A311" s="170" t="s">
        <v>247</v>
      </c>
      <c r="B311" s="171"/>
      <c r="C311" s="171"/>
      <c r="D311" s="171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248</v>
      </c>
      <c r="O311" s="39">
        <v>2631530</v>
      </c>
    </row>
    <row r="312" spans="1:15" ht="15" customHeight="1" x14ac:dyDescent="0.3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246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 x14ac:dyDescent="0.3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246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 x14ac:dyDescent="0.3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246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 x14ac:dyDescent="0.3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246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 x14ac:dyDescent="0.3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246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 x14ac:dyDescent="0.3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246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 x14ac:dyDescent="0.3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246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 x14ac:dyDescent="0.3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246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 x14ac:dyDescent="0.3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246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 x14ac:dyDescent="0.3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246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 x14ac:dyDescent="0.3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246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 x14ac:dyDescent="0.3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246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 x14ac:dyDescent="0.3">
      <c r="A324" s="170" t="s">
        <v>250</v>
      </c>
      <c r="B324" s="171"/>
      <c r="C324" s="171"/>
      <c r="D324" s="171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248</v>
      </c>
      <c r="O324" s="39">
        <v>2216340</v>
      </c>
    </row>
    <row r="325" spans="1:15" ht="18" customHeight="1" x14ac:dyDescent="0.3">
      <c r="A325" s="167" t="s">
        <v>251</v>
      </c>
      <c r="B325" s="168"/>
      <c r="C325" s="168"/>
      <c r="D325" s="168"/>
      <c r="E325" s="169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252</v>
      </c>
      <c r="O325" s="48">
        <f>IFERROR(O311+O324,"")</f>
        <v>4847870</v>
      </c>
    </row>
    <row r="326" spans="1:15" ht="15" customHeight="1" x14ac:dyDescent="0.3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 x14ac:dyDescent="0.3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212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 x14ac:dyDescent="0.3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270</v>
      </c>
      <c r="O328" s="47"/>
    </row>
    <row r="329" spans="1:15" ht="15" customHeight="1" x14ac:dyDescent="0.3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 x14ac:dyDescent="0.3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 x14ac:dyDescent="0.3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246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 x14ac:dyDescent="0.3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246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 x14ac:dyDescent="0.3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246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271</v>
      </c>
      <c r="O333" s="47"/>
    </row>
    <row r="334" spans="1:15" ht="15" customHeight="1" x14ac:dyDescent="0.3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246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 x14ac:dyDescent="0.3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246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 x14ac:dyDescent="0.3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246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 x14ac:dyDescent="0.3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246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 x14ac:dyDescent="0.3">
      <c r="A338" s="170" t="s">
        <v>247</v>
      </c>
      <c r="B338" s="171"/>
      <c r="C338" s="171"/>
      <c r="D338" s="171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248</v>
      </c>
      <c r="O338" s="39">
        <v>1925790</v>
      </c>
    </row>
    <row r="339" spans="1:15" ht="15" customHeight="1" x14ac:dyDescent="0.3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246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 x14ac:dyDescent="0.3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246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 x14ac:dyDescent="0.3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246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 x14ac:dyDescent="0.3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246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 x14ac:dyDescent="0.3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246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 x14ac:dyDescent="0.3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246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 x14ac:dyDescent="0.3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246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 x14ac:dyDescent="0.3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246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 x14ac:dyDescent="0.3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246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 x14ac:dyDescent="0.3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246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 x14ac:dyDescent="0.3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246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 x14ac:dyDescent="0.3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246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 x14ac:dyDescent="0.3">
      <c r="A351" s="170" t="s">
        <v>250</v>
      </c>
      <c r="B351" s="171"/>
      <c r="C351" s="171"/>
      <c r="D351" s="171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248</v>
      </c>
      <c r="O351" s="39">
        <v>2154990</v>
      </c>
    </row>
    <row r="352" spans="1:15" ht="18" customHeight="1" x14ac:dyDescent="0.3">
      <c r="A352" s="167" t="s">
        <v>251</v>
      </c>
      <c r="B352" s="168"/>
      <c r="C352" s="168"/>
      <c r="D352" s="168"/>
      <c r="E352" s="169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252</v>
      </c>
      <c r="O352" s="48">
        <f>IFERROR(O338+O351,"")</f>
        <v>4080780</v>
      </c>
    </row>
    <row r="353" spans="1:15" ht="15" customHeight="1" x14ac:dyDescent="0.3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246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 x14ac:dyDescent="0.3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246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 x14ac:dyDescent="0.3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246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 x14ac:dyDescent="0.3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246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 x14ac:dyDescent="0.3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246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 x14ac:dyDescent="0.3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246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 x14ac:dyDescent="0.3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262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 x14ac:dyDescent="0.3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246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 x14ac:dyDescent="0.3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246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 x14ac:dyDescent="0.3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246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 x14ac:dyDescent="0.3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246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 x14ac:dyDescent="0.3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246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 x14ac:dyDescent="0.3">
      <c r="A365" s="170" t="s">
        <v>247</v>
      </c>
      <c r="B365" s="171"/>
      <c r="C365" s="171"/>
      <c r="D365" s="171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248</v>
      </c>
      <c r="O365" s="39">
        <v>2315280</v>
      </c>
    </row>
    <row r="366" spans="1:15" ht="15" customHeight="1" x14ac:dyDescent="0.3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246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 x14ac:dyDescent="0.3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246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 x14ac:dyDescent="0.3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246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 x14ac:dyDescent="0.3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246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 x14ac:dyDescent="0.3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246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 x14ac:dyDescent="0.3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246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 x14ac:dyDescent="0.3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246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 x14ac:dyDescent="0.3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246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 x14ac:dyDescent="0.3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246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 x14ac:dyDescent="0.3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246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 x14ac:dyDescent="0.3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246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 x14ac:dyDescent="0.3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246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 x14ac:dyDescent="0.3">
      <c r="A378" s="170" t="s">
        <v>250</v>
      </c>
      <c r="B378" s="171"/>
      <c r="C378" s="171"/>
      <c r="D378" s="171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248</v>
      </c>
      <c r="O378" s="39">
        <v>2614830</v>
      </c>
    </row>
    <row r="379" spans="1:15" ht="18" customHeight="1" x14ac:dyDescent="0.3">
      <c r="A379" s="167" t="s">
        <v>251</v>
      </c>
      <c r="B379" s="168"/>
      <c r="C379" s="168"/>
      <c r="D379" s="168"/>
      <c r="E379" s="169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252</v>
      </c>
      <c r="O379" s="48">
        <f>IFERROR(O365+O378,"")</f>
        <v>4930110</v>
      </c>
    </row>
    <row r="380" spans="1:15" ht="15" customHeight="1" x14ac:dyDescent="0.3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246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 x14ac:dyDescent="0.3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246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 x14ac:dyDescent="0.3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246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 x14ac:dyDescent="0.3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246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 x14ac:dyDescent="0.3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246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 x14ac:dyDescent="0.3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246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 x14ac:dyDescent="0.3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246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 x14ac:dyDescent="0.3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246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 x14ac:dyDescent="0.3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246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 x14ac:dyDescent="0.3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246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 x14ac:dyDescent="0.3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246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 x14ac:dyDescent="0.3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246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 x14ac:dyDescent="0.3">
      <c r="A392" s="170" t="s">
        <v>247</v>
      </c>
      <c r="B392" s="171"/>
      <c r="C392" s="171"/>
      <c r="D392" s="171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248</v>
      </c>
      <c r="O392" s="39">
        <v>2491620</v>
      </c>
    </row>
    <row r="393" spans="1:15" ht="15" customHeight="1" x14ac:dyDescent="0.3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246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272</v>
      </c>
    </row>
    <row r="394" spans="1:15" ht="15" customHeight="1" x14ac:dyDescent="0.3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246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 x14ac:dyDescent="0.3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246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 x14ac:dyDescent="0.3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246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 x14ac:dyDescent="0.3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246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 x14ac:dyDescent="0.3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246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 x14ac:dyDescent="0.3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246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 x14ac:dyDescent="0.3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246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 x14ac:dyDescent="0.3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246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 x14ac:dyDescent="0.3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246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 x14ac:dyDescent="0.3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246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 x14ac:dyDescent="0.3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246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 x14ac:dyDescent="0.3">
      <c r="A405" s="170" t="s">
        <v>250</v>
      </c>
      <c r="B405" s="171"/>
      <c r="C405" s="171"/>
      <c r="D405" s="171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248</v>
      </c>
      <c r="O405" s="39">
        <v>2612000</v>
      </c>
    </row>
    <row r="406" spans="1:15" ht="18" customHeight="1" x14ac:dyDescent="0.3">
      <c r="A406" s="167" t="s">
        <v>251</v>
      </c>
      <c r="B406" s="168"/>
      <c r="C406" s="168"/>
      <c r="D406" s="168"/>
      <c r="E406" s="169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252</v>
      </c>
      <c r="O406" s="48">
        <f>IFERROR(O392+O405,"")</f>
        <v>5103620</v>
      </c>
    </row>
    <row r="407" spans="1:15" ht="15" customHeight="1" x14ac:dyDescent="0.3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246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 x14ac:dyDescent="0.3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246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 x14ac:dyDescent="0.3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246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 x14ac:dyDescent="0.3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246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 x14ac:dyDescent="0.3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246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 x14ac:dyDescent="0.3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246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 x14ac:dyDescent="0.3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246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 x14ac:dyDescent="0.3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246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 x14ac:dyDescent="0.3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246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 x14ac:dyDescent="0.3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246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 x14ac:dyDescent="0.3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246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 x14ac:dyDescent="0.3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246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 x14ac:dyDescent="0.3">
      <c r="A419" s="170" t="s">
        <v>247</v>
      </c>
      <c r="B419" s="171"/>
      <c r="C419" s="171"/>
      <c r="D419" s="171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248</v>
      </c>
      <c r="O419" s="39">
        <v>1195500</v>
      </c>
    </row>
    <row r="420" spans="1:15" ht="15" customHeight="1" x14ac:dyDescent="0.3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246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228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 x14ac:dyDescent="0.3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246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273</v>
      </c>
      <c r="O421" s="47"/>
    </row>
    <row r="422" spans="1:15" ht="15" customHeight="1" x14ac:dyDescent="0.3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246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273</v>
      </c>
      <c r="O422" s="47"/>
    </row>
    <row r="423" spans="1:15" ht="15" customHeight="1" x14ac:dyDescent="0.3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246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 x14ac:dyDescent="0.3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246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 x14ac:dyDescent="0.3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246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 x14ac:dyDescent="0.3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246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 x14ac:dyDescent="0.3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246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 x14ac:dyDescent="0.3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246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 x14ac:dyDescent="0.3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246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 x14ac:dyDescent="0.3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246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 x14ac:dyDescent="0.3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246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 x14ac:dyDescent="0.3">
      <c r="A432" s="170" t="s">
        <v>250</v>
      </c>
      <c r="B432" s="171"/>
      <c r="C432" s="171"/>
      <c r="D432" s="171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248</v>
      </c>
      <c r="O432" s="39">
        <v>2266710</v>
      </c>
    </row>
    <row r="433" spans="1:15" ht="18" customHeight="1" x14ac:dyDescent="0.3">
      <c r="A433" s="167" t="s">
        <v>251</v>
      </c>
      <c r="B433" s="168"/>
      <c r="C433" s="168"/>
      <c r="D433" s="168"/>
      <c r="E433" s="169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252</v>
      </c>
      <c r="O433" s="48">
        <f>IFERROR(O419+O432,"")</f>
        <v>3462210</v>
      </c>
    </row>
    <row r="434" spans="1:15" ht="15" customHeight="1" x14ac:dyDescent="0.3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246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 x14ac:dyDescent="0.3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246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 x14ac:dyDescent="0.3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246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 x14ac:dyDescent="0.3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246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 x14ac:dyDescent="0.3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246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 x14ac:dyDescent="0.3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246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 x14ac:dyDescent="0.3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246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 x14ac:dyDescent="0.3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246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 x14ac:dyDescent="0.3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246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 x14ac:dyDescent="0.3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246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 x14ac:dyDescent="0.3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246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 x14ac:dyDescent="0.3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246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 x14ac:dyDescent="0.3">
      <c r="A446" s="170" t="s">
        <v>247</v>
      </c>
      <c r="B446" s="171"/>
      <c r="C446" s="171"/>
      <c r="D446" s="171"/>
      <c r="E446" s="17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248</v>
      </c>
      <c r="O446" s="39">
        <v>1619380</v>
      </c>
    </row>
    <row r="447" spans="1:15" ht="15" customHeight="1" x14ac:dyDescent="0.3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246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274</v>
      </c>
      <c r="O447" s="47"/>
    </row>
    <row r="448" spans="1:15" ht="15" customHeight="1" x14ac:dyDescent="0.3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246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275</v>
      </c>
      <c r="O448" s="47"/>
    </row>
    <row r="449" spans="1:15" ht="15" customHeight="1" x14ac:dyDescent="0.3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246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 x14ac:dyDescent="0.3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246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 x14ac:dyDescent="0.3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246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 x14ac:dyDescent="0.3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246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276</v>
      </c>
      <c r="O452" s="47"/>
    </row>
    <row r="453" spans="1:15" ht="15" customHeight="1" x14ac:dyDescent="0.3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246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277</v>
      </c>
      <c r="O453" s="47"/>
    </row>
    <row r="454" spans="1:15" ht="15" customHeight="1" x14ac:dyDescent="0.3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246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278</v>
      </c>
      <c r="O454" s="47"/>
    </row>
    <row r="455" spans="1:15" ht="15" customHeight="1" x14ac:dyDescent="0.3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246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 x14ac:dyDescent="0.3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246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 x14ac:dyDescent="0.3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246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 x14ac:dyDescent="0.3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246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 x14ac:dyDescent="0.3">
      <c r="A459" s="170" t="s">
        <v>250</v>
      </c>
      <c r="B459" s="171"/>
      <c r="C459" s="171"/>
      <c r="D459" s="171"/>
      <c r="E459" s="172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248</v>
      </c>
      <c r="O459" s="39">
        <v>2361680</v>
      </c>
    </row>
    <row r="460" spans="1:15" ht="18" customHeight="1" x14ac:dyDescent="0.3">
      <c r="A460" s="167" t="s">
        <v>251</v>
      </c>
      <c r="B460" s="168"/>
      <c r="C460" s="168"/>
      <c r="D460" s="168"/>
      <c r="E460" s="169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252</v>
      </c>
      <c r="O460" s="48">
        <f>IFERROR(O446+O459,"")</f>
        <v>3981060</v>
      </c>
    </row>
    <row r="461" spans="1:15" ht="15" customHeight="1" x14ac:dyDescent="0.3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246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279</v>
      </c>
      <c r="O461" s="47"/>
    </row>
    <row r="462" spans="1:15" ht="15" customHeight="1" x14ac:dyDescent="0.3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246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 x14ac:dyDescent="0.3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246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 x14ac:dyDescent="0.3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246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 x14ac:dyDescent="0.3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246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 x14ac:dyDescent="0.3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246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 x14ac:dyDescent="0.3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246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 x14ac:dyDescent="0.3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246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 x14ac:dyDescent="0.3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246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 x14ac:dyDescent="0.3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246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 x14ac:dyDescent="0.3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246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 x14ac:dyDescent="0.3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246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 x14ac:dyDescent="0.3">
      <c r="A473" s="170" t="s">
        <v>247</v>
      </c>
      <c r="B473" s="171"/>
      <c r="C473" s="171"/>
      <c r="D473" s="171"/>
      <c r="E473" s="172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248</v>
      </c>
      <c r="O473" s="39">
        <v>2284390</v>
      </c>
    </row>
    <row r="474" spans="1:15" ht="15" customHeight="1" x14ac:dyDescent="0.3">
      <c r="A474" s="67">
        <v>46252</v>
      </c>
      <c r="B474" s="25">
        <v>0.83333333333333304</v>
      </c>
      <c r="C474" s="26" t="s">
        <v>36</v>
      </c>
      <c r="D474" s="59" t="s">
        <v>29</v>
      </c>
      <c r="E474" s="59" t="s">
        <v>246</v>
      </c>
      <c r="F474" s="27">
        <v>40</v>
      </c>
      <c r="G474" s="28">
        <f t="shared" ref="G474:G485" si="101">IF(F474="","",IF(E474="PC 17",F474*4.2,IF(E474="PC 19",F474*5,IF(E474="CB",F474*35,""))))</f>
        <v>200</v>
      </c>
      <c r="H474" s="26" t="s">
        <v>27</v>
      </c>
      <c r="I474" s="26" t="s">
        <v>30</v>
      </c>
      <c r="J474" s="26" t="s">
        <v>51</v>
      </c>
      <c r="K474" s="29">
        <v>0.95138888888888884</v>
      </c>
      <c r="L474" s="29">
        <v>0.96180555555555558</v>
      </c>
      <c r="M474" s="30">
        <f t="shared" ref="M474:M485" ca="1" si="102">IFERROR(IF(K474="","",IF(L474="",MOD(NOW()-K474,1),IF(L474&gt;=K474,L474-K474,L474+1-K474))),"")</f>
        <v>1.0416666666666741E-2</v>
      </c>
      <c r="N474" s="46"/>
      <c r="O474" s="47"/>
    </row>
    <row r="475" spans="1:15" ht="15" customHeight="1" x14ac:dyDescent="0.3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 t="s">
        <v>29</v>
      </c>
      <c r="E475" s="59" t="s">
        <v>246</v>
      </c>
      <c r="F475" s="27">
        <v>42</v>
      </c>
      <c r="G475" s="34">
        <f t="shared" si="101"/>
        <v>210</v>
      </c>
      <c r="H475" s="33" t="s">
        <v>27</v>
      </c>
      <c r="I475" s="33" t="s">
        <v>30</v>
      </c>
      <c r="J475" s="33" t="s">
        <v>51</v>
      </c>
      <c r="K475" s="29">
        <v>0.10416666666666667</v>
      </c>
      <c r="L475" s="29">
        <v>0.11805555555555555</v>
      </c>
      <c r="M475" s="35">
        <f t="shared" ca="1" si="102"/>
        <v>1.3888888888888881E-2</v>
      </c>
      <c r="N475" s="46"/>
      <c r="O475" s="47"/>
    </row>
    <row r="476" spans="1:15" ht="15" customHeight="1" x14ac:dyDescent="0.3">
      <c r="A476" s="67">
        <v>46252</v>
      </c>
      <c r="B476" s="25">
        <f t="shared" si="103"/>
        <v>0.9166666666666663</v>
      </c>
      <c r="C476" s="26" t="s">
        <v>36</v>
      </c>
      <c r="D476" s="59" t="s">
        <v>29</v>
      </c>
      <c r="E476" s="59" t="s">
        <v>246</v>
      </c>
      <c r="F476" s="27">
        <v>54</v>
      </c>
      <c r="G476" s="28">
        <f t="shared" si="101"/>
        <v>270</v>
      </c>
      <c r="H476" s="26" t="s">
        <v>27</v>
      </c>
      <c r="I476" s="26" t="s">
        <v>30</v>
      </c>
      <c r="J476" s="26" t="s">
        <v>142</v>
      </c>
      <c r="K476" s="29">
        <v>0.13541666666666666</v>
      </c>
      <c r="L476" s="29">
        <v>0.18958333333333333</v>
      </c>
      <c r="M476" s="30">
        <f t="shared" ca="1" si="102"/>
        <v>5.4166666666666669E-2</v>
      </c>
      <c r="N476" s="46" t="s">
        <v>280</v>
      </c>
      <c r="O476" s="47"/>
    </row>
    <row r="477" spans="1:15" ht="15" customHeight="1" x14ac:dyDescent="0.3">
      <c r="A477" s="68">
        <v>46252</v>
      </c>
      <c r="B477" s="32">
        <f t="shared" si="103"/>
        <v>0.95833333333333293</v>
      </c>
      <c r="C477" s="26" t="s">
        <v>36</v>
      </c>
      <c r="D477" s="59" t="s">
        <v>29</v>
      </c>
      <c r="E477" s="59" t="s">
        <v>246</v>
      </c>
      <c r="F477" s="27">
        <v>72</v>
      </c>
      <c r="G477" s="34">
        <f t="shared" si="101"/>
        <v>360</v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 x14ac:dyDescent="0.3">
      <c r="A478" s="67">
        <v>46252</v>
      </c>
      <c r="B478" s="25">
        <f t="shared" si="103"/>
        <v>0.99999999999999956</v>
      </c>
      <c r="C478" s="26" t="s">
        <v>36</v>
      </c>
      <c r="D478" s="59" t="s">
        <v>29</v>
      </c>
      <c r="E478" s="59" t="s">
        <v>246</v>
      </c>
      <c r="F478" s="27">
        <v>21</v>
      </c>
      <c r="G478" s="28">
        <f t="shared" si="101"/>
        <v>105</v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 x14ac:dyDescent="0.3">
      <c r="A479" s="68">
        <v>46252</v>
      </c>
      <c r="B479" s="32">
        <f t="shared" si="103"/>
        <v>1.0416666666666663</v>
      </c>
      <c r="C479" s="26" t="s">
        <v>36</v>
      </c>
      <c r="D479" s="59" t="s">
        <v>29</v>
      </c>
      <c r="E479" s="59" t="s">
        <v>246</v>
      </c>
      <c r="F479" s="27">
        <v>36</v>
      </c>
      <c r="G479" s="34">
        <f t="shared" si="101"/>
        <v>180</v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 x14ac:dyDescent="0.3">
      <c r="A480" s="67">
        <v>46252</v>
      </c>
      <c r="B480" s="25">
        <f t="shared" si="103"/>
        <v>1.083333333333333</v>
      </c>
      <c r="C480" s="26" t="s">
        <v>36</v>
      </c>
      <c r="D480" s="59" t="s">
        <v>29</v>
      </c>
      <c r="E480" s="59" t="s">
        <v>246</v>
      </c>
      <c r="F480" s="27">
        <v>14</v>
      </c>
      <c r="G480" s="28">
        <f t="shared" si="101"/>
        <v>70</v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 x14ac:dyDescent="0.3">
      <c r="A481" s="68">
        <v>46252</v>
      </c>
      <c r="B481" s="32">
        <f t="shared" si="103"/>
        <v>1.1249999999999998</v>
      </c>
      <c r="C481" s="26" t="s">
        <v>36</v>
      </c>
      <c r="D481" s="59" t="s">
        <v>29</v>
      </c>
      <c r="E481" s="59" t="s">
        <v>246</v>
      </c>
      <c r="F481" s="27">
        <v>0</v>
      </c>
      <c r="G481" s="34">
        <f t="shared" si="101"/>
        <v>0</v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 x14ac:dyDescent="0.3">
      <c r="A482" s="67">
        <v>46252</v>
      </c>
      <c r="B482" s="25">
        <f t="shared" si="103"/>
        <v>1.1666666666666665</v>
      </c>
      <c r="C482" s="26" t="s">
        <v>36</v>
      </c>
      <c r="D482" s="59" t="s">
        <v>29</v>
      </c>
      <c r="E482" s="59" t="s">
        <v>246</v>
      </c>
      <c r="F482" s="27">
        <v>4</v>
      </c>
      <c r="G482" s="28">
        <f t="shared" si="101"/>
        <v>20</v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 x14ac:dyDescent="0.3">
      <c r="A483" s="68">
        <v>46252</v>
      </c>
      <c r="B483" s="32">
        <f t="shared" si="103"/>
        <v>1.2083333333333333</v>
      </c>
      <c r="C483" s="26" t="s">
        <v>36</v>
      </c>
      <c r="D483" s="59" t="s">
        <v>29</v>
      </c>
      <c r="E483" s="59" t="s">
        <v>246</v>
      </c>
      <c r="F483" s="27">
        <v>22</v>
      </c>
      <c r="G483" s="34">
        <f t="shared" si="101"/>
        <v>110</v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 x14ac:dyDescent="0.3">
      <c r="A484" s="67">
        <v>46252</v>
      </c>
      <c r="B484" s="25">
        <f t="shared" si="103"/>
        <v>1.25</v>
      </c>
      <c r="C484" s="26" t="s">
        <v>36</v>
      </c>
      <c r="D484" s="59" t="s">
        <v>29</v>
      </c>
      <c r="E484" s="59" t="s">
        <v>246</v>
      </c>
      <c r="F484" s="27">
        <v>30</v>
      </c>
      <c r="G484" s="28">
        <f t="shared" si="101"/>
        <v>150</v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 x14ac:dyDescent="0.3">
      <c r="A485" s="68">
        <v>46252</v>
      </c>
      <c r="B485" s="32">
        <f t="shared" si="103"/>
        <v>1.2916666666666667</v>
      </c>
      <c r="C485" s="26" t="s">
        <v>36</v>
      </c>
      <c r="D485" s="59" t="s">
        <v>29</v>
      </c>
      <c r="E485" s="59" t="s">
        <v>246</v>
      </c>
      <c r="F485" s="27">
        <v>28</v>
      </c>
      <c r="G485" s="34">
        <f t="shared" si="101"/>
        <v>140</v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 x14ac:dyDescent="0.3">
      <c r="A486" s="170" t="s">
        <v>250</v>
      </c>
      <c r="B486" s="171"/>
      <c r="C486" s="171"/>
      <c r="D486" s="171"/>
      <c r="E486" s="172">
        <f>SUM(E474:E485)</f>
        <v>0</v>
      </c>
      <c r="F486" s="36">
        <f>SUM(F474:F485)</f>
        <v>363</v>
      </c>
      <c r="G486" s="36">
        <f>SUM(G474:G485)</f>
        <v>1815</v>
      </c>
      <c r="H486" s="37"/>
      <c r="I486" s="37"/>
      <c r="J486" s="37"/>
      <c r="K486" s="37"/>
      <c r="L486" s="37"/>
      <c r="M486" s="38">
        <f ca="1">IFERROR(SUM(M474:M485),"")</f>
        <v>7.847222222222229E-2</v>
      </c>
      <c r="N486" s="36" t="s">
        <v>248</v>
      </c>
      <c r="O486" s="39">
        <v>1798670</v>
      </c>
    </row>
    <row r="487" spans="1:15" ht="18" customHeight="1" x14ac:dyDescent="0.3">
      <c r="A487" s="167" t="s">
        <v>251</v>
      </c>
      <c r="B487" s="168"/>
      <c r="C487" s="168"/>
      <c r="D487" s="168"/>
      <c r="E487" s="169">
        <f>E473+E486</f>
        <v>0</v>
      </c>
      <c r="F487" s="40">
        <f>F473+F486</f>
        <v>710</v>
      </c>
      <c r="G487" s="40">
        <f>G473+G486</f>
        <v>3550</v>
      </c>
      <c r="H487" s="41"/>
      <c r="I487" s="41"/>
      <c r="J487" s="41"/>
      <c r="K487" s="41"/>
      <c r="L487" s="41"/>
      <c r="M487" s="42">
        <f ca="1">IFERROR(M473+M486,"")</f>
        <v>0.11041666666666673</v>
      </c>
      <c r="N487" s="40" t="s">
        <v>252</v>
      </c>
      <c r="O487" s="48">
        <f>IFERROR(O473+O486,"")</f>
        <v>4083060</v>
      </c>
    </row>
    <row r="488" spans="1:15" ht="15" customHeight="1" x14ac:dyDescent="0.3">
      <c r="A488" s="67">
        <v>46253</v>
      </c>
      <c r="B488" s="25">
        <v>0.33333333333333298</v>
      </c>
      <c r="C488" s="26" t="s">
        <v>52</v>
      </c>
      <c r="D488" s="59" t="s">
        <v>29</v>
      </c>
      <c r="E488" s="59" t="s">
        <v>246</v>
      </c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 x14ac:dyDescent="0.3">
      <c r="A489" s="68">
        <v>46253</v>
      </c>
      <c r="B489" s="32">
        <f t="shared" ref="B489:B499" si="106">B488+TIME(0,60,0)</f>
        <v>0.37499999999999967</v>
      </c>
      <c r="C489" s="26" t="s">
        <v>52</v>
      </c>
      <c r="D489" s="59" t="s">
        <v>29</v>
      </c>
      <c r="E489" s="59" t="s">
        <v>246</v>
      </c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 x14ac:dyDescent="0.3">
      <c r="A490" s="67">
        <v>46253</v>
      </c>
      <c r="B490" s="25">
        <f t="shared" si="106"/>
        <v>0.41666666666666635</v>
      </c>
      <c r="C490" s="26" t="s">
        <v>52</v>
      </c>
      <c r="D490" s="59" t="s">
        <v>29</v>
      </c>
      <c r="E490" s="59" t="s">
        <v>246</v>
      </c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 x14ac:dyDescent="0.3">
      <c r="A491" s="68">
        <v>46253</v>
      </c>
      <c r="B491" s="32">
        <f t="shared" si="106"/>
        <v>0.45833333333333304</v>
      </c>
      <c r="C491" s="26" t="s">
        <v>52</v>
      </c>
      <c r="D491" s="59" t="s">
        <v>29</v>
      </c>
      <c r="E491" s="59" t="s">
        <v>246</v>
      </c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 x14ac:dyDescent="0.3">
      <c r="A492" s="67">
        <v>46253</v>
      </c>
      <c r="B492" s="25">
        <f t="shared" si="106"/>
        <v>0.49999999999999972</v>
      </c>
      <c r="C492" s="26" t="s">
        <v>52</v>
      </c>
      <c r="D492" s="59" t="s">
        <v>29</v>
      </c>
      <c r="E492" s="59" t="s">
        <v>246</v>
      </c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 x14ac:dyDescent="0.3">
      <c r="A493" s="68">
        <v>46253</v>
      </c>
      <c r="B493" s="32">
        <f t="shared" si="106"/>
        <v>0.54166666666666641</v>
      </c>
      <c r="C493" s="26" t="s">
        <v>52</v>
      </c>
      <c r="D493" s="59" t="s">
        <v>29</v>
      </c>
      <c r="E493" s="59" t="s">
        <v>246</v>
      </c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 x14ac:dyDescent="0.3">
      <c r="A494" s="67">
        <v>46253</v>
      </c>
      <c r="B494" s="25">
        <f t="shared" si="106"/>
        <v>0.58333333333333304</v>
      </c>
      <c r="C494" s="26" t="s">
        <v>52</v>
      </c>
      <c r="D494" s="59" t="s">
        <v>29</v>
      </c>
      <c r="E494" s="59" t="s">
        <v>246</v>
      </c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 x14ac:dyDescent="0.3">
      <c r="A495" s="68">
        <v>46253</v>
      </c>
      <c r="B495" s="32">
        <f t="shared" si="106"/>
        <v>0.62499999999999967</v>
      </c>
      <c r="C495" s="26" t="s">
        <v>52</v>
      </c>
      <c r="D495" s="59" t="s">
        <v>29</v>
      </c>
      <c r="E495" s="59" t="s">
        <v>246</v>
      </c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 x14ac:dyDescent="0.3">
      <c r="A496" s="67">
        <v>46253</v>
      </c>
      <c r="B496" s="25">
        <f t="shared" si="106"/>
        <v>0.6666666666666663</v>
      </c>
      <c r="C496" s="26" t="s">
        <v>52</v>
      </c>
      <c r="D496" s="59" t="s">
        <v>29</v>
      </c>
      <c r="E496" s="59" t="s">
        <v>246</v>
      </c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 x14ac:dyDescent="0.3">
      <c r="A497" s="68">
        <v>46253</v>
      </c>
      <c r="B497" s="32">
        <f t="shared" si="106"/>
        <v>0.70833333333333293</v>
      </c>
      <c r="C497" s="26" t="s">
        <v>52</v>
      </c>
      <c r="D497" s="59" t="s">
        <v>29</v>
      </c>
      <c r="E497" s="59" t="s">
        <v>246</v>
      </c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 x14ac:dyDescent="0.3">
      <c r="A498" s="67">
        <v>46253</v>
      </c>
      <c r="B498" s="25">
        <f t="shared" si="106"/>
        <v>0.74999999999999956</v>
      </c>
      <c r="C498" s="26" t="s">
        <v>52</v>
      </c>
      <c r="D498" s="59" t="s">
        <v>29</v>
      </c>
      <c r="E498" s="59" t="s">
        <v>246</v>
      </c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 x14ac:dyDescent="0.3">
      <c r="A499" s="68">
        <v>46253</v>
      </c>
      <c r="B499" s="32">
        <f t="shared" si="106"/>
        <v>0.79166666666666619</v>
      </c>
      <c r="C499" s="26" t="s">
        <v>52</v>
      </c>
      <c r="D499" s="59" t="s">
        <v>29</v>
      </c>
      <c r="E499" s="59" t="s">
        <v>246</v>
      </c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 x14ac:dyDescent="0.3">
      <c r="A500" s="170" t="s">
        <v>247</v>
      </c>
      <c r="B500" s="171"/>
      <c r="C500" s="171"/>
      <c r="D500" s="171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248</v>
      </c>
      <c r="O500" s="39"/>
    </row>
    <row r="501" spans="1:15" ht="15" customHeight="1" x14ac:dyDescent="0.3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 x14ac:dyDescent="0.3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 x14ac:dyDescent="0.3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 x14ac:dyDescent="0.3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 x14ac:dyDescent="0.3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 x14ac:dyDescent="0.3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 x14ac:dyDescent="0.3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 x14ac:dyDescent="0.3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 x14ac:dyDescent="0.3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 x14ac:dyDescent="0.3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 x14ac:dyDescent="0.3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 x14ac:dyDescent="0.3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 x14ac:dyDescent="0.3">
      <c r="A513" s="170" t="s">
        <v>250</v>
      </c>
      <c r="B513" s="171"/>
      <c r="C513" s="171"/>
      <c r="D513" s="171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248</v>
      </c>
      <c r="O513" s="39"/>
    </row>
    <row r="514" spans="1:15" ht="18" customHeight="1" x14ac:dyDescent="0.3">
      <c r="A514" s="167" t="s">
        <v>251</v>
      </c>
      <c r="B514" s="168"/>
      <c r="C514" s="168"/>
      <c r="D514" s="168"/>
      <c r="E514" s="16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252</v>
      </c>
      <c r="O514" s="48">
        <f>IFERROR(O500+O513,"")</f>
        <v>0</v>
      </c>
    </row>
    <row r="515" spans="1:15" ht="15" customHeight="1" x14ac:dyDescent="0.3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 x14ac:dyDescent="0.3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 x14ac:dyDescent="0.3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 x14ac:dyDescent="0.3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 x14ac:dyDescent="0.3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 x14ac:dyDescent="0.3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 x14ac:dyDescent="0.3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 x14ac:dyDescent="0.3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 x14ac:dyDescent="0.3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 x14ac:dyDescent="0.3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 x14ac:dyDescent="0.3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 x14ac:dyDescent="0.3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 x14ac:dyDescent="0.3">
      <c r="A527" s="170" t="s">
        <v>247</v>
      </c>
      <c r="B527" s="171"/>
      <c r="C527" s="171"/>
      <c r="D527" s="171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248</v>
      </c>
      <c r="O527" s="39"/>
    </row>
    <row r="528" spans="1:15" ht="15" customHeight="1" x14ac:dyDescent="0.3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 x14ac:dyDescent="0.3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 x14ac:dyDescent="0.3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 x14ac:dyDescent="0.3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 x14ac:dyDescent="0.3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 x14ac:dyDescent="0.3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 x14ac:dyDescent="0.3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 x14ac:dyDescent="0.3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 x14ac:dyDescent="0.3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 x14ac:dyDescent="0.3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 x14ac:dyDescent="0.3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 x14ac:dyDescent="0.3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 x14ac:dyDescent="0.3">
      <c r="A540" s="170" t="s">
        <v>250</v>
      </c>
      <c r="B540" s="171"/>
      <c r="C540" s="171"/>
      <c r="D540" s="171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248</v>
      </c>
      <c r="O540" s="39"/>
    </row>
    <row r="541" spans="1:15" ht="18" customHeight="1" x14ac:dyDescent="0.3">
      <c r="A541" s="167" t="s">
        <v>251</v>
      </c>
      <c r="B541" s="168"/>
      <c r="C541" s="168"/>
      <c r="D541" s="168"/>
      <c r="E541" s="16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252</v>
      </c>
      <c r="O541" s="48">
        <f>IFERROR(O527+O540,"")</f>
        <v>0</v>
      </c>
    </row>
    <row r="542" spans="1:15" ht="15" customHeight="1" x14ac:dyDescent="0.3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 x14ac:dyDescent="0.3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 x14ac:dyDescent="0.3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 x14ac:dyDescent="0.3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 x14ac:dyDescent="0.3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 x14ac:dyDescent="0.3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 x14ac:dyDescent="0.3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 x14ac:dyDescent="0.3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 x14ac:dyDescent="0.3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 x14ac:dyDescent="0.3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 x14ac:dyDescent="0.3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 x14ac:dyDescent="0.3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 x14ac:dyDescent="0.3">
      <c r="A554" s="170" t="s">
        <v>247</v>
      </c>
      <c r="B554" s="171"/>
      <c r="C554" s="171"/>
      <c r="D554" s="171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248</v>
      </c>
      <c r="O554" s="39"/>
    </row>
    <row r="555" spans="1:15" ht="15" customHeight="1" x14ac:dyDescent="0.3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 x14ac:dyDescent="0.3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 x14ac:dyDescent="0.3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 x14ac:dyDescent="0.3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 x14ac:dyDescent="0.3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 x14ac:dyDescent="0.3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 x14ac:dyDescent="0.3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 x14ac:dyDescent="0.3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 x14ac:dyDescent="0.3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 x14ac:dyDescent="0.3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 x14ac:dyDescent="0.3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 x14ac:dyDescent="0.3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 x14ac:dyDescent="0.3">
      <c r="A567" s="170" t="s">
        <v>250</v>
      </c>
      <c r="B567" s="171"/>
      <c r="C567" s="171"/>
      <c r="D567" s="171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248</v>
      </c>
      <c r="O567" s="39"/>
    </row>
    <row r="568" spans="1:15" ht="18" customHeight="1" x14ac:dyDescent="0.3">
      <c r="A568" s="167" t="s">
        <v>251</v>
      </c>
      <c r="B568" s="168"/>
      <c r="C568" s="168"/>
      <c r="D568" s="168"/>
      <c r="E568" s="16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252</v>
      </c>
      <c r="O568" s="48">
        <f>IFERROR(O554+O567,"")</f>
        <v>0</v>
      </c>
    </row>
    <row r="569" spans="1:15" ht="15" customHeight="1" x14ac:dyDescent="0.3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 x14ac:dyDescent="0.3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 x14ac:dyDescent="0.3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 x14ac:dyDescent="0.3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 x14ac:dyDescent="0.3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 x14ac:dyDescent="0.3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 x14ac:dyDescent="0.3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 x14ac:dyDescent="0.3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 x14ac:dyDescent="0.3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 x14ac:dyDescent="0.3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 x14ac:dyDescent="0.3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 x14ac:dyDescent="0.3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 x14ac:dyDescent="0.3">
      <c r="A581" s="170" t="s">
        <v>247</v>
      </c>
      <c r="B581" s="171"/>
      <c r="C581" s="171"/>
      <c r="D581" s="171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248</v>
      </c>
      <c r="O581" s="39"/>
    </row>
    <row r="582" spans="1:15" ht="15" customHeight="1" x14ac:dyDescent="0.3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 x14ac:dyDescent="0.3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 x14ac:dyDescent="0.3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 x14ac:dyDescent="0.3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 x14ac:dyDescent="0.3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 x14ac:dyDescent="0.3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 x14ac:dyDescent="0.3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 x14ac:dyDescent="0.3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 x14ac:dyDescent="0.3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 x14ac:dyDescent="0.3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 x14ac:dyDescent="0.3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 x14ac:dyDescent="0.3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 x14ac:dyDescent="0.3">
      <c r="A594" s="170" t="s">
        <v>250</v>
      </c>
      <c r="B594" s="171"/>
      <c r="C594" s="171"/>
      <c r="D594" s="171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248</v>
      </c>
      <c r="O594" s="39"/>
    </row>
    <row r="595" spans="1:15" ht="18" customHeight="1" x14ac:dyDescent="0.3">
      <c r="A595" s="167" t="s">
        <v>251</v>
      </c>
      <c r="B595" s="168"/>
      <c r="C595" s="168"/>
      <c r="D595" s="168"/>
      <c r="E595" s="16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252</v>
      </c>
      <c r="O595" s="48">
        <f>IFERROR(O581+O594,"")</f>
        <v>0</v>
      </c>
    </row>
    <row r="596" spans="1:15" ht="15" customHeight="1" x14ac:dyDescent="0.3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 x14ac:dyDescent="0.3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 x14ac:dyDescent="0.3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 x14ac:dyDescent="0.3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 x14ac:dyDescent="0.3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 x14ac:dyDescent="0.3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 x14ac:dyDescent="0.3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 x14ac:dyDescent="0.3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 x14ac:dyDescent="0.3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 x14ac:dyDescent="0.3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 x14ac:dyDescent="0.3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 x14ac:dyDescent="0.3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 x14ac:dyDescent="0.3">
      <c r="A608" s="170" t="s">
        <v>247</v>
      </c>
      <c r="B608" s="171"/>
      <c r="C608" s="171"/>
      <c r="D608" s="171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248</v>
      </c>
      <c r="O608" s="39"/>
    </row>
    <row r="609" spans="1:15" ht="15" customHeight="1" x14ac:dyDescent="0.3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 x14ac:dyDescent="0.3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 x14ac:dyDescent="0.3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 x14ac:dyDescent="0.3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 x14ac:dyDescent="0.3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 x14ac:dyDescent="0.3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 x14ac:dyDescent="0.3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 x14ac:dyDescent="0.3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 x14ac:dyDescent="0.3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 x14ac:dyDescent="0.3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 x14ac:dyDescent="0.3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 x14ac:dyDescent="0.3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 x14ac:dyDescent="0.3">
      <c r="A621" s="170" t="s">
        <v>250</v>
      </c>
      <c r="B621" s="171"/>
      <c r="C621" s="171"/>
      <c r="D621" s="171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248</v>
      </c>
      <c r="O621" s="39"/>
    </row>
    <row r="622" spans="1:15" ht="18" customHeight="1" x14ac:dyDescent="0.3">
      <c r="A622" s="167" t="s">
        <v>251</v>
      </c>
      <c r="B622" s="168"/>
      <c r="C622" s="168"/>
      <c r="D622" s="168"/>
      <c r="E622" s="16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252</v>
      </c>
      <c r="O622" s="48">
        <f>IFERROR(O608+O621,"")</f>
        <v>0</v>
      </c>
    </row>
    <row r="623" spans="1:15" ht="15" customHeight="1" x14ac:dyDescent="0.3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 x14ac:dyDescent="0.3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 x14ac:dyDescent="0.3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 x14ac:dyDescent="0.3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 x14ac:dyDescent="0.3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 x14ac:dyDescent="0.3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 x14ac:dyDescent="0.3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 x14ac:dyDescent="0.3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 x14ac:dyDescent="0.3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 x14ac:dyDescent="0.3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 x14ac:dyDescent="0.3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 x14ac:dyDescent="0.3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 x14ac:dyDescent="0.3">
      <c r="A635" s="170" t="s">
        <v>247</v>
      </c>
      <c r="B635" s="171"/>
      <c r="C635" s="171"/>
      <c r="D635" s="171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248</v>
      </c>
      <c r="O635" s="39"/>
    </row>
    <row r="636" spans="1:15" ht="15" customHeight="1" x14ac:dyDescent="0.3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 x14ac:dyDescent="0.3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 x14ac:dyDescent="0.3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 x14ac:dyDescent="0.3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 x14ac:dyDescent="0.3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 x14ac:dyDescent="0.3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 x14ac:dyDescent="0.3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 x14ac:dyDescent="0.3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 x14ac:dyDescent="0.3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 x14ac:dyDescent="0.3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 x14ac:dyDescent="0.3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 x14ac:dyDescent="0.3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 x14ac:dyDescent="0.3">
      <c r="A648" s="170" t="s">
        <v>250</v>
      </c>
      <c r="B648" s="171"/>
      <c r="C648" s="171"/>
      <c r="D648" s="171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248</v>
      </c>
      <c r="O648" s="39"/>
    </row>
    <row r="649" spans="1:15" ht="18" customHeight="1" x14ac:dyDescent="0.3">
      <c r="A649" s="167" t="s">
        <v>251</v>
      </c>
      <c r="B649" s="168"/>
      <c r="C649" s="168"/>
      <c r="D649" s="168"/>
      <c r="E649" s="16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252</v>
      </c>
      <c r="O649" s="48">
        <f>IFERROR(O635+O648,"")</f>
        <v>0</v>
      </c>
    </row>
    <row r="650" spans="1:15" ht="15" customHeight="1" x14ac:dyDescent="0.3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 x14ac:dyDescent="0.3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 x14ac:dyDescent="0.3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 x14ac:dyDescent="0.3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 x14ac:dyDescent="0.3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 x14ac:dyDescent="0.3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 x14ac:dyDescent="0.3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 x14ac:dyDescent="0.3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 x14ac:dyDescent="0.3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 x14ac:dyDescent="0.3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 x14ac:dyDescent="0.3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 x14ac:dyDescent="0.3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 x14ac:dyDescent="0.3">
      <c r="A662" s="170" t="s">
        <v>247</v>
      </c>
      <c r="B662" s="171"/>
      <c r="C662" s="171"/>
      <c r="D662" s="171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248</v>
      </c>
      <c r="O662" s="39"/>
    </row>
    <row r="663" spans="1:15" ht="15" customHeight="1" x14ac:dyDescent="0.3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 x14ac:dyDescent="0.3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 x14ac:dyDescent="0.3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 x14ac:dyDescent="0.3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 x14ac:dyDescent="0.3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 x14ac:dyDescent="0.3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 x14ac:dyDescent="0.3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 x14ac:dyDescent="0.3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 x14ac:dyDescent="0.3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 x14ac:dyDescent="0.3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 x14ac:dyDescent="0.3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 x14ac:dyDescent="0.3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 x14ac:dyDescent="0.3">
      <c r="A675" s="170" t="s">
        <v>250</v>
      </c>
      <c r="B675" s="171"/>
      <c r="C675" s="171"/>
      <c r="D675" s="171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248</v>
      </c>
      <c r="O675" s="39"/>
    </row>
    <row r="676" spans="1:15" ht="18" customHeight="1" x14ac:dyDescent="0.3">
      <c r="A676" s="167" t="s">
        <v>251</v>
      </c>
      <c r="B676" s="168"/>
      <c r="C676" s="168"/>
      <c r="D676" s="168"/>
      <c r="E676" s="16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252</v>
      </c>
      <c r="O676" s="48">
        <f>IFERROR(O662+O675,"")</f>
        <v>0</v>
      </c>
    </row>
    <row r="677" spans="1:15" ht="15" customHeight="1" x14ac:dyDescent="0.3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 x14ac:dyDescent="0.3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 x14ac:dyDescent="0.3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 x14ac:dyDescent="0.3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 x14ac:dyDescent="0.3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 x14ac:dyDescent="0.3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 x14ac:dyDescent="0.3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 x14ac:dyDescent="0.3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 x14ac:dyDescent="0.3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 x14ac:dyDescent="0.3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 x14ac:dyDescent="0.3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 x14ac:dyDescent="0.3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 x14ac:dyDescent="0.3">
      <c r="A689" s="170" t="s">
        <v>247</v>
      </c>
      <c r="B689" s="171"/>
      <c r="C689" s="171"/>
      <c r="D689" s="171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248</v>
      </c>
      <c r="O689" s="39"/>
    </row>
    <row r="690" spans="1:15" ht="15" customHeight="1" x14ac:dyDescent="0.3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 x14ac:dyDescent="0.3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 x14ac:dyDescent="0.3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 x14ac:dyDescent="0.3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 x14ac:dyDescent="0.3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 x14ac:dyDescent="0.3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 x14ac:dyDescent="0.3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 x14ac:dyDescent="0.3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 x14ac:dyDescent="0.3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 x14ac:dyDescent="0.3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 x14ac:dyDescent="0.3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 x14ac:dyDescent="0.3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 x14ac:dyDescent="0.3">
      <c r="A702" s="170" t="s">
        <v>250</v>
      </c>
      <c r="B702" s="171"/>
      <c r="C702" s="171"/>
      <c r="D702" s="171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248</v>
      </c>
      <c r="O702" s="39"/>
    </row>
    <row r="703" spans="1:15" ht="18" customHeight="1" x14ac:dyDescent="0.3">
      <c r="A703" s="167" t="s">
        <v>251</v>
      </c>
      <c r="B703" s="168"/>
      <c r="C703" s="168"/>
      <c r="D703" s="168"/>
      <c r="E703" s="16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252</v>
      </c>
      <c r="O703" s="48">
        <f>IFERROR(O689+O702,"")</f>
        <v>0</v>
      </c>
    </row>
    <row r="704" spans="1:15" ht="15" customHeight="1" x14ac:dyDescent="0.3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 x14ac:dyDescent="0.3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 x14ac:dyDescent="0.3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 x14ac:dyDescent="0.3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 x14ac:dyDescent="0.3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 x14ac:dyDescent="0.3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 x14ac:dyDescent="0.3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 x14ac:dyDescent="0.3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 x14ac:dyDescent="0.3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 x14ac:dyDescent="0.3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 x14ac:dyDescent="0.3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 x14ac:dyDescent="0.3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 x14ac:dyDescent="0.3">
      <c r="A716" s="170" t="s">
        <v>247</v>
      </c>
      <c r="B716" s="171"/>
      <c r="C716" s="171"/>
      <c r="D716" s="171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248</v>
      </c>
      <c r="O716" s="39"/>
    </row>
    <row r="717" spans="1:15" ht="15" customHeight="1" x14ac:dyDescent="0.3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 x14ac:dyDescent="0.3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 x14ac:dyDescent="0.3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 x14ac:dyDescent="0.3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 x14ac:dyDescent="0.3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 x14ac:dyDescent="0.3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 x14ac:dyDescent="0.3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 x14ac:dyDescent="0.3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 x14ac:dyDescent="0.3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 x14ac:dyDescent="0.3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 x14ac:dyDescent="0.3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 x14ac:dyDescent="0.3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 x14ac:dyDescent="0.3">
      <c r="A729" s="170" t="s">
        <v>250</v>
      </c>
      <c r="B729" s="171"/>
      <c r="C729" s="171"/>
      <c r="D729" s="171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248</v>
      </c>
      <c r="O729" s="39"/>
    </row>
    <row r="730" spans="1:15" ht="18" customHeight="1" x14ac:dyDescent="0.3">
      <c r="A730" s="167" t="s">
        <v>251</v>
      </c>
      <c r="B730" s="168"/>
      <c r="C730" s="168"/>
      <c r="D730" s="168"/>
      <c r="E730" s="16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252</v>
      </c>
      <c r="O730" s="48">
        <f>IFERROR(O716+O729,"")</f>
        <v>0</v>
      </c>
    </row>
    <row r="731" spans="1:15" ht="15" customHeight="1" x14ac:dyDescent="0.3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 x14ac:dyDescent="0.3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 x14ac:dyDescent="0.3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 x14ac:dyDescent="0.3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 x14ac:dyDescent="0.3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 x14ac:dyDescent="0.3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 x14ac:dyDescent="0.3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 x14ac:dyDescent="0.3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 x14ac:dyDescent="0.3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 x14ac:dyDescent="0.3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 x14ac:dyDescent="0.3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 x14ac:dyDescent="0.3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 x14ac:dyDescent="0.3">
      <c r="A743" s="170" t="s">
        <v>247</v>
      </c>
      <c r="B743" s="171"/>
      <c r="C743" s="171"/>
      <c r="D743" s="171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248</v>
      </c>
      <c r="O743" s="39"/>
    </row>
    <row r="744" spans="1:15" ht="15" customHeight="1" x14ac:dyDescent="0.3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 x14ac:dyDescent="0.3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 x14ac:dyDescent="0.3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 x14ac:dyDescent="0.3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 x14ac:dyDescent="0.3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 x14ac:dyDescent="0.3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 x14ac:dyDescent="0.3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 x14ac:dyDescent="0.3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 x14ac:dyDescent="0.3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 x14ac:dyDescent="0.3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 x14ac:dyDescent="0.3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 x14ac:dyDescent="0.3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 x14ac:dyDescent="0.3">
      <c r="A756" s="170" t="s">
        <v>250</v>
      </c>
      <c r="B756" s="171"/>
      <c r="C756" s="171"/>
      <c r="D756" s="171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248</v>
      </c>
      <c r="O756" s="39"/>
    </row>
    <row r="757" spans="1:15" ht="18" customHeight="1" x14ac:dyDescent="0.3">
      <c r="A757" s="167" t="s">
        <v>251</v>
      </c>
      <c r="B757" s="168"/>
      <c r="C757" s="168"/>
      <c r="D757" s="168"/>
      <c r="E757" s="16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252</v>
      </c>
      <c r="O757" s="48">
        <f>IFERROR(O743+O756,"")</f>
        <v>0</v>
      </c>
    </row>
    <row r="758" spans="1:15" ht="15" customHeight="1" x14ac:dyDescent="0.3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 x14ac:dyDescent="0.3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 x14ac:dyDescent="0.3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 x14ac:dyDescent="0.3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 x14ac:dyDescent="0.3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 x14ac:dyDescent="0.3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 x14ac:dyDescent="0.3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 x14ac:dyDescent="0.3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 x14ac:dyDescent="0.3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 x14ac:dyDescent="0.3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 x14ac:dyDescent="0.3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 x14ac:dyDescent="0.3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 x14ac:dyDescent="0.3">
      <c r="A770" s="170" t="s">
        <v>247</v>
      </c>
      <c r="B770" s="171"/>
      <c r="C770" s="171"/>
      <c r="D770" s="171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248</v>
      </c>
      <c r="O770" s="39"/>
    </row>
    <row r="771" spans="1:15" ht="15" customHeight="1" x14ac:dyDescent="0.3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 x14ac:dyDescent="0.3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 x14ac:dyDescent="0.3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 x14ac:dyDescent="0.3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 x14ac:dyDescent="0.3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 x14ac:dyDescent="0.3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 x14ac:dyDescent="0.3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 x14ac:dyDescent="0.3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 x14ac:dyDescent="0.3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 x14ac:dyDescent="0.3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 x14ac:dyDescent="0.3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 x14ac:dyDescent="0.3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 x14ac:dyDescent="0.3">
      <c r="A783" s="170" t="s">
        <v>250</v>
      </c>
      <c r="B783" s="171"/>
      <c r="C783" s="171"/>
      <c r="D783" s="171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248</v>
      </c>
      <c r="O783" s="39"/>
    </row>
    <row r="784" spans="1:15" ht="18" customHeight="1" x14ac:dyDescent="0.3">
      <c r="A784" s="167" t="s">
        <v>251</v>
      </c>
      <c r="B784" s="168"/>
      <c r="C784" s="168"/>
      <c r="D784" s="168"/>
      <c r="E784" s="16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252</v>
      </c>
      <c r="O784" s="48">
        <f>IFERROR(O770+O783,"")</f>
        <v>0</v>
      </c>
    </row>
    <row r="785" spans="1:15" ht="15" customHeight="1" x14ac:dyDescent="0.3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 x14ac:dyDescent="0.3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 x14ac:dyDescent="0.3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 x14ac:dyDescent="0.3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 x14ac:dyDescent="0.3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 x14ac:dyDescent="0.3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 x14ac:dyDescent="0.3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 x14ac:dyDescent="0.3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 x14ac:dyDescent="0.3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 x14ac:dyDescent="0.3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 x14ac:dyDescent="0.3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 x14ac:dyDescent="0.3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 x14ac:dyDescent="0.3">
      <c r="A797" s="170" t="s">
        <v>247</v>
      </c>
      <c r="B797" s="171"/>
      <c r="C797" s="171"/>
      <c r="D797" s="171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248</v>
      </c>
      <c r="O797" s="39"/>
    </row>
    <row r="798" spans="1:15" ht="15" customHeight="1" x14ac:dyDescent="0.3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 x14ac:dyDescent="0.3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 x14ac:dyDescent="0.3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 x14ac:dyDescent="0.3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 x14ac:dyDescent="0.3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 x14ac:dyDescent="0.3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 x14ac:dyDescent="0.3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 x14ac:dyDescent="0.3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 x14ac:dyDescent="0.3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 x14ac:dyDescent="0.3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 x14ac:dyDescent="0.3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 x14ac:dyDescent="0.3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 x14ac:dyDescent="0.3">
      <c r="A810" s="170" t="s">
        <v>250</v>
      </c>
      <c r="B810" s="171"/>
      <c r="C810" s="171"/>
      <c r="D810" s="171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248</v>
      </c>
      <c r="O810" s="39"/>
    </row>
    <row r="811" spans="1:15" ht="18" customHeight="1" x14ac:dyDescent="0.3">
      <c r="A811" s="164" t="s">
        <v>251</v>
      </c>
      <c r="B811" s="165"/>
      <c r="C811" s="165"/>
      <c r="D811" s="165"/>
      <c r="E811" s="16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252</v>
      </c>
      <c r="O811" s="43">
        <f>IFERROR(O797+O810,"")</f>
        <v>0</v>
      </c>
    </row>
    <row r="812" spans="1:15" ht="15" customHeight="1" x14ac:dyDescent="0.3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 x14ac:dyDescent="0.3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 x14ac:dyDescent="0.3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 x14ac:dyDescent="0.3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 x14ac:dyDescent="0.3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 x14ac:dyDescent="0.3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 x14ac:dyDescent="0.3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 x14ac:dyDescent="0.3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 x14ac:dyDescent="0.3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 x14ac:dyDescent="0.3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 x14ac:dyDescent="0.3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 x14ac:dyDescent="0.3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 x14ac:dyDescent="0.3">
      <c r="A824" s="170" t="s">
        <v>247</v>
      </c>
      <c r="B824" s="171"/>
      <c r="C824" s="171"/>
      <c r="D824" s="171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248</v>
      </c>
      <c r="O824" s="39"/>
    </row>
    <row r="825" spans="1:15" ht="15" customHeight="1" x14ac:dyDescent="0.3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 x14ac:dyDescent="0.3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 x14ac:dyDescent="0.3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 x14ac:dyDescent="0.3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 x14ac:dyDescent="0.3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 x14ac:dyDescent="0.3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 x14ac:dyDescent="0.3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 x14ac:dyDescent="0.3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 x14ac:dyDescent="0.3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 x14ac:dyDescent="0.3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 x14ac:dyDescent="0.3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 x14ac:dyDescent="0.3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 x14ac:dyDescent="0.3">
      <c r="A837" s="170" t="s">
        <v>250</v>
      </c>
      <c r="B837" s="171"/>
      <c r="C837" s="171"/>
      <c r="D837" s="171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248</v>
      </c>
      <c r="O837" s="39"/>
    </row>
    <row r="838" spans="1:15" ht="18" customHeight="1" x14ac:dyDescent="0.3">
      <c r="A838" s="167" t="s">
        <v>251</v>
      </c>
      <c r="B838" s="168"/>
      <c r="C838" s="168"/>
      <c r="D838" s="168"/>
      <c r="E838" s="16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252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opLeftCell="E1" zoomScale="80" zoomScaleNormal="80" zoomScaleSheetLayoutView="70" workbookViewId="0">
      <pane ySplit="1" topLeftCell="A466" activePane="bottomLeft" state="frozen"/>
      <selection sqref="A1:G409"/>
      <selection pane="bottomLeft" activeCell="S487" sqref="S487"/>
    </sheetView>
  </sheetViews>
  <sheetFormatPr defaultColWidth="8.5546875" defaultRowHeight="14.4" x14ac:dyDescent="0.3"/>
  <cols>
    <col min="1" max="1" width="13" style="73" customWidth="1"/>
    <col min="2" max="2" width="9" style="20" customWidth="1"/>
    <col min="3" max="3" width="14" style="20" customWidth="1"/>
    <col min="4" max="5" width="16.109375" style="20" customWidth="1"/>
    <col min="6" max="6" width="13.88671875" style="20" hidden="1" customWidth="1"/>
    <col min="7" max="7" width="13" style="20" customWidth="1"/>
    <col min="8" max="8" width="15.88671875" style="20" hidden="1" customWidth="1"/>
    <col min="9" max="9" width="16.109375" style="20" hidden="1" customWidth="1"/>
    <col min="10" max="10" width="13.88671875" style="20" hidden="1" customWidth="1"/>
    <col min="11" max="11" width="14" style="20" customWidth="1"/>
    <col min="12" max="12" width="31.109375" style="20" customWidth="1"/>
    <col min="13" max="13" width="29.109375" style="20" customWidth="1"/>
    <col min="14" max="14" width="48.5546875" style="20" customWidth="1"/>
    <col min="15" max="15" width="15.44140625" style="20" customWidth="1"/>
    <col min="16" max="16" width="12" style="21" customWidth="1"/>
    <col min="17" max="17" width="15.5546875" style="20" customWidth="1"/>
    <col min="18" max="18" width="48.5546875" style="20" customWidth="1"/>
    <col min="19" max="19" width="29.88671875" customWidth="1"/>
    <col min="20" max="20" width="14.88671875" hidden="1" customWidth="1"/>
  </cols>
  <sheetData>
    <row r="1" spans="1:20" ht="37.5" customHeight="1" x14ac:dyDescent="0.3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 x14ac:dyDescent="0.3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283</v>
      </c>
      <c r="S2" s="31"/>
    </row>
    <row r="3" spans="1:20" ht="15" customHeight="1" x14ac:dyDescent="0.3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 x14ac:dyDescent="0.3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 x14ac:dyDescent="0.3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284</v>
      </c>
      <c r="S5" s="31"/>
    </row>
    <row r="6" spans="1:20" ht="15" customHeight="1" x14ac:dyDescent="0.3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285</v>
      </c>
      <c r="S6" s="31"/>
    </row>
    <row r="7" spans="1:20" ht="15" customHeight="1" x14ac:dyDescent="0.3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 x14ac:dyDescent="0.3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 x14ac:dyDescent="0.3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 x14ac:dyDescent="0.3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 x14ac:dyDescent="0.3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 x14ac:dyDescent="0.3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 x14ac:dyDescent="0.35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 x14ac:dyDescent="0.35">
      <c r="A14" s="170" t="s">
        <v>247</v>
      </c>
      <c r="B14" s="171"/>
      <c r="C14" s="171"/>
      <c r="D14" s="171"/>
      <c r="E14" s="17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248</v>
      </c>
      <c r="S14" s="45">
        <v>481280</v>
      </c>
      <c r="T14" s="122"/>
    </row>
    <row r="15" spans="1:20" ht="15" customHeight="1" x14ac:dyDescent="0.3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 x14ac:dyDescent="0.3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262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 x14ac:dyDescent="0.3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262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 x14ac:dyDescent="0.3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262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 x14ac:dyDescent="0.3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262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286</v>
      </c>
      <c r="S19" s="31"/>
    </row>
    <row r="20" spans="1:20" ht="15" customHeight="1" x14ac:dyDescent="0.3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262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287</v>
      </c>
      <c r="S20" s="31"/>
    </row>
    <row r="21" spans="1:20" ht="15" customHeight="1" x14ac:dyDescent="0.3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262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 x14ac:dyDescent="0.3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262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 x14ac:dyDescent="0.3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262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 x14ac:dyDescent="0.3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262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 x14ac:dyDescent="0.3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262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 x14ac:dyDescent="0.35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262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 x14ac:dyDescent="0.35">
      <c r="A27" s="170" t="s">
        <v>250</v>
      </c>
      <c r="B27" s="171"/>
      <c r="C27" s="171"/>
      <c r="D27" s="171"/>
      <c r="E27" s="17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248</v>
      </c>
      <c r="S27" s="45">
        <v>549860</v>
      </c>
      <c r="T27" s="122"/>
    </row>
    <row r="28" spans="1:20" ht="18" customHeight="1" x14ac:dyDescent="0.3">
      <c r="A28" s="167" t="s">
        <v>251</v>
      </c>
      <c r="B28" s="168"/>
      <c r="C28" s="168"/>
      <c r="D28" s="168"/>
      <c r="E28" s="168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252</v>
      </c>
      <c r="S28" s="13">
        <f>S14+S27</f>
        <v>1031140</v>
      </c>
      <c r="T28" s="97">
        <f>IFERROR(J28,"")</f>
        <v>0</v>
      </c>
    </row>
    <row r="29" spans="1:20" ht="15" customHeight="1" x14ac:dyDescent="0.3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 x14ac:dyDescent="0.3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 x14ac:dyDescent="0.3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 x14ac:dyDescent="0.3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 x14ac:dyDescent="0.3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 x14ac:dyDescent="0.3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 x14ac:dyDescent="0.3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 x14ac:dyDescent="0.3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 x14ac:dyDescent="0.3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 x14ac:dyDescent="0.3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 x14ac:dyDescent="0.3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 x14ac:dyDescent="0.35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 x14ac:dyDescent="0.35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248</v>
      </c>
      <c r="S41" s="75">
        <v>311070</v>
      </c>
      <c r="T41" s="117"/>
    </row>
    <row r="42" spans="1:20" ht="15" customHeight="1" x14ac:dyDescent="0.3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 x14ac:dyDescent="0.3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 x14ac:dyDescent="0.3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 x14ac:dyDescent="0.3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 x14ac:dyDescent="0.3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 x14ac:dyDescent="0.3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 x14ac:dyDescent="0.3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288</v>
      </c>
      <c r="S48" s="31"/>
    </row>
    <row r="49" spans="1:20" ht="15" customHeight="1" x14ac:dyDescent="0.3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289</v>
      </c>
      <c r="S49" s="31"/>
    </row>
    <row r="50" spans="1:20" ht="15" customHeight="1" x14ac:dyDescent="0.3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 x14ac:dyDescent="0.3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 x14ac:dyDescent="0.3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290</v>
      </c>
      <c r="S52" s="31"/>
    </row>
    <row r="53" spans="1:20" ht="15" customHeight="1" thickBot="1" x14ac:dyDescent="0.35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0.18286539351538522</v>
      </c>
      <c r="R53" s="46" t="s">
        <v>291</v>
      </c>
      <c r="S53" s="31"/>
    </row>
    <row r="54" spans="1:20" ht="15.75" customHeight="1" thickBot="1" x14ac:dyDescent="0.35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0.32175428240427412</v>
      </c>
      <c r="R54" s="36" t="s">
        <v>248</v>
      </c>
      <c r="S54" s="75">
        <v>352430</v>
      </c>
      <c r="T54" s="117"/>
    </row>
    <row r="55" spans="1:20" ht="18" customHeight="1" x14ac:dyDescent="0.3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0.40647650462649643</v>
      </c>
      <c r="R55" s="40" t="s">
        <v>252</v>
      </c>
      <c r="S55" s="13">
        <f>IFERROR(S41+S54,"")</f>
        <v>663500</v>
      </c>
      <c r="T55" s="97">
        <f>IFERROR(J55,"")</f>
        <v>0</v>
      </c>
    </row>
    <row r="56" spans="1:20" ht="15" customHeight="1" x14ac:dyDescent="0.3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 x14ac:dyDescent="0.3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 x14ac:dyDescent="0.3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 x14ac:dyDescent="0.3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 x14ac:dyDescent="0.3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 x14ac:dyDescent="0.3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 x14ac:dyDescent="0.3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 x14ac:dyDescent="0.3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283</v>
      </c>
      <c r="S63" s="31"/>
    </row>
    <row r="64" spans="1:20" ht="15" customHeight="1" x14ac:dyDescent="0.3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 x14ac:dyDescent="0.3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 x14ac:dyDescent="0.3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 x14ac:dyDescent="0.3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 x14ac:dyDescent="0.4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248</v>
      </c>
      <c r="S68" s="54">
        <v>565230</v>
      </c>
      <c r="T68" s="118"/>
    </row>
    <row r="69" spans="1:20" ht="15" customHeight="1" x14ac:dyDescent="0.3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195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 x14ac:dyDescent="0.3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 x14ac:dyDescent="0.3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 x14ac:dyDescent="0.3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 x14ac:dyDescent="0.3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 x14ac:dyDescent="0.3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 x14ac:dyDescent="0.3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 x14ac:dyDescent="0.3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210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292</v>
      </c>
      <c r="S76" s="31"/>
    </row>
    <row r="77" spans="1:20" ht="15" customHeight="1" x14ac:dyDescent="0.3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 x14ac:dyDescent="0.3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 x14ac:dyDescent="0.3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 x14ac:dyDescent="0.3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262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 x14ac:dyDescent="0.4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248</v>
      </c>
      <c r="S81" s="54">
        <v>634210</v>
      </c>
      <c r="T81" s="118"/>
    </row>
    <row r="82" spans="1:20" ht="18" customHeight="1" x14ac:dyDescent="0.3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252</v>
      </c>
      <c r="S82" s="13">
        <f>IFERROR(S68+S81,"")</f>
        <v>1199440</v>
      </c>
      <c r="T82" s="97">
        <f>IFERROR(J82,"")</f>
        <v>0</v>
      </c>
    </row>
    <row r="83" spans="1:20" ht="15" customHeight="1" x14ac:dyDescent="0.3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262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221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 x14ac:dyDescent="0.3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 x14ac:dyDescent="0.3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 x14ac:dyDescent="0.3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 x14ac:dyDescent="0.3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 x14ac:dyDescent="0.3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 x14ac:dyDescent="0.3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 x14ac:dyDescent="0.3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 x14ac:dyDescent="0.3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 x14ac:dyDescent="0.3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 x14ac:dyDescent="0.3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 x14ac:dyDescent="0.3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 x14ac:dyDescent="0.4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248</v>
      </c>
      <c r="S95" s="54">
        <v>449600</v>
      </c>
      <c r="T95" s="118"/>
    </row>
    <row r="96" spans="1:20" ht="15" customHeight="1" x14ac:dyDescent="0.3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293</v>
      </c>
      <c r="Q96" s="30" t="str">
        <f t="shared" ref="Q96:Q107" ca="1" si="22">IFERROR(IF(O96="","",IF(P96="",MOD(NOW()-O96,1),IF(P96&gt;=O96,P96-O96,P96+1-O96))),"")</f>
        <v/>
      </c>
      <c r="R96" s="46" t="s">
        <v>294</v>
      </c>
      <c r="S96" s="31"/>
    </row>
    <row r="97" spans="1:20" ht="15" customHeight="1" x14ac:dyDescent="0.3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249</v>
      </c>
      <c r="S97" s="31"/>
    </row>
    <row r="98" spans="1:20" ht="15" customHeight="1" x14ac:dyDescent="0.3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295</v>
      </c>
      <c r="S98" s="31"/>
    </row>
    <row r="99" spans="1:20" ht="15" customHeight="1" x14ac:dyDescent="0.3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193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296</v>
      </c>
      <c r="S99" s="31"/>
    </row>
    <row r="100" spans="1:20" ht="15" customHeight="1" x14ac:dyDescent="0.3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249</v>
      </c>
      <c r="S100" s="31"/>
    </row>
    <row r="101" spans="1:20" ht="15" customHeight="1" x14ac:dyDescent="0.3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 x14ac:dyDescent="0.3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 x14ac:dyDescent="0.3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 x14ac:dyDescent="0.3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 x14ac:dyDescent="0.3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 x14ac:dyDescent="0.3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 x14ac:dyDescent="0.3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 x14ac:dyDescent="0.4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248</v>
      </c>
      <c r="S108" s="54">
        <v>456830</v>
      </c>
      <c r="T108" s="118"/>
    </row>
    <row r="109" spans="1:20" ht="18" customHeight="1" x14ac:dyDescent="0.3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252</v>
      </c>
      <c r="S109" s="13">
        <f>IFERROR(S95+S108,"")</f>
        <v>906430</v>
      </c>
      <c r="T109" s="97">
        <f>IFERROR(J109,"")</f>
        <v>0</v>
      </c>
    </row>
    <row r="110" spans="1:20" ht="15" customHeight="1" x14ac:dyDescent="0.3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 x14ac:dyDescent="0.3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297</v>
      </c>
      <c r="S111" s="31"/>
    </row>
    <row r="112" spans="1:20" ht="15" customHeight="1" x14ac:dyDescent="0.3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 x14ac:dyDescent="0.3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 x14ac:dyDescent="0.3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 x14ac:dyDescent="0.3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 x14ac:dyDescent="0.3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 x14ac:dyDescent="0.3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 x14ac:dyDescent="0.3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 x14ac:dyDescent="0.3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 x14ac:dyDescent="0.3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 x14ac:dyDescent="0.3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 x14ac:dyDescent="0.4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248</v>
      </c>
      <c r="S122" s="54">
        <v>791070</v>
      </c>
      <c r="T122" s="118"/>
    </row>
    <row r="123" spans="1:20" ht="15" customHeight="1" x14ac:dyDescent="0.3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 x14ac:dyDescent="0.3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 x14ac:dyDescent="0.3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 x14ac:dyDescent="0.3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 x14ac:dyDescent="0.3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 x14ac:dyDescent="0.3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 x14ac:dyDescent="0.3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 x14ac:dyDescent="0.3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 x14ac:dyDescent="0.3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 x14ac:dyDescent="0.3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 x14ac:dyDescent="0.3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 x14ac:dyDescent="0.3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 x14ac:dyDescent="0.4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248</v>
      </c>
      <c r="S135" s="54">
        <v>756720</v>
      </c>
      <c r="T135" s="118"/>
    </row>
    <row r="136" spans="1:20" ht="18" customHeight="1" x14ac:dyDescent="0.3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252</v>
      </c>
      <c r="S136" s="13">
        <f>IFERROR(S122+S135,"")</f>
        <v>1547790</v>
      </c>
      <c r="T136" s="97">
        <f>IFERROR(J136,"")</f>
        <v>0</v>
      </c>
    </row>
    <row r="137" spans="1:20" ht="15" customHeight="1" x14ac:dyDescent="0.3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 x14ac:dyDescent="0.3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 x14ac:dyDescent="0.3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298</v>
      </c>
      <c r="S139" s="31"/>
    </row>
    <row r="140" spans="1:20" ht="15" customHeight="1" x14ac:dyDescent="0.3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 x14ac:dyDescent="0.3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299</v>
      </c>
      <c r="S141" s="31"/>
    </row>
    <row r="142" spans="1:20" ht="15" customHeight="1" x14ac:dyDescent="0.3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 x14ac:dyDescent="0.3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 x14ac:dyDescent="0.3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 x14ac:dyDescent="0.3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300</v>
      </c>
      <c r="S145" s="31"/>
    </row>
    <row r="146" spans="1:20" ht="15" customHeight="1" x14ac:dyDescent="0.3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 x14ac:dyDescent="0.3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 x14ac:dyDescent="0.3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 x14ac:dyDescent="0.4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248</v>
      </c>
      <c r="S149" s="54">
        <v>533860</v>
      </c>
      <c r="T149" s="118"/>
    </row>
    <row r="150" spans="1:20" ht="15" customHeight="1" x14ac:dyDescent="0.3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 x14ac:dyDescent="0.3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301</v>
      </c>
      <c r="S151" s="31"/>
    </row>
    <row r="152" spans="1:20" ht="15" customHeight="1" x14ac:dyDescent="0.3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 x14ac:dyDescent="0.3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 x14ac:dyDescent="0.3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 x14ac:dyDescent="0.3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 x14ac:dyDescent="0.3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 x14ac:dyDescent="0.3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 x14ac:dyDescent="0.3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 x14ac:dyDescent="0.3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 x14ac:dyDescent="0.3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 x14ac:dyDescent="0.3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 x14ac:dyDescent="0.4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248</v>
      </c>
      <c r="S162" s="54">
        <v>501750</v>
      </c>
      <c r="T162" s="118"/>
    </row>
    <row r="163" spans="1:20" ht="18" customHeight="1" x14ac:dyDescent="0.3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252</v>
      </c>
      <c r="S163" s="13">
        <f>IFERROR(S149+S162,"")</f>
        <v>1035610</v>
      </c>
      <c r="T163" s="97">
        <f>IFERROR(J163,"")</f>
        <v>0</v>
      </c>
    </row>
    <row r="164" spans="1:20" ht="15" customHeight="1" x14ac:dyDescent="0.3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 x14ac:dyDescent="0.3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262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 x14ac:dyDescent="0.3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262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 x14ac:dyDescent="0.3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262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 x14ac:dyDescent="0.3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 x14ac:dyDescent="0.3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262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 x14ac:dyDescent="0.3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262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 x14ac:dyDescent="0.3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262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 x14ac:dyDescent="0.3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262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 x14ac:dyDescent="0.3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262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 x14ac:dyDescent="0.3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262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 x14ac:dyDescent="0.35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262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 x14ac:dyDescent="0.35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248</v>
      </c>
      <c r="S176" s="45">
        <v>366290</v>
      </c>
      <c r="T176" s="122"/>
    </row>
    <row r="177" spans="1:20" ht="15" customHeight="1" x14ac:dyDescent="0.3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 x14ac:dyDescent="0.3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262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 x14ac:dyDescent="0.3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 x14ac:dyDescent="0.3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262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 x14ac:dyDescent="0.3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302</v>
      </c>
      <c r="S181" s="31"/>
    </row>
    <row r="182" spans="1:20" ht="15" customHeight="1" x14ac:dyDescent="0.3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262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299</v>
      </c>
      <c r="S182" s="31"/>
    </row>
    <row r="183" spans="1:20" ht="15" customHeight="1" x14ac:dyDescent="0.3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303</v>
      </c>
      <c r="S183" s="31"/>
    </row>
    <row r="184" spans="1:20" ht="15" customHeight="1" x14ac:dyDescent="0.3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 x14ac:dyDescent="0.3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 x14ac:dyDescent="0.3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262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 x14ac:dyDescent="0.3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 x14ac:dyDescent="0.35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 x14ac:dyDescent="0.35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248</v>
      </c>
      <c r="S189" s="45">
        <v>362530</v>
      </c>
      <c r="T189" s="122"/>
    </row>
    <row r="190" spans="1:20" ht="18" customHeight="1" x14ac:dyDescent="0.3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252</v>
      </c>
      <c r="S190" s="13">
        <f>IFERROR(S176+S189,"")</f>
        <v>728820</v>
      </c>
      <c r="T190" s="97">
        <f>IFERROR(J190,"")</f>
        <v>0</v>
      </c>
    </row>
    <row r="191" spans="1:20" ht="15" customHeight="1" x14ac:dyDescent="0.3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304</v>
      </c>
      <c r="S191" s="31"/>
    </row>
    <row r="192" spans="1:20" ht="15" customHeight="1" x14ac:dyDescent="0.3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 x14ac:dyDescent="0.3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 x14ac:dyDescent="0.3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 x14ac:dyDescent="0.3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297</v>
      </c>
      <c r="S195" s="31"/>
    </row>
    <row r="196" spans="1:20" ht="15" customHeight="1" x14ac:dyDescent="0.3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 x14ac:dyDescent="0.3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 x14ac:dyDescent="0.3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 x14ac:dyDescent="0.3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 x14ac:dyDescent="0.3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 x14ac:dyDescent="0.3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 x14ac:dyDescent="0.35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 x14ac:dyDescent="0.35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248</v>
      </c>
      <c r="S203" s="45">
        <v>601390</v>
      </c>
      <c r="T203" s="122"/>
    </row>
    <row r="204" spans="1:20" ht="15" customHeight="1" x14ac:dyDescent="0.3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 x14ac:dyDescent="0.3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 x14ac:dyDescent="0.3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 x14ac:dyDescent="0.3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 x14ac:dyDescent="0.3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 x14ac:dyDescent="0.3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 x14ac:dyDescent="0.3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 x14ac:dyDescent="0.3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 x14ac:dyDescent="0.3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 x14ac:dyDescent="0.3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 x14ac:dyDescent="0.3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 x14ac:dyDescent="0.35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 x14ac:dyDescent="0.35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248</v>
      </c>
      <c r="S216" s="45">
        <v>609740</v>
      </c>
      <c r="T216" s="122"/>
    </row>
    <row r="217" spans="1:20" ht="18" customHeight="1" x14ac:dyDescent="0.3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252</v>
      </c>
      <c r="S217" s="143">
        <f>IFERROR(S203+S216,"")</f>
        <v>1211130</v>
      </c>
      <c r="T217" s="144">
        <f>IFERROR(J217,"")</f>
        <v>0</v>
      </c>
    </row>
    <row r="218" spans="1:20" ht="15" customHeight="1" x14ac:dyDescent="0.3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292</v>
      </c>
      <c r="S218" s="47"/>
    </row>
    <row r="219" spans="1:20" ht="15" customHeight="1" x14ac:dyDescent="0.3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 x14ac:dyDescent="0.3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249</v>
      </c>
      <c r="S220" s="47"/>
    </row>
    <row r="221" spans="1:20" ht="15" customHeight="1" x14ac:dyDescent="0.3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305</v>
      </c>
      <c r="S221" s="47"/>
    </row>
    <row r="222" spans="1:20" ht="15" customHeight="1" x14ac:dyDescent="0.3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 x14ac:dyDescent="0.3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306</v>
      </c>
      <c r="S223" s="47"/>
    </row>
    <row r="224" spans="1:20" ht="15" customHeight="1" x14ac:dyDescent="0.3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307</v>
      </c>
      <c r="S224" s="47"/>
    </row>
    <row r="225" spans="1:20" ht="15" customHeight="1" x14ac:dyDescent="0.3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 x14ac:dyDescent="0.3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 x14ac:dyDescent="0.3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 x14ac:dyDescent="0.3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 x14ac:dyDescent="0.35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 x14ac:dyDescent="0.35">
      <c r="A230" s="161" t="s">
        <v>247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248</v>
      </c>
      <c r="S230" s="45">
        <v>503310</v>
      </c>
      <c r="T230" s="122"/>
    </row>
    <row r="231" spans="1:20" ht="15" customHeight="1" x14ac:dyDescent="0.3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249</v>
      </c>
      <c r="S231" s="47"/>
    </row>
    <row r="232" spans="1:20" ht="15" customHeight="1" x14ac:dyDescent="0.3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 x14ac:dyDescent="0.3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 x14ac:dyDescent="0.3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 x14ac:dyDescent="0.3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 x14ac:dyDescent="0.3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 x14ac:dyDescent="0.3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 x14ac:dyDescent="0.3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 x14ac:dyDescent="0.3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 x14ac:dyDescent="0.3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 x14ac:dyDescent="0.3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 x14ac:dyDescent="0.35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 x14ac:dyDescent="0.35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248</v>
      </c>
      <c r="S243" s="45">
        <v>825930</v>
      </c>
      <c r="T243" s="122"/>
    </row>
    <row r="244" spans="1:20" ht="18" customHeight="1" x14ac:dyDescent="0.3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252</v>
      </c>
      <c r="S244" s="143">
        <f>IFERROR(S230+S243,"")</f>
        <v>1329240</v>
      </c>
      <c r="T244" s="144">
        <f>IFERROR(J244,"")</f>
        <v>0</v>
      </c>
    </row>
    <row r="245" spans="1:20" ht="15" customHeight="1" x14ac:dyDescent="0.3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 x14ac:dyDescent="0.3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 x14ac:dyDescent="0.3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 x14ac:dyDescent="0.3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 x14ac:dyDescent="0.3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 x14ac:dyDescent="0.3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 x14ac:dyDescent="0.3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 x14ac:dyDescent="0.3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 x14ac:dyDescent="0.3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 x14ac:dyDescent="0.3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 x14ac:dyDescent="0.3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 x14ac:dyDescent="0.35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 x14ac:dyDescent="0.35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248</v>
      </c>
      <c r="S257" s="45">
        <v>898190</v>
      </c>
      <c r="T257" s="122"/>
    </row>
    <row r="258" spans="1:20" ht="15" customHeight="1" x14ac:dyDescent="0.3">
      <c r="A258" s="68">
        <v>46244</v>
      </c>
      <c r="B258" s="32">
        <v>0.83333333333333304</v>
      </c>
      <c r="C258" s="33"/>
      <c r="D258" s="62" t="s">
        <v>37</v>
      </c>
      <c r="E258" s="62" t="s">
        <v>262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 x14ac:dyDescent="0.3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262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 x14ac:dyDescent="0.3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262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 x14ac:dyDescent="0.3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262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 x14ac:dyDescent="0.3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262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 x14ac:dyDescent="0.3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262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 x14ac:dyDescent="0.3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262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 x14ac:dyDescent="0.3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262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 x14ac:dyDescent="0.3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262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 x14ac:dyDescent="0.3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262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 x14ac:dyDescent="0.3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262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 x14ac:dyDescent="0.35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262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 x14ac:dyDescent="0.35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45">
        <v>732130</v>
      </c>
      <c r="T270" s="122"/>
    </row>
    <row r="271" spans="1:20" ht="18" customHeight="1" x14ac:dyDescent="0.3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252</v>
      </c>
      <c r="S271" s="143">
        <f>IFERROR(S257+S270,"")</f>
        <v>1630320</v>
      </c>
      <c r="T271" s="144">
        <f>IFERROR(J271,"")</f>
        <v>0</v>
      </c>
    </row>
    <row r="272" spans="1:20" ht="15" customHeight="1" x14ac:dyDescent="0.3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 x14ac:dyDescent="0.3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 x14ac:dyDescent="0.3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 x14ac:dyDescent="0.3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 x14ac:dyDescent="0.3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 x14ac:dyDescent="0.3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 x14ac:dyDescent="0.3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262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 x14ac:dyDescent="0.3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262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 x14ac:dyDescent="0.3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262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 x14ac:dyDescent="0.3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262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 x14ac:dyDescent="0.3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246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 x14ac:dyDescent="0.35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262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 x14ac:dyDescent="0.35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45">
        <v>571950</v>
      </c>
      <c r="T284" s="122"/>
    </row>
    <row r="285" spans="1:20" ht="15" customHeight="1" x14ac:dyDescent="0.3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246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 x14ac:dyDescent="0.3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246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 x14ac:dyDescent="0.3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262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 x14ac:dyDescent="0.3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262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 x14ac:dyDescent="0.3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246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 x14ac:dyDescent="0.3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246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 x14ac:dyDescent="0.3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246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 x14ac:dyDescent="0.3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246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 x14ac:dyDescent="0.3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 x14ac:dyDescent="0.3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 x14ac:dyDescent="0.3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246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 x14ac:dyDescent="0.35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 x14ac:dyDescent="0.35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45">
        <v>990260</v>
      </c>
      <c r="T297" s="122"/>
    </row>
    <row r="298" spans="1:20" ht="18" customHeight="1" x14ac:dyDescent="0.3">
      <c r="A298" s="167" t="s">
        <v>251</v>
      </c>
      <c r="B298" s="168"/>
      <c r="C298" s="168"/>
      <c r="D298" s="168"/>
      <c r="E298" s="168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143">
        <f>IFERROR(S284+S297,"")</f>
        <v>1562210</v>
      </c>
      <c r="T298" s="144">
        <f>IFERROR(J298,"")</f>
        <v>0</v>
      </c>
    </row>
    <row r="299" spans="1:20" ht="15" customHeight="1" x14ac:dyDescent="0.3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262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 x14ac:dyDescent="0.3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262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 x14ac:dyDescent="0.3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262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 x14ac:dyDescent="0.3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262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 x14ac:dyDescent="0.3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262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 x14ac:dyDescent="0.3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262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 x14ac:dyDescent="0.3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262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 x14ac:dyDescent="0.3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262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 x14ac:dyDescent="0.3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262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 x14ac:dyDescent="0.3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262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 x14ac:dyDescent="0.3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262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 x14ac:dyDescent="0.35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262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 x14ac:dyDescent="0.35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248</v>
      </c>
      <c r="S311" s="149">
        <v>754870</v>
      </c>
      <c r="T311" s="122">
        <f>IFERROR(J311,"")</f>
        <v>129.92697372781066</v>
      </c>
    </row>
    <row r="312" spans="1:20" ht="15" customHeight="1" x14ac:dyDescent="0.3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262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 x14ac:dyDescent="0.3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262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 x14ac:dyDescent="0.3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262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 x14ac:dyDescent="0.3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 x14ac:dyDescent="0.3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 x14ac:dyDescent="0.3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262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 x14ac:dyDescent="0.3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262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 x14ac:dyDescent="0.3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262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 x14ac:dyDescent="0.3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262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 x14ac:dyDescent="0.3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262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 x14ac:dyDescent="0.3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262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 x14ac:dyDescent="0.35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262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 x14ac:dyDescent="0.35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248</v>
      </c>
      <c r="S324" s="149">
        <v>725030</v>
      </c>
      <c r="T324" s="122">
        <f>IFERROR(J324,"")</f>
        <v>104.40432</v>
      </c>
    </row>
    <row r="325" spans="1:20" ht="18" customHeight="1" x14ac:dyDescent="0.3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252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 x14ac:dyDescent="0.3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308</v>
      </c>
      <c r="S326" s="47"/>
    </row>
    <row r="327" spans="1:20" ht="15" customHeight="1" x14ac:dyDescent="0.3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 x14ac:dyDescent="0.3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309</v>
      </c>
      <c r="S328" s="47"/>
    </row>
    <row r="329" spans="1:20" ht="15" customHeight="1" x14ac:dyDescent="0.3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310</v>
      </c>
      <c r="S329" s="47"/>
    </row>
    <row r="330" spans="1:20" ht="15" customHeight="1" x14ac:dyDescent="0.3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 x14ac:dyDescent="0.3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311</v>
      </c>
      <c r="S331" s="47"/>
    </row>
    <row r="332" spans="1:20" ht="15" customHeight="1" x14ac:dyDescent="0.3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312</v>
      </c>
      <c r="S332" s="47"/>
    </row>
    <row r="333" spans="1:20" ht="15" customHeight="1" x14ac:dyDescent="0.3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 x14ac:dyDescent="0.3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 x14ac:dyDescent="0.3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 x14ac:dyDescent="0.3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 x14ac:dyDescent="0.35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 x14ac:dyDescent="0.35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248</v>
      </c>
      <c r="S338" s="45">
        <v>186890</v>
      </c>
      <c r="T338" s="122">
        <f>IFERROR(J338,"")</f>
        <v>39.246899999999989</v>
      </c>
    </row>
    <row r="339" spans="1:20" ht="15" customHeight="1" x14ac:dyDescent="0.3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 x14ac:dyDescent="0.3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 x14ac:dyDescent="0.3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304</v>
      </c>
      <c r="S341" s="47"/>
    </row>
    <row r="342" spans="1:20" ht="15" customHeight="1" x14ac:dyDescent="0.3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 x14ac:dyDescent="0.3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206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299</v>
      </c>
      <c r="S343" s="47"/>
    </row>
    <row r="344" spans="1:20" ht="15" customHeight="1" x14ac:dyDescent="0.3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 x14ac:dyDescent="0.3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 x14ac:dyDescent="0.3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 x14ac:dyDescent="0.3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 x14ac:dyDescent="0.3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 x14ac:dyDescent="0.3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 x14ac:dyDescent="0.35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 x14ac:dyDescent="0.35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248</v>
      </c>
      <c r="S351" s="45">
        <v>712170</v>
      </c>
      <c r="T351" s="122">
        <f>IFERROR(J351,"")</f>
        <v>149.5557</v>
      </c>
    </row>
    <row r="352" spans="1:20" ht="18" customHeight="1" x14ac:dyDescent="0.3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252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 x14ac:dyDescent="0.3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292</v>
      </c>
      <c r="S353" s="47"/>
    </row>
    <row r="354" spans="1:20" ht="15" customHeight="1" x14ac:dyDescent="0.3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 x14ac:dyDescent="0.3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 x14ac:dyDescent="0.3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 x14ac:dyDescent="0.3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 x14ac:dyDescent="0.3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 x14ac:dyDescent="0.3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 x14ac:dyDescent="0.3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 x14ac:dyDescent="0.3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 x14ac:dyDescent="0.3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 x14ac:dyDescent="0.3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 x14ac:dyDescent="0.35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 x14ac:dyDescent="0.35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248</v>
      </c>
      <c r="S365" s="45">
        <v>622270</v>
      </c>
      <c r="T365" s="122">
        <f>IFERROR(J365,"")</f>
        <v>130.67669999999998</v>
      </c>
    </row>
    <row r="366" spans="1:20" ht="15" customHeight="1" x14ac:dyDescent="0.3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 x14ac:dyDescent="0.3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313</v>
      </c>
      <c r="S367" s="47"/>
    </row>
    <row r="368" spans="1:20" ht="15" customHeight="1" x14ac:dyDescent="0.3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 x14ac:dyDescent="0.3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 x14ac:dyDescent="0.3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 x14ac:dyDescent="0.3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 x14ac:dyDescent="0.3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 x14ac:dyDescent="0.3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 x14ac:dyDescent="0.3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 x14ac:dyDescent="0.3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 x14ac:dyDescent="0.3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 x14ac:dyDescent="0.35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 x14ac:dyDescent="0.35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248</v>
      </c>
      <c r="S378" s="45">
        <v>806300</v>
      </c>
      <c r="T378" s="122">
        <f>IFERROR(J378,"")</f>
        <v>169.32299999999998</v>
      </c>
    </row>
    <row r="379" spans="1:20" ht="18" customHeight="1" x14ac:dyDescent="0.3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252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 x14ac:dyDescent="0.3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262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 x14ac:dyDescent="0.3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262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 x14ac:dyDescent="0.3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 x14ac:dyDescent="0.3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 x14ac:dyDescent="0.3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 x14ac:dyDescent="0.3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314</v>
      </c>
      <c r="S385" s="47"/>
    </row>
    <row r="386" spans="1:20" ht="15" customHeight="1" x14ac:dyDescent="0.3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 x14ac:dyDescent="0.3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 x14ac:dyDescent="0.3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 x14ac:dyDescent="0.3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 x14ac:dyDescent="0.3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 x14ac:dyDescent="0.35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 x14ac:dyDescent="0.35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248</v>
      </c>
      <c r="S392" s="45">
        <v>820320</v>
      </c>
      <c r="T392" s="122">
        <f>IFERROR(J392,"")</f>
        <v>162.80881156626504</v>
      </c>
    </row>
    <row r="393" spans="1:20" ht="15" customHeight="1" x14ac:dyDescent="0.3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 x14ac:dyDescent="0.3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 x14ac:dyDescent="0.3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 x14ac:dyDescent="0.3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315</v>
      </c>
      <c r="S396" s="47"/>
    </row>
    <row r="397" spans="1:20" ht="15" customHeight="1" x14ac:dyDescent="0.3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 x14ac:dyDescent="0.3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 x14ac:dyDescent="0.3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 x14ac:dyDescent="0.3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 x14ac:dyDescent="0.3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 x14ac:dyDescent="0.3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 x14ac:dyDescent="0.3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 x14ac:dyDescent="0.35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 x14ac:dyDescent="0.35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248</v>
      </c>
      <c r="S405" s="45">
        <v>774540</v>
      </c>
      <c r="T405" s="122">
        <f>IFERROR(J405,"")</f>
        <v>156.22852721311477</v>
      </c>
    </row>
    <row r="406" spans="1:20" ht="18" customHeight="1" x14ac:dyDescent="0.3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252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 x14ac:dyDescent="0.3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 x14ac:dyDescent="0.3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 x14ac:dyDescent="0.3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 x14ac:dyDescent="0.3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 x14ac:dyDescent="0.3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 x14ac:dyDescent="0.3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 x14ac:dyDescent="0.3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 x14ac:dyDescent="0.3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 x14ac:dyDescent="0.3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 x14ac:dyDescent="0.3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 x14ac:dyDescent="0.3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 x14ac:dyDescent="0.35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 x14ac:dyDescent="0.35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248</v>
      </c>
      <c r="S419" s="45">
        <v>590830</v>
      </c>
      <c r="T419" s="122">
        <f>IFERROR(J419,"")</f>
        <v>85.079520000000002</v>
      </c>
    </row>
    <row r="420" spans="1:20" ht="15" customHeight="1" x14ac:dyDescent="0.3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316</v>
      </c>
      <c r="S420" s="47"/>
    </row>
    <row r="421" spans="1:20" ht="15" customHeight="1" x14ac:dyDescent="0.3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 x14ac:dyDescent="0.3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 x14ac:dyDescent="0.3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 x14ac:dyDescent="0.3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 x14ac:dyDescent="0.3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 x14ac:dyDescent="0.3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 x14ac:dyDescent="0.3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 x14ac:dyDescent="0.3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 x14ac:dyDescent="0.3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 x14ac:dyDescent="0.3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 x14ac:dyDescent="0.35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 x14ac:dyDescent="0.35">
      <c r="A432" s="78" t="s">
        <v>250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248</v>
      </c>
      <c r="S432" s="45">
        <v>698420</v>
      </c>
      <c r="T432" s="122">
        <f>IFERROR(J432,"")</f>
        <v>100.57248</v>
      </c>
    </row>
    <row r="433" spans="1:20" ht="18" customHeight="1" x14ac:dyDescent="0.3">
      <c r="A433" s="83" t="s">
        <v>251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252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 x14ac:dyDescent="0.3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317</v>
      </c>
      <c r="S434" s="47"/>
    </row>
    <row r="435" spans="1:20" ht="15" customHeight="1" x14ac:dyDescent="0.3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 x14ac:dyDescent="0.3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 x14ac:dyDescent="0.3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 x14ac:dyDescent="0.3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 x14ac:dyDescent="0.3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 x14ac:dyDescent="0.3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318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 x14ac:dyDescent="0.3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 x14ac:dyDescent="0.3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 x14ac:dyDescent="0.3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 x14ac:dyDescent="0.3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x14ac:dyDescent="0.3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 x14ac:dyDescent="0.35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248</v>
      </c>
      <c r="S446" s="45">
        <v>449020</v>
      </c>
      <c r="T446" s="122">
        <f>IFERROR(J446,"")</f>
        <v>91.118987142857137</v>
      </c>
    </row>
    <row r="447" spans="1:20" ht="15" customHeight="1" x14ac:dyDescent="0.3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 x14ac:dyDescent="0.3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219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 x14ac:dyDescent="0.3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 x14ac:dyDescent="0.3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246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 x14ac:dyDescent="0.3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 x14ac:dyDescent="0.3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319</v>
      </c>
      <c r="S452" s="47"/>
    </row>
    <row r="453" spans="1:20" ht="15" customHeight="1" x14ac:dyDescent="0.3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320</v>
      </c>
      <c r="S453" s="47"/>
    </row>
    <row r="454" spans="1:20" ht="15" customHeight="1" x14ac:dyDescent="0.3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 x14ac:dyDescent="0.3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 x14ac:dyDescent="0.3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 x14ac:dyDescent="0.3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 x14ac:dyDescent="0.35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 x14ac:dyDescent="0.35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248</v>
      </c>
      <c r="S459" s="45">
        <v>738730</v>
      </c>
      <c r="T459" s="122">
        <f>IFERROR(J459,"")</f>
        <v>144.10511642857142</v>
      </c>
    </row>
    <row r="460" spans="1:20" ht="18" customHeight="1" x14ac:dyDescent="0.3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252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 x14ac:dyDescent="0.3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9.8714797927461113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 x14ac:dyDescent="0.3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23.332588601036264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 x14ac:dyDescent="0.3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8.0766652849740925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 x14ac:dyDescent="0.3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19.742959585492223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 x14ac:dyDescent="0.3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9.8714797927461113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321</v>
      </c>
      <c r="S465" s="47"/>
    </row>
    <row r="466" spans="1:20" ht="15" customHeight="1" x14ac:dyDescent="0.3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20.640366839378238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 x14ac:dyDescent="0.3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20.640366839378238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 x14ac:dyDescent="0.3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8.9740725388601028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 x14ac:dyDescent="0.3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17.050737823834194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 x14ac:dyDescent="0.3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8.9740725388601028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 x14ac:dyDescent="0.3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15.255923316062175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 x14ac:dyDescent="0.35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10.768887046632123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 x14ac:dyDescent="0.35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173.19959999999998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248</v>
      </c>
      <c r="S473" s="45">
        <v>824760</v>
      </c>
      <c r="T473" s="122">
        <f>IFERROR(J473,"")</f>
        <v>173.19959999999998</v>
      </c>
    </row>
    <row r="474" spans="1:20" ht="15" customHeight="1" x14ac:dyDescent="0.3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17</v>
      </c>
      <c r="H474" s="140">
        <f>IFERROR(IF($G474="","",$G474*$S$486/$G$486/Cadastro!$E$33),"")</f>
        <v>64.021585365853653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13.444532926829266</v>
      </c>
      <c r="K474" s="28">
        <f t="shared" ref="K474:K485" si="119">IF(G474="","",IF(E474="PC 17",G474*4.2,IF(E474="PC 19",G474*5,IF(E474="CB",G474*24,""))))</f>
        <v>71.400000000000006</v>
      </c>
      <c r="L474" s="26" t="s">
        <v>26</v>
      </c>
      <c r="M474" s="26" t="s">
        <v>46</v>
      </c>
      <c r="N474" s="26" t="s">
        <v>34</v>
      </c>
      <c r="O474" s="29">
        <v>0.87222222222222223</v>
      </c>
      <c r="P474" s="29">
        <v>0.88263888888888886</v>
      </c>
      <c r="Q474" s="30">
        <f t="shared" ref="Q474:Q485" ca="1" si="120">IFERROR(IF(O474="","",IF(P474="",MOD(NOW()-O474,1),IF(P474&gt;=O474,P474-O474,P474+1-O474))),"")</f>
        <v>1.041666666666663E-2</v>
      </c>
      <c r="R474" s="46"/>
      <c r="S474" s="47"/>
    </row>
    <row r="475" spans="1:20" ht="15" customHeight="1" x14ac:dyDescent="0.3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19</v>
      </c>
      <c r="H475" s="134">
        <f>IFERROR(IF($G475="","",$G475*$S$486/$G$486/Cadastro!$E$33),"")</f>
        <v>71.553536585365862</v>
      </c>
      <c r="I475" s="135">
        <f>IFERROR(IF($D475="","",VLOOKUP($D475,Cadastro!$C$4:$G$7,5,FALSE)),"")</f>
        <v>0.6</v>
      </c>
      <c r="J475" s="136">
        <f t="shared" si="118"/>
        <v>15.026242682926828</v>
      </c>
      <c r="K475" s="34">
        <f t="shared" si="119"/>
        <v>79.8</v>
      </c>
      <c r="L475" s="33" t="s">
        <v>26</v>
      </c>
      <c r="M475" s="33" t="s">
        <v>38</v>
      </c>
      <c r="N475" s="33" t="s">
        <v>34</v>
      </c>
      <c r="O475" s="29">
        <v>0.88263888888888886</v>
      </c>
      <c r="P475" s="29">
        <v>0.89652777777777781</v>
      </c>
      <c r="Q475" s="35">
        <f t="shared" ca="1" si="120"/>
        <v>1.3888888888888951E-2</v>
      </c>
      <c r="R475" s="46"/>
      <c r="S475" s="47"/>
    </row>
    <row r="476" spans="1:20" ht="15" customHeight="1" x14ac:dyDescent="0.3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7</v>
      </c>
      <c r="H476" s="134">
        <f>IFERROR(IF($G476="","",$G476*$S$486/$G$486/Cadastro!$E$33),"")</f>
        <v>26.361829268292684</v>
      </c>
      <c r="I476" s="135">
        <f>IFERROR(IF($D476="","",VLOOKUP($D476,Cadastro!$C$4:$G$7,5,FALSE)),"")</f>
        <v>0.6</v>
      </c>
      <c r="J476" s="136">
        <f t="shared" si="118"/>
        <v>5.5359841463414634</v>
      </c>
      <c r="K476" s="28">
        <f t="shared" si="119"/>
        <v>29.400000000000002</v>
      </c>
      <c r="L476" s="26" t="s">
        <v>27</v>
      </c>
      <c r="M476" s="26" t="s">
        <v>38</v>
      </c>
      <c r="N476" s="26" t="s">
        <v>58</v>
      </c>
      <c r="O476" s="29">
        <v>0.89722222222222225</v>
      </c>
      <c r="P476" s="29">
        <v>0.91527777777777775</v>
      </c>
      <c r="Q476" s="30">
        <f t="shared" ca="1" si="120"/>
        <v>1.8055555555555491E-2</v>
      </c>
      <c r="R476" s="46" t="s">
        <v>322</v>
      </c>
      <c r="S476" s="47"/>
    </row>
    <row r="477" spans="1:20" ht="15" customHeight="1" x14ac:dyDescent="0.3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13</v>
      </c>
      <c r="H477" s="134">
        <f>IFERROR(IF($G477="","",$G477*$S$486/$G$486/Cadastro!$E$33),"")</f>
        <v>48.957682926829271</v>
      </c>
      <c r="I477" s="135">
        <f>IFERROR(IF($D477="","",VLOOKUP($D477,Cadastro!$C$4:$G$7,5,FALSE)),"")</f>
        <v>0.6</v>
      </c>
      <c r="J477" s="136">
        <f t="shared" si="118"/>
        <v>10.281113414634145</v>
      </c>
      <c r="K477" s="34">
        <f t="shared" si="119"/>
        <v>54.6</v>
      </c>
      <c r="L477" s="33" t="s">
        <v>27</v>
      </c>
      <c r="M477" s="33" t="s">
        <v>46</v>
      </c>
      <c r="N477" s="33" t="s">
        <v>58</v>
      </c>
      <c r="O477" s="29">
        <v>0.95277777777777772</v>
      </c>
      <c r="P477" s="29">
        <v>0.96250000000000002</v>
      </c>
      <c r="Q477" s="35">
        <f t="shared" ca="1" si="120"/>
        <v>9.7222222222222987E-3</v>
      </c>
      <c r="R477" s="46"/>
      <c r="S477" s="47"/>
    </row>
    <row r="478" spans="1:20" ht="15" customHeight="1" x14ac:dyDescent="0.3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10</v>
      </c>
      <c r="H478" s="134">
        <f>IFERROR(IF($G478="","",$G478*$S$486/$G$486/Cadastro!$E$33),"")</f>
        <v>37.659756097560972</v>
      </c>
      <c r="I478" s="135">
        <f>IFERROR(IF($D478="","",VLOOKUP($D478,Cadastro!$C$4:$G$7,5,FALSE)),"")</f>
        <v>0.6</v>
      </c>
      <c r="J478" s="136">
        <f t="shared" si="118"/>
        <v>7.9085487804878039</v>
      </c>
      <c r="K478" s="28">
        <f t="shared" si="119"/>
        <v>42</v>
      </c>
      <c r="L478" s="26" t="s">
        <v>25</v>
      </c>
      <c r="M478" s="26" t="s">
        <v>134</v>
      </c>
      <c r="N478" s="26" t="s">
        <v>192</v>
      </c>
      <c r="O478" s="29">
        <v>0.98750000000000004</v>
      </c>
      <c r="P478" s="29">
        <v>1.3888888888888889E-3</v>
      </c>
      <c r="Q478" s="30">
        <f t="shared" ca="1" si="120"/>
        <v>1.388888888888884E-2</v>
      </c>
      <c r="R478" s="46"/>
      <c r="S478" s="47"/>
    </row>
    <row r="479" spans="1:20" ht="15" customHeight="1" x14ac:dyDescent="0.3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14</v>
      </c>
      <c r="H479" s="134">
        <f>IFERROR(IF($G479="","",$G479*$S$486/$G$486/Cadastro!$E$33),"")</f>
        <v>52.723658536585368</v>
      </c>
      <c r="I479" s="135">
        <f>IFERROR(IF($D479="","",VLOOKUP($D479,Cadastro!$C$4:$G$7,5,FALSE)),"")</f>
        <v>0.6</v>
      </c>
      <c r="J479" s="136">
        <f t="shared" si="118"/>
        <v>11.071968292682927</v>
      </c>
      <c r="K479" s="34">
        <f t="shared" si="119"/>
        <v>58.800000000000004</v>
      </c>
      <c r="L479" s="33" t="s">
        <v>27</v>
      </c>
      <c r="M479" s="33" t="s">
        <v>38</v>
      </c>
      <c r="N479" s="33" t="s">
        <v>58</v>
      </c>
      <c r="O479" s="29">
        <v>5.4166666666666669E-2</v>
      </c>
      <c r="P479" s="29">
        <v>7.9166666666666663E-2</v>
      </c>
      <c r="Q479" s="35">
        <f t="shared" ca="1" si="120"/>
        <v>2.4999999999999994E-2</v>
      </c>
      <c r="R479" s="46" t="s">
        <v>323</v>
      </c>
      <c r="S479" s="47"/>
    </row>
    <row r="480" spans="1:20" ht="15" customHeight="1" x14ac:dyDescent="0.3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10</v>
      </c>
      <c r="H480" s="134">
        <f>IFERROR(IF($G480="","",$G480*$S$486/$G$486/Cadastro!$E$33),"")</f>
        <v>37.659756097560972</v>
      </c>
      <c r="I480" s="135">
        <f>IFERROR(IF($D480="","",VLOOKUP($D480,Cadastro!$C$4:$G$7,5,FALSE)),"")</f>
        <v>0.6</v>
      </c>
      <c r="J480" s="136">
        <f t="shared" si="118"/>
        <v>7.9085487804878039</v>
      </c>
      <c r="K480" s="28">
        <f t="shared" si="119"/>
        <v>42</v>
      </c>
      <c r="L480" s="26" t="s">
        <v>26</v>
      </c>
      <c r="M480" s="26" t="s">
        <v>38</v>
      </c>
      <c r="N480" s="26" t="s">
        <v>34</v>
      </c>
      <c r="O480" s="29">
        <v>0.14166666666666666</v>
      </c>
      <c r="P480" s="29">
        <v>0.15069444444444444</v>
      </c>
      <c r="Q480" s="30">
        <f t="shared" ca="1" si="120"/>
        <v>9.0277777777777735E-3</v>
      </c>
      <c r="R480" s="46"/>
      <c r="S480" s="47"/>
    </row>
    <row r="481" spans="1:20" ht="15" customHeight="1" x14ac:dyDescent="0.3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>
        <v>12</v>
      </c>
      <c r="H481" s="134">
        <f>IFERROR(IF($G481="","",$G481*$S$486/$G$486/Cadastro!$E$33),"")</f>
        <v>45.191707317073167</v>
      </c>
      <c r="I481" s="135">
        <f>IFERROR(IF($D481="","",VLOOKUP($D481,Cadastro!$C$4:$G$7,5,FALSE)),"")</f>
        <v>0.6</v>
      </c>
      <c r="J481" s="136">
        <f t="shared" si="118"/>
        <v>9.4902585365853636</v>
      </c>
      <c r="K481" s="34">
        <f t="shared" si="119"/>
        <v>50.400000000000006</v>
      </c>
      <c r="L481" s="33" t="s">
        <v>26</v>
      </c>
      <c r="M481" s="33" t="s">
        <v>46</v>
      </c>
      <c r="N481" s="33" t="s">
        <v>34</v>
      </c>
      <c r="O481" s="29">
        <v>0.15069444444444444</v>
      </c>
      <c r="P481" s="29">
        <v>0.15972222222222221</v>
      </c>
      <c r="Q481" s="35">
        <f t="shared" ca="1" si="120"/>
        <v>9.0277777777777735E-3</v>
      </c>
      <c r="R481" s="46"/>
      <c r="S481" s="47"/>
    </row>
    <row r="482" spans="1:20" ht="15" customHeight="1" x14ac:dyDescent="0.3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>
        <v>20</v>
      </c>
      <c r="H482" s="134">
        <f>IFERROR(IF($G482="","",$G482*$S$486/$G$486/Cadastro!$E$33),"")</f>
        <v>75.319512195121945</v>
      </c>
      <c r="I482" s="135">
        <f>IFERROR(IF($D482="","",VLOOKUP($D482,Cadastro!$C$4:$G$7,5,FALSE)),"")</f>
        <v>0.6</v>
      </c>
      <c r="J482" s="136">
        <f t="shared" si="118"/>
        <v>15.817097560975608</v>
      </c>
      <c r="K482" s="28">
        <f t="shared" si="119"/>
        <v>84</v>
      </c>
      <c r="L482" s="26" t="s">
        <v>27</v>
      </c>
      <c r="M482" s="26" t="s">
        <v>38</v>
      </c>
      <c r="N482" s="26" t="s">
        <v>216</v>
      </c>
      <c r="O482" s="29">
        <v>0.19444444444444445</v>
      </c>
      <c r="P482" s="29">
        <v>0.19791666666666666</v>
      </c>
      <c r="Q482" s="30">
        <f t="shared" ca="1" si="120"/>
        <v>3.4722222222222099E-3</v>
      </c>
      <c r="R482" s="46"/>
      <c r="S482" s="47"/>
    </row>
    <row r="483" spans="1:20" ht="15" customHeight="1" x14ac:dyDescent="0.3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>
        <v>16</v>
      </c>
      <c r="H483" s="134">
        <f>IFERROR(IF($G483="","",$G483*$S$486/$G$486/Cadastro!$E$33),"")</f>
        <v>60.255609756097563</v>
      </c>
      <c r="I483" s="135">
        <f>IFERROR(IF($D483="","",VLOOKUP($D483,Cadastro!$C$4:$G$7,5,FALSE)),"")</f>
        <v>0.6</v>
      </c>
      <c r="J483" s="136">
        <f t="shared" si="118"/>
        <v>12.653678048780487</v>
      </c>
      <c r="K483" s="34">
        <f t="shared" si="119"/>
        <v>67.2</v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 x14ac:dyDescent="0.3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>
        <v>18</v>
      </c>
      <c r="H484" s="134">
        <f>IFERROR(IF($G484="","",$G484*$S$486/$G$486/Cadastro!$E$33),"")</f>
        <v>67.78756097560975</v>
      </c>
      <c r="I484" s="135">
        <f>IFERROR(IF($D484="","",VLOOKUP($D484,Cadastro!$C$4:$G$7,5,FALSE)),"")</f>
        <v>0.6</v>
      </c>
      <c r="J484" s="136">
        <f t="shared" si="118"/>
        <v>14.235387804878046</v>
      </c>
      <c r="K484" s="28">
        <f t="shared" si="119"/>
        <v>75.600000000000009</v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 x14ac:dyDescent="0.35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>
        <v>8</v>
      </c>
      <c r="H485" s="137">
        <f>IFERROR(IF($G485="","",$G485*$S$486/$G$486/Cadastro!$E$33),"")</f>
        <v>30.127804878048781</v>
      </c>
      <c r="I485" s="138">
        <f>IFERROR(IF($D485="","",VLOOKUP($D485,Cadastro!$C$4:$G$7,5,FALSE)),"")</f>
        <v>0.6</v>
      </c>
      <c r="J485" s="139">
        <f t="shared" si="118"/>
        <v>6.3268390243902433</v>
      </c>
      <c r="K485" s="34">
        <f t="shared" si="119"/>
        <v>33.6</v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 x14ac:dyDescent="0.35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164</v>
      </c>
      <c r="H486" s="111">
        <f>IFERROR(SUM(H474:H485),"")</f>
        <v>617.62</v>
      </c>
      <c r="I486" s="115"/>
      <c r="J486" s="124">
        <f>IFERROR(SUM(J474:J485),"")</f>
        <v>129.7002</v>
      </c>
      <c r="K486" s="36">
        <f>SUM(K474:K485)</f>
        <v>688.80000000000007</v>
      </c>
      <c r="L486" s="37"/>
      <c r="M486" s="37"/>
      <c r="N486" s="37"/>
      <c r="O486" s="37"/>
      <c r="P486" s="37"/>
      <c r="Q486" s="38">
        <f ca="1">IFERROR(SUM(Q474:Q485),"")</f>
        <v>0.11249999999999996</v>
      </c>
      <c r="R486" s="36" t="s">
        <v>248</v>
      </c>
      <c r="S486" s="45">
        <v>617620</v>
      </c>
      <c r="T486" s="122">
        <f>IFERROR(J486,"")</f>
        <v>129.7002</v>
      </c>
    </row>
    <row r="487" spans="1:20" ht="18" customHeight="1" x14ac:dyDescent="0.3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357</v>
      </c>
      <c r="H487" s="112">
        <f>IFERROR(H473+H486,"")</f>
        <v>1442.38</v>
      </c>
      <c r="I487" s="116"/>
      <c r="J487" s="125">
        <f>IFERROR(J473+J486,"")</f>
        <v>302.89979999999997</v>
      </c>
      <c r="K487" s="40">
        <f>K473+K486</f>
        <v>1499.4</v>
      </c>
      <c r="L487" s="41"/>
      <c r="M487" s="41"/>
      <c r="N487" s="41"/>
      <c r="O487" s="41"/>
      <c r="P487" s="41"/>
      <c r="Q487" s="42">
        <f ca="1">IFERROR(Q473+Q486,"")</f>
        <v>0.23194444444444431</v>
      </c>
      <c r="R487" s="40" t="s">
        <v>252</v>
      </c>
      <c r="S487" s="143">
        <f>IFERROR(S473+S486,"")</f>
        <v>1442380</v>
      </c>
      <c r="T487" s="144">
        <f>IFERROR(J487,"")</f>
        <v>302.89979999999997</v>
      </c>
    </row>
    <row r="488" spans="1:20" ht="15" customHeight="1" x14ac:dyDescent="0.3">
      <c r="A488" s="67">
        <v>46253</v>
      </c>
      <c r="B488" s="25">
        <v>0.33333333333333298</v>
      </c>
      <c r="C488" s="26" t="s">
        <v>52</v>
      </c>
      <c r="D488" s="59" t="s">
        <v>29</v>
      </c>
      <c r="E488" s="108" t="s">
        <v>262</v>
      </c>
      <c r="F488" s="140">
        <f>IFERROR(IF($D488="","",VLOOKUP($D488,Cadastro!$C$4:$E$7,3,FALSE)),"")</f>
        <v>0.35</v>
      </c>
      <c r="G488" s="105"/>
      <c r="H488" s="140" t="str">
        <f>IFERROR(IF($G488="","",$G488*$S$500/$G$500/Cadastro!$E$33),"")</f>
        <v/>
      </c>
      <c r="I488" s="141">
        <f>IFERROR(IF($D488="","",VLOOKUP($D488,Cadastro!$C$4:$G$7,5,FALSE)),"")</f>
        <v>0.6</v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 x14ac:dyDescent="0.3">
      <c r="A489" s="68">
        <v>46253</v>
      </c>
      <c r="B489" s="32">
        <f t="shared" ref="B489:B499" si="125">B488+TIME(0,60,0)</f>
        <v>0.37499999999999967</v>
      </c>
      <c r="C489" s="26" t="s">
        <v>52</v>
      </c>
      <c r="D489" s="59" t="s">
        <v>29</v>
      </c>
      <c r="E489" s="108" t="s">
        <v>262</v>
      </c>
      <c r="F489" s="134">
        <f>IFERROR(IF($D489="","",VLOOKUP($D489,Cadastro!$C$4:$E$7,3,FALSE)),"")</f>
        <v>0.35</v>
      </c>
      <c r="G489" s="105"/>
      <c r="H489" s="134" t="str">
        <f>IFERROR(IF($G489="","",$G489*$S$500/$G$500/Cadastro!$E$33),"")</f>
        <v/>
      </c>
      <c r="I489" s="135">
        <f>IFERROR(IF($D489="","",VLOOKUP($D489,Cadastro!$C$4:$G$7,5,FALSE)),"")</f>
        <v>0.6</v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 x14ac:dyDescent="0.3">
      <c r="A490" s="67">
        <v>46253</v>
      </c>
      <c r="B490" s="25">
        <f t="shared" si="125"/>
        <v>0.41666666666666635</v>
      </c>
      <c r="C490" s="26" t="s">
        <v>52</v>
      </c>
      <c r="D490" s="59" t="s">
        <v>29</v>
      </c>
      <c r="E490" s="108" t="s">
        <v>262</v>
      </c>
      <c r="F490" s="134">
        <f>IFERROR(IF($D490="","",VLOOKUP($D490,Cadastro!$C$4:$E$7,3,FALSE)),"")</f>
        <v>0.35</v>
      </c>
      <c r="G490" s="105"/>
      <c r="H490" s="134" t="str">
        <f>IFERROR(IF($G490="","",$G490*$S$500/$G$500/Cadastro!$E$33),"")</f>
        <v/>
      </c>
      <c r="I490" s="135">
        <f>IFERROR(IF($D490="","",VLOOKUP($D490,Cadastro!$C$4:$G$7,5,FALSE)),"")</f>
        <v>0.6</v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 x14ac:dyDescent="0.3">
      <c r="A491" s="68">
        <v>46253</v>
      </c>
      <c r="B491" s="32">
        <f t="shared" si="125"/>
        <v>0.45833333333333304</v>
      </c>
      <c r="C491" s="26" t="s">
        <v>52</v>
      </c>
      <c r="D491" s="59" t="s">
        <v>29</v>
      </c>
      <c r="E491" s="108" t="s">
        <v>262</v>
      </c>
      <c r="F491" s="134">
        <f>IFERROR(IF($D491="","",VLOOKUP($D491,Cadastro!$C$4:$E$7,3,FALSE)),"")</f>
        <v>0.35</v>
      </c>
      <c r="G491" s="105"/>
      <c r="H491" s="134" t="str">
        <f>IFERROR(IF($G491="","",$G491*$S$500/$G$500/Cadastro!$E$33),"")</f>
        <v/>
      </c>
      <c r="I491" s="135">
        <f>IFERROR(IF($D491="","",VLOOKUP($D491,Cadastro!$C$4:$G$7,5,FALSE)),"")</f>
        <v>0.6</v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 x14ac:dyDescent="0.3">
      <c r="A492" s="67">
        <v>46253</v>
      </c>
      <c r="B492" s="25">
        <f t="shared" si="125"/>
        <v>0.49999999999999972</v>
      </c>
      <c r="C492" s="26" t="s">
        <v>52</v>
      </c>
      <c r="D492" s="59" t="s">
        <v>29</v>
      </c>
      <c r="E492" s="108" t="s">
        <v>262</v>
      </c>
      <c r="F492" s="134">
        <f>IFERROR(IF($D492="","",VLOOKUP($D492,Cadastro!$C$4:$E$7,3,FALSE)),"")</f>
        <v>0.35</v>
      </c>
      <c r="G492" s="105"/>
      <c r="H492" s="134" t="str">
        <f>IFERROR(IF($G492="","",$G492*$S$500/$G$500/Cadastro!$E$33),"")</f>
        <v/>
      </c>
      <c r="I492" s="135">
        <f>IFERROR(IF($D492="","",VLOOKUP($D492,Cadastro!$C$4:$G$7,5,FALSE)),"")</f>
        <v>0.6</v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 x14ac:dyDescent="0.3">
      <c r="A493" s="68">
        <v>46253</v>
      </c>
      <c r="B493" s="32">
        <f t="shared" si="125"/>
        <v>0.54166666666666641</v>
      </c>
      <c r="C493" s="26" t="s">
        <v>52</v>
      </c>
      <c r="D493" s="59" t="s">
        <v>29</v>
      </c>
      <c r="E493" s="108" t="s">
        <v>262</v>
      </c>
      <c r="F493" s="134">
        <f>IFERROR(IF($D493="","",VLOOKUP($D493,Cadastro!$C$4:$E$7,3,FALSE)),"")</f>
        <v>0.35</v>
      </c>
      <c r="G493" s="105"/>
      <c r="H493" s="134" t="str">
        <f>IFERROR(IF($G493="","",$G493*$S$500/$G$500/Cadastro!$E$33),"")</f>
        <v/>
      </c>
      <c r="I493" s="135">
        <f>IFERROR(IF($D493="","",VLOOKUP($D493,Cadastro!$C$4:$G$7,5,FALSE)),"")</f>
        <v>0.6</v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 x14ac:dyDescent="0.3">
      <c r="A494" s="67">
        <v>46253</v>
      </c>
      <c r="B494" s="25">
        <f t="shared" si="125"/>
        <v>0.58333333333333304</v>
      </c>
      <c r="C494" s="26" t="s">
        <v>52</v>
      </c>
      <c r="D494" s="59" t="s">
        <v>29</v>
      </c>
      <c r="E494" s="108" t="s">
        <v>262</v>
      </c>
      <c r="F494" s="134">
        <f>IFERROR(IF($D494="","",VLOOKUP($D494,Cadastro!$C$4:$E$7,3,FALSE)),"")</f>
        <v>0.35</v>
      </c>
      <c r="G494" s="105"/>
      <c r="H494" s="134" t="str">
        <f>IFERROR(IF($G494="","",$G494*$S$500/$G$500/Cadastro!$E$33),"")</f>
        <v/>
      </c>
      <c r="I494" s="135">
        <f>IFERROR(IF($D494="","",VLOOKUP($D494,Cadastro!$C$4:$G$7,5,FALSE)),"")</f>
        <v>0.6</v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 x14ac:dyDescent="0.3">
      <c r="A495" s="68">
        <v>46253</v>
      </c>
      <c r="B495" s="32">
        <f t="shared" si="125"/>
        <v>0.62499999999999967</v>
      </c>
      <c r="C495" s="26" t="s">
        <v>52</v>
      </c>
      <c r="D495" s="59" t="s">
        <v>29</v>
      </c>
      <c r="E495" s="108" t="s">
        <v>262</v>
      </c>
      <c r="F495" s="134">
        <f>IFERROR(IF($D495="","",VLOOKUP($D495,Cadastro!$C$4:$E$7,3,FALSE)),"")</f>
        <v>0.35</v>
      </c>
      <c r="G495" s="105"/>
      <c r="H495" s="134" t="str">
        <f>IFERROR(IF($G495="","",$G495*$S$500/$G$500/Cadastro!$E$33),"")</f>
        <v/>
      </c>
      <c r="I495" s="135">
        <f>IFERROR(IF($D495="","",VLOOKUP($D495,Cadastro!$C$4:$G$7,5,FALSE)),"")</f>
        <v>0.6</v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 x14ac:dyDescent="0.3">
      <c r="A496" s="67">
        <v>46253</v>
      </c>
      <c r="B496" s="25">
        <f t="shared" si="125"/>
        <v>0.6666666666666663</v>
      </c>
      <c r="C496" s="26" t="s">
        <v>52</v>
      </c>
      <c r="D496" s="59" t="s">
        <v>29</v>
      </c>
      <c r="E496" s="108" t="s">
        <v>262</v>
      </c>
      <c r="F496" s="134">
        <f>IFERROR(IF($D496="","",VLOOKUP($D496,Cadastro!$C$4:$E$7,3,FALSE)),"")</f>
        <v>0.35</v>
      </c>
      <c r="G496" s="105"/>
      <c r="H496" s="134" t="str">
        <f>IFERROR(IF($G496="","",$G496*$S$500/$G$500/Cadastro!$E$33),"")</f>
        <v/>
      </c>
      <c r="I496" s="135">
        <f>IFERROR(IF($D496="","",VLOOKUP($D496,Cadastro!$C$4:$G$7,5,FALSE)),"")</f>
        <v>0.6</v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 x14ac:dyDescent="0.3">
      <c r="A497" s="68">
        <v>46253</v>
      </c>
      <c r="B497" s="32">
        <f t="shared" si="125"/>
        <v>0.70833333333333293</v>
      </c>
      <c r="C497" s="26" t="s">
        <v>52</v>
      </c>
      <c r="D497" s="59" t="s">
        <v>29</v>
      </c>
      <c r="E497" s="108" t="s">
        <v>262</v>
      </c>
      <c r="F497" s="134">
        <f>IFERROR(IF($D497="","",VLOOKUP($D497,Cadastro!$C$4:$E$7,3,FALSE)),"")</f>
        <v>0.35</v>
      </c>
      <c r="G497" s="105"/>
      <c r="H497" s="134" t="str">
        <f>IFERROR(IF($G497="","",$G497*$S$500/$G$500/Cadastro!$E$33),"")</f>
        <v/>
      </c>
      <c r="I497" s="135">
        <f>IFERROR(IF($D497="","",VLOOKUP($D497,Cadastro!$C$4:$G$7,5,FALSE)),"")</f>
        <v>0.6</v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 x14ac:dyDescent="0.3">
      <c r="A498" s="67">
        <v>46253</v>
      </c>
      <c r="B498" s="25">
        <f t="shared" si="125"/>
        <v>0.74999999999999956</v>
      </c>
      <c r="C498" s="26" t="s">
        <v>52</v>
      </c>
      <c r="D498" s="59" t="s">
        <v>29</v>
      </c>
      <c r="E498" s="108" t="s">
        <v>262</v>
      </c>
      <c r="F498" s="134">
        <f>IFERROR(IF($D498="","",VLOOKUP($D498,Cadastro!$C$4:$E$7,3,FALSE)),"")</f>
        <v>0.35</v>
      </c>
      <c r="G498" s="105"/>
      <c r="H498" s="134" t="str">
        <f>IFERROR(IF($G498="","",$G498*$S$500/$G$500/Cadastro!$E$33),"")</f>
        <v/>
      </c>
      <c r="I498" s="135">
        <f>IFERROR(IF($D498="","",VLOOKUP($D498,Cadastro!$C$4:$G$7,5,FALSE)),"")</f>
        <v>0.6</v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 x14ac:dyDescent="0.35">
      <c r="A499" s="68">
        <v>46253</v>
      </c>
      <c r="B499" s="32">
        <f t="shared" si="125"/>
        <v>0.79166666666666619</v>
      </c>
      <c r="C499" s="26" t="s">
        <v>52</v>
      </c>
      <c r="D499" s="59" t="s">
        <v>29</v>
      </c>
      <c r="E499" s="108" t="s">
        <v>262</v>
      </c>
      <c r="F499" s="137">
        <f>IFERROR(IF($D499="","",VLOOKUP($D499,Cadastro!$C$4:$E$7,3,FALSE)),"")</f>
        <v>0.35</v>
      </c>
      <c r="G499" s="105"/>
      <c r="H499" s="137" t="str">
        <f>IFERROR(IF($G499="","",$G499*$S$500/$G$500/Cadastro!$E$33),"")</f>
        <v/>
      </c>
      <c r="I499" s="138">
        <f>IFERROR(IF($D499="","",VLOOKUP($D499,Cadastro!$C$4:$G$7,5,FALSE)),"")</f>
        <v>0.6</v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 x14ac:dyDescent="0.35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45"/>
      <c r="T500" s="122">
        <f>IFERROR(J500,"")</f>
        <v>0</v>
      </c>
    </row>
    <row r="501" spans="1:20" ht="15" customHeight="1" x14ac:dyDescent="0.3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 x14ac:dyDescent="0.3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 x14ac:dyDescent="0.3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 x14ac:dyDescent="0.3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 x14ac:dyDescent="0.3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 x14ac:dyDescent="0.3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 x14ac:dyDescent="0.3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 x14ac:dyDescent="0.3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 x14ac:dyDescent="0.3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 x14ac:dyDescent="0.3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 x14ac:dyDescent="0.3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 x14ac:dyDescent="0.35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 x14ac:dyDescent="0.35">
      <c r="A513" s="78" t="s">
        <v>250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45"/>
      <c r="T513" s="122">
        <f>IFERROR(J513,"")</f>
        <v>0</v>
      </c>
    </row>
    <row r="514" spans="1:20" ht="18" customHeight="1" x14ac:dyDescent="0.3">
      <c r="A514" s="83" t="s">
        <v>251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143">
        <f>IFERROR(S500+S513,"")</f>
        <v>0</v>
      </c>
      <c r="T514" s="144">
        <f>IFERROR(J514,"")</f>
        <v>0</v>
      </c>
    </row>
    <row r="515" spans="1:20" ht="15" customHeight="1" x14ac:dyDescent="0.3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 x14ac:dyDescent="0.3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 x14ac:dyDescent="0.3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 x14ac:dyDescent="0.3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 x14ac:dyDescent="0.3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 x14ac:dyDescent="0.3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 x14ac:dyDescent="0.3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 x14ac:dyDescent="0.3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 x14ac:dyDescent="0.3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 x14ac:dyDescent="0.3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 x14ac:dyDescent="0.3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 x14ac:dyDescent="0.35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 x14ac:dyDescent="0.35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45"/>
      <c r="T527" s="122">
        <f>IFERROR(J527,"")</f>
        <v>0</v>
      </c>
    </row>
    <row r="528" spans="1:20" ht="15" customHeight="1" x14ac:dyDescent="0.3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 x14ac:dyDescent="0.3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 x14ac:dyDescent="0.3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 x14ac:dyDescent="0.3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 x14ac:dyDescent="0.3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 x14ac:dyDescent="0.3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 x14ac:dyDescent="0.3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 x14ac:dyDescent="0.3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 x14ac:dyDescent="0.3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 x14ac:dyDescent="0.3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 x14ac:dyDescent="0.3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 x14ac:dyDescent="0.35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 x14ac:dyDescent="0.35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45"/>
      <c r="T540" s="122">
        <f>IFERROR(J540,"")</f>
        <v>0</v>
      </c>
    </row>
    <row r="541" spans="1:20" ht="18" customHeight="1" x14ac:dyDescent="0.3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143">
        <f>IFERROR(S527+S540,"")</f>
        <v>0</v>
      </c>
      <c r="T541" s="144">
        <f>IFERROR(J541,"")</f>
        <v>0</v>
      </c>
    </row>
    <row r="542" spans="1:20" ht="15" customHeight="1" x14ac:dyDescent="0.3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 x14ac:dyDescent="0.3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 x14ac:dyDescent="0.3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 x14ac:dyDescent="0.3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 x14ac:dyDescent="0.3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 x14ac:dyDescent="0.3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 x14ac:dyDescent="0.3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 x14ac:dyDescent="0.3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 x14ac:dyDescent="0.3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 x14ac:dyDescent="0.3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 x14ac:dyDescent="0.3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 x14ac:dyDescent="0.35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 x14ac:dyDescent="0.35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45"/>
      <c r="T554" s="122">
        <f>IFERROR(J554,"")</f>
        <v>0</v>
      </c>
    </row>
    <row r="555" spans="1:20" ht="15" customHeight="1" x14ac:dyDescent="0.3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 x14ac:dyDescent="0.3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 x14ac:dyDescent="0.3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 x14ac:dyDescent="0.3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 x14ac:dyDescent="0.3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 x14ac:dyDescent="0.3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 x14ac:dyDescent="0.3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 x14ac:dyDescent="0.3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 x14ac:dyDescent="0.3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 x14ac:dyDescent="0.3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 x14ac:dyDescent="0.3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 x14ac:dyDescent="0.35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 x14ac:dyDescent="0.35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45"/>
      <c r="T567" s="122">
        <f>IFERROR(J567,"")</f>
        <v>0</v>
      </c>
    </row>
    <row r="568" spans="1:20" ht="18" customHeight="1" x14ac:dyDescent="0.3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143">
        <f>IFERROR(S554+S567,"")</f>
        <v>0</v>
      </c>
      <c r="T568" s="144">
        <f>IFERROR(J568,"")</f>
        <v>0</v>
      </c>
    </row>
    <row r="569" spans="1:20" ht="15" customHeight="1" x14ac:dyDescent="0.3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 x14ac:dyDescent="0.3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 x14ac:dyDescent="0.3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 x14ac:dyDescent="0.3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 x14ac:dyDescent="0.3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 x14ac:dyDescent="0.3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 x14ac:dyDescent="0.3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 x14ac:dyDescent="0.3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 x14ac:dyDescent="0.3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 x14ac:dyDescent="0.3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 x14ac:dyDescent="0.3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 x14ac:dyDescent="0.35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 x14ac:dyDescent="0.35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45"/>
      <c r="T581" s="122">
        <f>IFERROR(J581,"")</f>
        <v>0</v>
      </c>
    </row>
    <row r="582" spans="1:20" ht="15" customHeight="1" x14ac:dyDescent="0.3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 x14ac:dyDescent="0.3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 x14ac:dyDescent="0.3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 x14ac:dyDescent="0.3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 x14ac:dyDescent="0.3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 x14ac:dyDescent="0.3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 x14ac:dyDescent="0.3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 x14ac:dyDescent="0.3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 x14ac:dyDescent="0.3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 x14ac:dyDescent="0.3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 x14ac:dyDescent="0.3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 x14ac:dyDescent="0.35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 x14ac:dyDescent="0.35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45"/>
      <c r="T594" s="122">
        <f>IFERROR(J594,"")</f>
        <v>0</v>
      </c>
    </row>
    <row r="595" spans="1:20" ht="18" customHeight="1" x14ac:dyDescent="0.3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143">
        <f>IFERROR(S581+S594,"")</f>
        <v>0</v>
      </c>
      <c r="T595" s="144">
        <f>IFERROR(J595,"")</f>
        <v>0</v>
      </c>
    </row>
    <row r="596" spans="1:20" ht="15" customHeight="1" x14ac:dyDescent="0.3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 x14ac:dyDescent="0.3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 x14ac:dyDescent="0.3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 x14ac:dyDescent="0.3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 x14ac:dyDescent="0.3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 x14ac:dyDescent="0.3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 x14ac:dyDescent="0.3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 x14ac:dyDescent="0.3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 x14ac:dyDescent="0.3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 x14ac:dyDescent="0.3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 x14ac:dyDescent="0.3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 x14ac:dyDescent="0.35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 x14ac:dyDescent="0.35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45"/>
      <c r="T608" s="122">
        <f>IFERROR(J608,"")</f>
        <v>0</v>
      </c>
    </row>
    <row r="609" spans="1:20" ht="15" customHeight="1" x14ac:dyDescent="0.3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 x14ac:dyDescent="0.3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 x14ac:dyDescent="0.3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 x14ac:dyDescent="0.3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 x14ac:dyDescent="0.3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 x14ac:dyDescent="0.3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 x14ac:dyDescent="0.3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 x14ac:dyDescent="0.3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 x14ac:dyDescent="0.3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 x14ac:dyDescent="0.3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 x14ac:dyDescent="0.3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 x14ac:dyDescent="0.35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 x14ac:dyDescent="0.35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45"/>
      <c r="T621" s="122">
        <f>IFERROR(J621,"")</f>
        <v>0</v>
      </c>
    </row>
    <row r="622" spans="1:20" ht="18" customHeight="1" x14ac:dyDescent="0.3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143">
        <f>S608+S621</f>
        <v>0</v>
      </c>
      <c r="T622" s="144">
        <f>IFERROR(J622,"")</f>
        <v>0</v>
      </c>
    </row>
    <row r="623" spans="1:20" ht="15" customHeight="1" x14ac:dyDescent="0.3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 x14ac:dyDescent="0.3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 x14ac:dyDescent="0.3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 x14ac:dyDescent="0.3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 x14ac:dyDescent="0.3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 x14ac:dyDescent="0.3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 x14ac:dyDescent="0.3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 x14ac:dyDescent="0.3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 x14ac:dyDescent="0.3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 x14ac:dyDescent="0.3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 x14ac:dyDescent="0.3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 x14ac:dyDescent="0.35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 x14ac:dyDescent="0.35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45"/>
      <c r="T635" s="122">
        <f>IFERROR(J635,"")</f>
        <v>0</v>
      </c>
    </row>
    <row r="636" spans="1:20" ht="15" customHeight="1" x14ac:dyDescent="0.3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 x14ac:dyDescent="0.3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 x14ac:dyDescent="0.3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 x14ac:dyDescent="0.3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 x14ac:dyDescent="0.3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 x14ac:dyDescent="0.3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 x14ac:dyDescent="0.3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 x14ac:dyDescent="0.3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 x14ac:dyDescent="0.3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 x14ac:dyDescent="0.3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 x14ac:dyDescent="0.3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 x14ac:dyDescent="0.35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 x14ac:dyDescent="0.35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45"/>
      <c r="T648" s="122">
        <f>IFERROR(J648,"")</f>
        <v>0</v>
      </c>
    </row>
    <row r="649" spans="1:20" ht="18" customHeight="1" x14ac:dyDescent="0.3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143">
        <f>S635+S648</f>
        <v>0</v>
      </c>
      <c r="T649" s="144">
        <f>IFERROR(J649,"")</f>
        <v>0</v>
      </c>
    </row>
    <row r="650" spans="1:20" ht="15" customHeight="1" x14ac:dyDescent="0.3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 x14ac:dyDescent="0.3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 x14ac:dyDescent="0.3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 x14ac:dyDescent="0.3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 x14ac:dyDescent="0.3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 x14ac:dyDescent="0.3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 x14ac:dyDescent="0.3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 x14ac:dyDescent="0.3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 x14ac:dyDescent="0.3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 x14ac:dyDescent="0.3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 x14ac:dyDescent="0.3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 x14ac:dyDescent="0.35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 x14ac:dyDescent="0.35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45"/>
      <c r="T662" s="122">
        <f>IFERROR(J662,"")</f>
        <v>0</v>
      </c>
    </row>
    <row r="663" spans="1:20" ht="15" customHeight="1" x14ac:dyDescent="0.3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 x14ac:dyDescent="0.3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 x14ac:dyDescent="0.3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 x14ac:dyDescent="0.3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 x14ac:dyDescent="0.3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 x14ac:dyDescent="0.3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 x14ac:dyDescent="0.3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 x14ac:dyDescent="0.3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 x14ac:dyDescent="0.3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 x14ac:dyDescent="0.3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 x14ac:dyDescent="0.3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 x14ac:dyDescent="0.35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 x14ac:dyDescent="0.35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45"/>
      <c r="T675" s="122">
        <f>IFERROR(J675,"")</f>
        <v>0</v>
      </c>
    </row>
    <row r="676" spans="1:20" ht="18" customHeight="1" x14ac:dyDescent="0.3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143">
        <f>IFERROR(S662+S675,"")</f>
        <v>0</v>
      </c>
      <c r="T676" s="144">
        <f>IFERROR(J676,"")</f>
        <v>0</v>
      </c>
    </row>
    <row r="677" spans="1:20" ht="15" customHeight="1" x14ac:dyDescent="0.3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 x14ac:dyDescent="0.3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 x14ac:dyDescent="0.3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 x14ac:dyDescent="0.3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 x14ac:dyDescent="0.3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 x14ac:dyDescent="0.3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 x14ac:dyDescent="0.3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 x14ac:dyDescent="0.3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 x14ac:dyDescent="0.3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 x14ac:dyDescent="0.3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 x14ac:dyDescent="0.3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 x14ac:dyDescent="0.35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 x14ac:dyDescent="0.35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45"/>
      <c r="T689" s="122">
        <f>IFERROR(J689,"")</f>
        <v>0</v>
      </c>
    </row>
    <row r="690" spans="1:20" ht="15" customHeight="1" x14ac:dyDescent="0.3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 x14ac:dyDescent="0.3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 x14ac:dyDescent="0.3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 x14ac:dyDescent="0.3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 x14ac:dyDescent="0.3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 x14ac:dyDescent="0.3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 x14ac:dyDescent="0.3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 x14ac:dyDescent="0.3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 x14ac:dyDescent="0.3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 x14ac:dyDescent="0.3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 x14ac:dyDescent="0.3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 x14ac:dyDescent="0.35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 x14ac:dyDescent="0.35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45"/>
      <c r="T702" s="122">
        <f>IFERROR(J702,"")</f>
        <v>0</v>
      </c>
    </row>
    <row r="703" spans="1:20" ht="18" customHeight="1" x14ac:dyDescent="0.3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143">
        <f>IFERROR(S689+S702,"")</f>
        <v>0</v>
      </c>
      <c r="T703" s="144">
        <f>IFERROR(J703,"")</f>
        <v>0</v>
      </c>
    </row>
    <row r="704" spans="1:20" ht="15" customHeight="1" x14ac:dyDescent="0.3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 x14ac:dyDescent="0.3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 x14ac:dyDescent="0.3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 x14ac:dyDescent="0.3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 x14ac:dyDescent="0.3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 x14ac:dyDescent="0.3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 x14ac:dyDescent="0.3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 x14ac:dyDescent="0.3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 x14ac:dyDescent="0.3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 x14ac:dyDescent="0.3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 x14ac:dyDescent="0.3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 x14ac:dyDescent="0.35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 x14ac:dyDescent="0.35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45"/>
      <c r="T716" s="122">
        <f>IFERROR(J716,"")</f>
        <v>0</v>
      </c>
    </row>
    <row r="717" spans="1:20" ht="15" customHeight="1" x14ac:dyDescent="0.3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 x14ac:dyDescent="0.3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 x14ac:dyDescent="0.3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 x14ac:dyDescent="0.3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 x14ac:dyDescent="0.3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 x14ac:dyDescent="0.3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 x14ac:dyDescent="0.3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 x14ac:dyDescent="0.3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 x14ac:dyDescent="0.3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 x14ac:dyDescent="0.3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 x14ac:dyDescent="0.3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 x14ac:dyDescent="0.35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 x14ac:dyDescent="0.35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45"/>
      <c r="T729" s="122">
        <f>IFERROR(J729,"")</f>
        <v>0</v>
      </c>
    </row>
    <row r="730" spans="1:20" ht="18" customHeight="1" x14ac:dyDescent="0.3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143">
        <f>IFERROR(S716+S729,"")</f>
        <v>0</v>
      </c>
      <c r="T730" s="144">
        <f>IFERROR(J730,"")</f>
        <v>0</v>
      </c>
    </row>
    <row r="731" spans="1:20" ht="15" customHeight="1" x14ac:dyDescent="0.3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 x14ac:dyDescent="0.3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 x14ac:dyDescent="0.3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 x14ac:dyDescent="0.3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 x14ac:dyDescent="0.3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 x14ac:dyDescent="0.3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 x14ac:dyDescent="0.3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 x14ac:dyDescent="0.3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 x14ac:dyDescent="0.3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 x14ac:dyDescent="0.3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 x14ac:dyDescent="0.3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 x14ac:dyDescent="0.35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 x14ac:dyDescent="0.35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45"/>
      <c r="T743" s="122">
        <f>IFERROR(J743,"")</f>
        <v>0</v>
      </c>
    </row>
    <row r="744" spans="1:20" ht="15" customHeight="1" x14ac:dyDescent="0.3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 x14ac:dyDescent="0.3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 x14ac:dyDescent="0.3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 x14ac:dyDescent="0.3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 x14ac:dyDescent="0.3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 x14ac:dyDescent="0.3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 x14ac:dyDescent="0.3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 x14ac:dyDescent="0.3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 x14ac:dyDescent="0.3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 x14ac:dyDescent="0.3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 x14ac:dyDescent="0.3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 x14ac:dyDescent="0.35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 x14ac:dyDescent="0.35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 x14ac:dyDescent="0.3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143">
        <f>IFERROR(S743+S756,"")</f>
        <v>0</v>
      </c>
      <c r="T757" s="144">
        <f>IFERROR(J757,"")</f>
        <v>0</v>
      </c>
    </row>
    <row r="758" spans="1:20" ht="15" customHeight="1" x14ac:dyDescent="0.3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 x14ac:dyDescent="0.3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 x14ac:dyDescent="0.3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 x14ac:dyDescent="0.3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 x14ac:dyDescent="0.3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 x14ac:dyDescent="0.3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 x14ac:dyDescent="0.3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 x14ac:dyDescent="0.3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 x14ac:dyDescent="0.3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 x14ac:dyDescent="0.3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 x14ac:dyDescent="0.3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 x14ac:dyDescent="0.35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 x14ac:dyDescent="0.35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45"/>
      <c r="T770" s="122">
        <f>IFERROR(J770,"")</f>
        <v>0</v>
      </c>
    </row>
    <row r="771" spans="1:20" ht="15" customHeight="1" x14ac:dyDescent="0.3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 x14ac:dyDescent="0.3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 x14ac:dyDescent="0.3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 x14ac:dyDescent="0.3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 x14ac:dyDescent="0.3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 x14ac:dyDescent="0.3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 x14ac:dyDescent="0.3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 x14ac:dyDescent="0.3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 x14ac:dyDescent="0.3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 x14ac:dyDescent="0.3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 x14ac:dyDescent="0.3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 x14ac:dyDescent="0.35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 x14ac:dyDescent="0.35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 x14ac:dyDescent="0.3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143">
        <f>IFERROR(S770+S783,"")</f>
        <v>0</v>
      </c>
      <c r="T784" s="144">
        <f>IFERROR(J784,"")</f>
        <v>0</v>
      </c>
    </row>
    <row r="785" spans="1:20" ht="15" customHeight="1" x14ac:dyDescent="0.3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 x14ac:dyDescent="0.3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 x14ac:dyDescent="0.3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 x14ac:dyDescent="0.3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 x14ac:dyDescent="0.3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 x14ac:dyDescent="0.3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 x14ac:dyDescent="0.3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 x14ac:dyDescent="0.3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 x14ac:dyDescent="0.3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 x14ac:dyDescent="0.3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 x14ac:dyDescent="0.3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 x14ac:dyDescent="0.35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 x14ac:dyDescent="0.35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45"/>
      <c r="T797" s="122">
        <f>IFERROR(J797,"")</f>
        <v>0</v>
      </c>
    </row>
    <row r="798" spans="1:20" ht="15" customHeight="1" x14ac:dyDescent="0.3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 x14ac:dyDescent="0.3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 x14ac:dyDescent="0.3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 x14ac:dyDescent="0.3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 x14ac:dyDescent="0.3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 x14ac:dyDescent="0.3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 x14ac:dyDescent="0.3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 x14ac:dyDescent="0.3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 x14ac:dyDescent="0.3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 x14ac:dyDescent="0.3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 x14ac:dyDescent="0.3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 x14ac:dyDescent="0.35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 x14ac:dyDescent="0.35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 x14ac:dyDescent="0.3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13">
        <f>IFERROR(S797+S810,"")</f>
        <v>0</v>
      </c>
      <c r="T811" s="97">
        <f>IFERROR(J811,"")</f>
        <v>0</v>
      </c>
    </row>
    <row r="812" spans="1:20" ht="15" customHeight="1" x14ac:dyDescent="0.3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 x14ac:dyDescent="0.3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 x14ac:dyDescent="0.3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 x14ac:dyDescent="0.3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 x14ac:dyDescent="0.3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 x14ac:dyDescent="0.3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 x14ac:dyDescent="0.3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 x14ac:dyDescent="0.3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 x14ac:dyDescent="0.3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 x14ac:dyDescent="0.3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 x14ac:dyDescent="0.3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 x14ac:dyDescent="0.35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 x14ac:dyDescent="0.35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75"/>
      <c r="T824" s="117">
        <f>IFERROR(J824,"")</f>
        <v>0</v>
      </c>
    </row>
    <row r="825" spans="1:20" ht="15" customHeight="1" x14ac:dyDescent="0.3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 x14ac:dyDescent="0.3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 x14ac:dyDescent="0.3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 x14ac:dyDescent="0.3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 x14ac:dyDescent="0.3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 x14ac:dyDescent="0.3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 x14ac:dyDescent="0.3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 x14ac:dyDescent="0.3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 x14ac:dyDescent="0.3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 x14ac:dyDescent="0.3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 x14ac:dyDescent="0.3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 x14ac:dyDescent="0.35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 x14ac:dyDescent="0.35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75"/>
      <c r="T837" s="117">
        <f>IFERROR(J837,"")</f>
        <v>0</v>
      </c>
    </row>
    <row r="838" spans="1:20" ht="18" customHeight="1" x14ac:dyDescent="0.3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opLeftCell="K1" zoomScale="80" zoomScaleNormal="80" workbookViewId="0">
      <pane ySplit="1" topLeftCell="A466" activePane="bottomLeft" state="frozen"/>
      <selection pane="bottomLeft" activeCell="S487" sqref="S487"/>
    </sheetView>
  </sheetViews>
  <sheetFormatPr defaultColWidth="8.5546875" defaultRowHeight="14.4" x14ac:dyDescent="0.3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8671875" style="20" hidden="1" customWidth="1"/>
    <col min="7" max="7" width="13" style="20" customWidth="1"/>
    <col min="8" max="8" width="15.88671875" style="20" hidden="1" customWidth="1"/>
    <col min="9" max="10" width="13.88671875" style="20" hidden="1" customWidth="1"/>
    <col min="11" max="11" width="14" style="20" customWidth="1"/>
    <col min="12" max="12" width="32.88671875" style="20" customWidth="1"/>
    <col min="13" max="13" width="30.44140625" style="20" customWidth="1"/>
    <col min="14" max="14" width="46.44140625" style="20" customWidth="1"/>
    <col min="15" max="15" width="12" style="20" customWidth="1"/>
    <col min="16" max="16" width="16.44140625" style="21" customWidth="1"/>
    <col min="17" max="17" width="14" style="20" customWidth="1"/>
    <col min="18" max="18" width="56.5546875" style="20" customWidth="1"/>
    <col min="19" max="19" width="31.5546875" customWidth="1"/>
    <col min="20" max="20" width="14.88671875" hidden="1" customWidth="1"/>
  </cols>
  <sheetData>
    <row r="1" spans="1:20" ht="37.5" customHeight="1" x14ac:dyDescent="0.3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 x14ac:dyDescent="0.3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 x14ac:dyDescent="0.3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 x14ac:dyDescent="0.3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 x14ac:dyDescent="0.3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 x14ac:dyDescent="0.3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 x14ac:dyDescent="0.3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 x14ac:dyDescent="0.3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 x14ac:dyDescent="0.3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 x14ac:dyDescent="0.3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 x14ac:dyDescent="0.3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 x14ac:dyDescent="0.3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 x14ac:dyDescent="0.35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 x14ac:dyDescent="0.35">
      <c r="A14" s="170" t="s">
        <v>247</v>
      </c>
      <c r="B14" s="171"/>
      <c r="C14" s="171"/>
      <c r="D14" s="171"/>
      <c r="E14" s="17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248</v>
      </c>
      <c r="S14" s="39">
        <v>326520</v>
      </c>
      <c r="T14" s="119">
        <f>IFERROR(J14,"")</f>
        <v>0</v>
      </c>
    </row>
    <row r="15" spans="1:20" ht="15" customHeight="1" x14ac:dyDescent="0.3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324</v>
      </c>
      <c r="S15" s="31"/>
    </row>
    <row r="16" spans="1:20" ht="15" customHeight="1" x14ac:dyDescent="0.3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 x14ac:dyDescent="0.3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 x14ac:dyDescent="0.3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286</v>
      </c>
      <c r="S18" s="31"/>
    </row>
    <row r="19" spans="1:20" ht="15" customHeight="1" x14ac:dyDescent="0.3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325</v>
      </c>
      <c r="S19" s="31"/>
    </row>
    <row r="20" spans="1:20" ht="15" customHeight="1" x14ac:dyDescent="0.3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 x14ac:dyDescent="0.3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 x14ac:dyDescent="0.3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 x14ac:dyDescent="0.3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 x14ac:dyDescent="0.3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 x14ac:dyDescent="0.3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262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 x14ac:dyDescent="0.35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262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 x14ac:dyDescent="0.35">
      <c r="A27" s="170" t="s">
        <v>250</v>
      </c>
      <c r="B27" s="171"/>
      <c r="C27" s="171"/>
      <c r="D27" s="171"/>
      <c r="E27" s="17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248</v>
      </c>
      <c r="S27" s="39">
        <v>358000</v>
      </c>
      <c r="T27" s="119">
        <f>IFERROR(J27,"")</f>
        <v>0</v>
      </c>
    </row>
    <row r="28" spans="1:20" ht="18" customHeight="1" x14ac:dyDescent="0.3">
      <c r="A28" s="167" t="s">
        <v>251</v>
      </c>
      <c r="B28" s="168"/>
      <c r="C28" s="168"/>
      <c r="D28" s="168"/>
      <c r="E28" s="168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252</v>
      </c>
      <c r="S28" s="43">
        <f>IFERROR(S14+S27,"")</f>
        <v>684520</v>
      </c>
      <c r="T28" s="120">
        <f>IFERROR(J28,"")</f>
        <v>0</v>
      </c>
    </row>
    <row r="29" spans="1:20" ht="15" customHeight="1" x14ac:dyDescent="0.3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 x14ac:dyDescent="0.3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 x14ac:dyDescent="0.3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 x14ac:dyDescent="0.3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 x14ac:dyDescent="0.3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 x14ac:dyDescent="0.3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 x14ac:dyDescent="0.3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 x14ac:dyDescent="0.3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 x14ac:dyDescent="0.3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 x14ac:dyDescent="0.3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 x14ac:dyDescent="0.3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 x14ac:dyDescent="0.35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 x14ac:dyDescent="0.35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248</v>
      </c>
      <c r="S41" s="39">
        <v>237080</v>
      </c>
      <c r="T41" s="119">
        <f>IFERROR(J41,"")</f>
        <v>0</v>
      </c>
    </row>
    <row r="42" spans="1:20" ht="15" customHeight="1" x14ac:dyDescent="0.3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292</v>
      </c>
      <c r="S42" s="31"/>
    </row>
    <row r="43" spans="1:20" ht="15" customHeight="1" x14ac:dyDescent="0.3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324</v>
      </c>
      <c r="S43" s="31"/>
    </row>
    <row r="44" spans="1:20" ht="15" customHeight="1" x14ac:dyDescent="0.3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 x14ac:dyDescent="0.3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 x14ac:dyDescent="0.3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 x14ac:dyDescent="0.3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 x14ac:dyDescent="0.3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 x14ac:dyDescent="0.3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 x14ac:dyDescent="0.3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324</v>
      </c>
      <c r="S50" s="31"/>
    </row>
    <row r="51" spans="1:20" ht="15" customHeight="1" x14ac:dyDescent="0.3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 x14ac:dyDescent="0.3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 x14ac:dyDescent="0.35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 x14ac:dyDescent="0.35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248</v>
      </c>
      <c r="S54" s="39">
        <v>279980</v>
      </c>
      <c r="T54" s="119">
        <f>IFERROR(J54,"")</f>
        <v>0</v>
      </c>
    </row>
    <row r="55" spans="1:20" ht="18" customHeight="1" x14ac:dyDescent="0.3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252</v>
      </c>
      <c r="S55" s="43">
        <f>IFERROR(S41+S54,"")</f>
        <v>517060</v>
      </c>
      <c r="T55" s="120">
        <f>IFERROR(J55,"")</f>
        <v>0</v>
      </c>
    </row>
    <row r="56" spans="1:20" ht="15" customHeight="1" x14ac:dyDescent="0.3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 x14ac:dyDescent="0.3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262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 x14ac:dyDescent="0.3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 x14ac:dyDescent="0.3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262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 x14ac:dyDescent="0.3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262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 x14ac:dyDescent="0.3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262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 x14ac:dyDescent="0.3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262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326</v>
      </c>
      <c r="S62" s="31"/>
    </row>
    <row r="63" spans="1:20" ht="15" customHeight="1" x14ac:dyDescent="0.3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262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 x14ac:dyDescent="0.3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262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 x14ac:dyDescent="0.3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262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 x14ac:dyDescent="0.3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 x14ac:dyDescent="0.35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262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 x14ac:dyDescent="0.35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248</v>
      </c>
      <c r="S68" s="39">
        <v>221380</v>
      </c>
      <c r="T68" s="119">
        <f>IFERROR(J68,"")</f>
        <v>0</v>
      </c>
    </row>
    <row r="69" spans="1:20" ht="15" customHeight="1" x14ac:dyDescent="0.3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327</v>
      </c>
      <c r="S69" s="31"/>
    </row>
    <row r="70" spans="1:20" ht="15" customHeight="1" x14ac:dyDescent="0.3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195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 x14ac:dyDescent="0.3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 x14ac:dyDescent="0.3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 x14ac:dyDescent="0.3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 x14ac:dyDescent="0.3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 x14ac:dyDescent="0.3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 x14ac:dyDescent="0.3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 x14ac:dyDescent="0.3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 x14ac:dyDescent="0.3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 x14ac:dyDescent="0.3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 x14ac:dyDescent="0.35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 x14ac:dyDescent="0.35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248</v>
      </c>
      <c r="S81" s="39">
        <v>185920</v>
      </c>
      <c r="T81" s="119">
        <f>IFERROR(J81,"")</f>
        <v>0</v>
      </c>
    </row>
    <row r="82" spans="1:20" ht="18" customHeight="1" x14ac:dyDescent="0.3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252</v>
      </c>
      <c r="S82" s="43">
        <f>IFERROR(S68+S81,"")</f>
        <v>407300</v>
      </c>
      <c r="T82" s="120">
        <f>IFERROR(J82,"")</f>
        <v>0</v>
      </c>
    </row>
    <row r="83" spans="1:20" ht="15" customHeight="1" x14ac:dyDescent="0.3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328</v>
      </c>
      <c r="S83" s="31"/>
    </row>
    <row r="84" spans="1:20" ht="15" customHeight="1" x14ac:dyDescent="0.3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329</v>
      </c>
      <c r="S84" s="31"/>
    </row>
    <row r="85" spans="1:20" ht="15" customHeight="1" x14ac:dyDescent="0.3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 x14ac:dyDescent="0.3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 x14ac:dyDescent="0.3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 x14ac:dyDescent="0.3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 x14ac:dyDescent="0.3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 x14ac:dyDescent="0.3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 x14ac:dyDescent="0.3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 x14ac:dyDescent="0.3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 x14ac:dyDescent="0.3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 x14ac:dyDescent="0.35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 x14ac:dyDescent="0.35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248</v>
      </c>
      <c r="S95" s="39">
        <v>204160</v>
      </c>
      <c r="T95" s="119">
        <f>IFERROR(J95,"")</f>
        <v>0</v>
      </c>
    </row>
    <row r="96" spans="1:20" ht="15" customHeight="1" x14ac:dyDescent="0.3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 x14ac:dyDescent="0.3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330</v>
      </c>
      <c r="S97" s="31"/>
    </row>
    <row r="98" spans="1:20" ht="15" customHeight="1" x14ac:dyDescent="0.3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 x14ac:dyDescent="0.3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 x14ac:dyDescent="0.3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 x14ac:dyDescent="0.3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 x14ac:dyDescent="0.3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 x14ac:dyDescent="0.3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 x14ac:dyDescent="0.3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 x14ac:dyDescent="0.3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 x14ac:dyDescent="0.3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 x14ac:dyDescent="0.35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 x14ac:dyDescent="0.35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248</v>
      </c>
      <c r="S108" s="39">
        <v>434370</v>
      </c>
      <c r="T108" s="119">
        <f>IFERROR(J108,"")</f>
        <v>0</v>
      </c>
    </row>
    <row r="109" spans="1:20" ht="18" customHeight="1" x14ac:dyDescent="0.3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252</v>
      </c>
      <c r="S109" s="43">
        <f>IFERROR(S95+S108,"")</f>
        <v>638530</v>
      </c>
      <c r="T109" s="120">
        <f>IFERROR(J109,"")</f>
        <v>0</v>
      </c>
    </row>
    <row r="110" spans="1:20" ht="15" customHeight="1" x14ac:dyDescent="0.3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 x14ac:dyDescent="0.3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 x14ac:dyDescent="0.3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 x14ac:dyDescent="0.3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 x14ac:dyDescent="0.3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 x14ac:dyDescent="0.3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 x14ac:dyDescent="0.3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 x14ac:dyDescent="0.3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 x14ac:dyDescent="0.3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 x14ac:dyDescent="0.3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 x14ac:dyDescent="0.3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 x14ac:dyDescent="0.35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 x14ac:dyDescent="0.35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248</v>
      </c>
      <c r="S122" s="39">
        <v>320370</v>
      </c>
      <c r="T122" s="119">
        <f>IFERROR(J122,"")</f>
        <v>0</v>
      </c>
    </row>
    <row r="123" spans="1:20" ht="15" customHeight="1" x14ac:dyDescent="0.3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 x14ac:dyDescent="0.3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 x14ac:dyDescent="0.3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331</v>
      </c>
      <c r="S125" s="31"/>
    </row>
    <row r="126" spans="1:20" ht="15" customHeight="1" x14ac:dyDescent="0.3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 x14ac:dyDescent="0.3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 x14ac:dyDescent="0.3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 x14ac:dyDescent="0.3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 x14ac:dyDescent="0.3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 x14ac:dyDescent="0.3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208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 x14ac:dyDescent="0.3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 x14ac:dyDescent="0.3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 x14ac:dyDescent="0.35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 x14ac:dyDescent="0.35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248</v>
      </c>
      <c r="S135" s="39">
        <v>416350</v>
      </c>
      <c r="T135" s="119">
        <f>IFERROR(J135,"")</f>
        <v>0</v>
      </c>
    </row>
    <row r="136" spans="1:20" ht="18" customHeight="1" x14ac:dyDescent="0.3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252</v>
      </c>
      <c r="S136" s="43">
        <f>IFERROR(S122+S135,"")</f>
        <v>736720</v>
      </c>
      <c r="T136" s="120">
        <f>IFERROR(J136,"")</f>
        <v>0</v>
      </c>
    </row>
    <row r="137" spans="1:20" ht="15" customHeight="1" x14ac:dyDescent="0.3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332</v>
      </c>
      <c r="S137" s="31"/>
    </row>
    <row r="138" spans="1:20" ht="15" customHeight="1" x14ac:dyDescent="0.3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 x14ac:dyDescent="0.3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214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 x14ac:dyDescent="0.3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 x14ac:dyDescent="0.3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 x14ac:dyDescent="0.3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 x14ac:dyDescent="0.3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 x14ac:dyDescent="0.3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300</v>
      </c>
      <c r="S144" s="31"/>
    </row>
    <row r="145" spans="1:20" ht="15" customHeight="1" x14ac:dyDescent="0.3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 x14ac:dyDescent="0.3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 x14ac:dyDescent="0.3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 x14ac:dyDescent="0.35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 x14ac:dyDescent="0.35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248</v>
      </c>
      <c r="S149" s="39">
        <v>138890</v>
      </c>
      <c r="T149" s="119">
        <f>IFERROR(J149,"")</f>
        <v>0</v>
      </c>
    </row>
    <row r="150" spans="1:20" ht="15" customHeight="1" x14ac:dyDescent="0.3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 x14ac:dyDescent="0.3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 x14ac:dyDescent="0.3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 x14ac:dyDescent="0.3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292</v>
      </c>
      <c r="S153" s="31"/>
    </row>
    <row r="154" spans="1:20" ht="15" customHeight="1" x14ac:dyDescent="0.3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 x14ac:dyDescent="0.3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 x14ac:dyDescent="0.3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 x14ac:dyDescent="0.3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 x14ac:dyDescent="0.3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 x14ac:dyDescent="0.3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 x14ac:dyDescent="0.3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 x14ac:dyDescent="0.35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 x14ac:dyDescent="0.35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248</v>
      </c>
      <c r="S162" s="39">
        <v>169760</v>
      </c>
      <c r="T162" s="119">
        <f>IFERROR(J162,"")</f>
        <v>0</v>
      </c>
    </row>
    <row r="163" spans="1:20" ht="18" customHeight="1" x14ac:dyDescent="0.3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252</v>
      </c>
      <c r="S163" s="43">
        <f>IFERROR(S149+S162,"")</f>
        <v>308650</v>
      </c>
      <c r="T163" s="120">
        <f>IFERROR(J163,"")</f>
        <v>0</v>
      </c>
    </row>
    <row r="164" spans="1:20" ht="15" customHeight="1" x14ac:dyDescent="0.3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 x14ac:dyDescent="0.3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 x14ac:dyDescent="0.3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333</v>
      </c>
      <c r="S166" s="31"/>
    </row>
    <row r="167" spans="1:20" ht="15" customHeight="1" x14ac:dyDescent="0.3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 x14ac:dyDescent="0.3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 x14ac:dyDescent="0.3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 x14ac:dyDescent="0.3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 x14ac:dyDescent="0.3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 x14ac:dyDescent="0.3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 x14ac:dyDescent="0.3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 x14ac:dyDescent="0.3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 x14ac:dyDescent="0.35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 x14ac:dyDescent="0.35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248</v>
      </c>
      <c r="S176" s="39">
        <v>271350</v>
      </c>
      <c r="T176" s="119">
        <f>IFERROR(J176,"")</f>
        <v>0</v>
      </c>
    </row>
    <row r="177" spans="1:20" ht="15" customHeight="1" x14ac:dyDescent="0.3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 x14ac:dyDescent="0.3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 x14ac:dyDescent="0.3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334</v>
      </c>
      <c r="S179" s="31"/>
    </row>
    <row r="180" spans="1:20" ht="15" customHeight="1" x14ac:dyDescent="0.3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 x14ac:dyDescent="0.3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 x14ac:dyDescent="0.3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303</v>
      </c>
      <c r="S182" s="31"/>
    </row>
    <row r="183" spans="1:20" ht="15" customHeight="1" x14ac:dyDescent="0.3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 x14ac:dyDescent="0.3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 x14ac:dyDescent="0.3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303</v>
      </c>
      <c r="S185" s="31"/>
    </row>
    <row r="186" spans="1:20" ht="15" customHeight="1" x14ac:dyDescent="0.3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 x14ac:dyDescent="0.3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 x14ac:dyDescent="0.35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 x14ac:dyDescent="0.35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248</v>
      </c>
      <c r="S189" s="39">
        <v>72220</v>
      </c>
      <c r="T189" s="119">
        <f>IFERROR(J189,"")</f>
        <v>0</v>
      </c>
    </row>
    <row r="190" spans="1:20" ht="18" customHeight="1" x14ac:dyDescent="0.3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252</v>
      </c>
      <c r="S190" s="43">
        <f>IFERROR(S176+S189,"")</f>
        <v>343570</v>
      </c>
      <c r="T190" s="120">
        <f>IFERROR(J190,"")</f>
        <v>0</v>
      </c>
    </row>
    <row r="191" spans="1:20" ht="15" customHeight="1" x14ac:dyDescent="0.3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 x14ac:dyDescent="0.3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 x14ac:dyDescent="0.3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 x14ac:dyDescent="0.3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 x14ac:dyDescent="0.3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 x14ac:dyDescent="0.3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 x14ac:dyDescent="0.3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 x14ac:dyDescent="0.3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 x14ac:dyDescent="0.3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 x14ac:dyDescent="0.3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 x14ac:dyDescent="0.3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 x14ac:dyDescent="0.35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 x14ac:dyDescent="0.35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248</v>
      </c>
      <c r="S203" s="39">
        <v>92510</v>
      </c>
      <c r="T203" s="119">
        <f>IFERROR(J203,"")</f>
        <v>0</v>
      </c>
    </row>
    <row r="204" spans="1:20" ht="15" customHeight="1" x14ac:dyDescent="0.3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 x14ac:dyDescent="0.3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335</v>
      </c>
      <c r="S205" s="47"/>
    </row>
    <row r="206" spans="1:20" ht="15" customHeight="1" x14ac:dyDescent="0.3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 x14ac:dyDescent="0.3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 x14ac:dyDescent="0.3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 x14ac:dyDescent="0.3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 x14ac:dyDescent="0.3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 x14ac:dyDescent="0.3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 x14ac:dyDescent="0.3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 x14ac:dyDescent="0.3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 x14ac:dyDescent="0.3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 x14ac:dyDescent="0.35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 x14ac:dyDescent="0.35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248</v>
      </c>
      <c r="S216" s="39">
        <v>148720</v>
      </c>
      <c r="T216" s="119">
        <f>IFERROR(J216,"")</f>
        <v>0</v>
      </c>
    </row>
    <row r="217" spans="1:20" ht="18" customHeight="1" x14ac:dyDescent="0.3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252</v>
      </c>
      <c r="S217" s="48">
        <f>IFERROR(S203+S216,"")</f>
        <v>241230</v>
      </c>
      <c r="T217" s="121">
        <f>IFERROR(J217,"")</f>
        <v>0</v>
      </c>
    </row>
    <row r="218" spans="1:20" ht="15" customHeight="1" x14ac:dyDescent="0.3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 x14ac:dyDescent="0.3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 x14ac:dyDescent="0.3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 x14ac:dyDescent="0.3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336</v>
      </c>
      <c r="S221" s="47"/>
    </row>
    <row r="222" spans="1:20" ht="15" customHeight="1" x14ac:dyDescent="0.3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337</v>
      </c>
      <c r="Q222" s="30" t="str">
        <f t="shared" ca="1" si="49"/>
        <v/>
      </c>
      <c r="R222" s="27" t="s">
        <v>338</v>
      </c>
      <c r="S222" s="47"/>
    </row>
    <row r="223" spans="1:20" ht="15" customHeight="1" x14ac:dyDescent="0.3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 x14ac:dyDescent="0.3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 x14ac:dyDescent="0.3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 x14ac:dyDescent="0.3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 x14ac:dyDescent="0.3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 x14ac:dyDescent="0.3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 x14ac:dyDescent="0.35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 x14ac:dyDescent="0.35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248</v>
      </c>
      <c r="S230" s="39">
        <v>329640</v>
      </c>
      <c r="T230" s="119">
        <f>IFERROR(J230,"")</f>
        <v>0</v>
      </c>
    </row>
    <row r="231" spans="1:20" ht="15" customHeight="1" x14ac:dyDescent="0.3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 x14ac:dyDescent="0.3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 x14ac:dyDescent="0.3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 x14ac:dyDescent="0.3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 x14ac:dyDescent="0.3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 x14ac:dyDescent="0.3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 x14ac:dyDescent="0.3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 x14ac:dyDescent="0.3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 x14ac:dyDescent="0.3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 x14ac:dyDescent="0.3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 x14ac:dyDescent="0.3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 x14ac:dyDescent="0.35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 x14ac:dyDescent="0.35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248</v>
      </c>
      <c r="S243" s="39">
        <v>352720</v>
      </c>
      <c r="T243" s="119">
        <f>IFERROR(J243,"")</f>
        <v>0</v>
      </c>
    </row>
    <row r="244" spans="1:20" ht="18" customHeight="1" x14ac:dyDescent="0.3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252</v>
      </c>
      <c r="S244" s="48">
        <f>IFERROR(S230+S243,"")</f>
        <v>682360</v>
      </c>
      <c r="T244" s="121">
        <f>IFERROR(J244,"")</f>
        <v>0</v>
      </c>
    </row>
    <row r="245" spans="1:20" ht="15" customHeight="1" x14ac:dyDescent="0.3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339</v>
      </c>
      <c r="S245" s="47"/>
    </row>
    <row r="246" spans="1:20" ht="15" customHeight="1" x14ac:dyDescent="0.3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 x14ac:dyDescent="0.3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 x14ac:dyDescent="0.3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 x14ac:dyDescent="0.3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 x14ac:dyDescent="0.3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 x14ac:dyDescent="0.3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 x14ac:dyDescent="0.3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 x14ac:dyDescent="0.3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 x14ac:dyDescent="0.3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 x14ac:dyDescent="0.3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246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 x14ac:dyDescent="0.35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246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 x14ac:dyDescent="0.35">
      <c r="A257" s="170" t="s">
        <v>247</v>
      </c>
      <c r="B257" s="171"/>
      <c r="C257" s="171"/>
      <c r="D257" s="171"/>
      <c r="E257" s="17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248</v>
      </c>
      <c r="S257" s="39">
        <v>549440</v>
      </c>
      <c r="T257" s="119">
        <f>IFERROR(J257,"")</f>
        <v>0</v>
      </c>
    </row>
    <row r="258" spans="1:20" ht="15" customHeight="1" x14ac:dyDescent="0.3">
      <c r="A258" s="68">
        <v>46244</v>
      </c>
      <c r="B258" s="32">
        <v>0.83333333333333304</v>
      </c>
      <c r="C258" s="33"/>
      <c r="D258" s="62" t="s">
        <v>45</v>
      </c>
      <c r="E258" s="20" t="s">
        <v>262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 x14ac:dyDescent="0.3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262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 x14ac:dyDescent="0.3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262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 x14ac:dyDescent="0.3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262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 x14ac:dyDescent="0.3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262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 x14ac:dyDescent="0.3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262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 x14ac:dyDescent="0.3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262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 x14ac:dyDescent="0.3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262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 x14ac:dyDescent="0.3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262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 x14ac:dyDescent="0.3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262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 x14ac:dyDescent="0.3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262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 x14ac:dyDescent="0.35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262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 x14ac:dyDescent="0.35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39">
        <v>327900</v>
      </c>
      <c r="T270" s="119">
        <f>IFERROR(J270,"")</f>
        <v>0</v>
      </c>
    </row>
    <row r="271" spans="1:20" ht="18" customHeight="1" x14ac:dyDescent="0.3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252</v>
      </c>
      <c r="S271" s="48">
        <f>IFERROR(S257+S270,"")</f>
        <v>877340</v>
      </c>
      <c r="T271" s="121">
        <f>IFERROR(J271,"")</f>
        <v>0</v>
      </c>
    </row>
    <row r="272" spans="1:20" ht="15" customHeight="1" x14ac:dyDescent="0.3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 x14ac:dyDescent="0.3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 x14ac:dyDescent="0.3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 x14ac:dyDescent="0.3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 x14ac:dyDescent="0.3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 x14ac:dyDescent="0.3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 x14ac:dyDescent="0.3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 x14ac:dyDescent="0.3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 x14ac:dyDescent="0.3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 x14ac:dyDescent="0.3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 x14ac:dyDescent="0.3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246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 x14ac:dyDescent="0.35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 x14ac:dyDescent="0.35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39">
        <v>373120</v>
      </c>
      <c r="T284" s="119">
        <f>IFERROR(J284,"")</f>
        <v>0</v>
      </c>
    </row>
    <row r="285" spans="1:20" ht="15" customHeight="1" x14ac:dyDescent="0.3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 x14ac:dyDescent="0.3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 x14ac:dyDescent="0.3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 x14ac:dyDescent="0.3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 x14ac:dyDescent="0.3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 x14ac:dyDescent="0.3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 x14ac:dyDescent="0.3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 x14ac:dyDescent="0.3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 x14ac:dyDescent="0.3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 x14ac:dyDescent="0.3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 x14ac:dyDescent="0.3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 x14ac:dyDescent="0.35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 x14ac:dyDescent="0.35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39">
        <v>462190</v>
      </c>
      <c r="T297" s="119">
        <f>IFERROR(J297,"")</f>
        <v>0</v>
      </c>
    </row>
    <row r="298" spans="1:20" ht="18" customHeight="1" x14ac:dyDescent="0.3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48">
        <f>IFERROR(S284+S297,"")</f>
        <v>835310</v>
      </c>
      <c r="T298" s="121">
        <f>IFERROR(J298,"")</f>
        <v>0</v>
      </c>
    </row>
    <row r="299" spans="1:20" ht="15" customHeight="1" x14ac:dyDescent="0.3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208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 x14ac:dyDescent="0.3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208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 x14ac:dyDescent="0.3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193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 x14ac:dyDescent="0.3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 x14ac:dyDescent="0.3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 x14ac:dyDescent="0.3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 x14ac:dyDescent="0.3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 x14ac:dyDescent="0.3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 x14ac:dyDescent="0.3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 x14ac:dyDescent="0.3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 x14ac:dyDescent="0.3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 x14ac:dyDescent="0.35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 x14ac:dyDescent="0.35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248</v>
      </c>
      <c r="S311" s="39">
        <v>567440</v>
      </c>
      <c r="T311" s="119">
        <f>IFERROR(J311,"")</f>
        <v>96.630879999999991</v>
      </c>
    </row>
    <row r="312" spans="1:20" ht="15" customHeight="1" x14ac:dyDescent="0.3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 x14ac:dyDescent="0.3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 x14ac:dyDescent="0.3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 x14ac:dyDescent="0.3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 x14ac:dyDescent="0.3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 x14ac:dyDescent="0.3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 x14ac:dyDescent="0.3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 x14ac:dyDescent="0.3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 x14ac:dyDescent="0.3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 x14ac:dyDescent="0.3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 x14ac:dyDescent="0.3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 x14ac:dyDescent="0.35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 x14ac:dyDescent="0.35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248</v>
      </c>
      <c r="S324" s="39">
        <v>289490</v>
      </c>
      <c r="T324" s="119">
        <f>IFERROR(J324,"")</f>
        <v>41.68656</v>
      </c>
    </row>
    <row r="325" spans="1:20" ht="18" customHeight="1" x14ac:dyDescent="0.3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252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 x14ac:dyDescent="0.3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310</v>
      </c>
      <c r="S326" s="47"/>
    </row>
    <row r="327" spans="1:20" ht="15" customHeight="1" x14ac:dyDescent="0.3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340</v>
      </c>
      <c r="S327" s="47"/>
    </row>
    <row r="328" spans="1:20" ht="15" customHeight="1" x14ac:dyDescent="0.3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 x14ac:dyDescent="0.3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311</v>
      </c>
      <c r="S329" s="47"/>
    </row>
    <row r="330" spans="1:20" ht="15" customHeight="1" x14ac:dyDescent="0.3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 x14ac:dyDescent="0.3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 x14ac:dyDescent="0.3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 x14ac:dyDescent="0.3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 x14ac:dyDescent="0.3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 x14ac:dyDescent="0.3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 x14ac:dyDescent="0.3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 x14ac:dyDescent="0.35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 x14ac:dyDescent="0.35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248</v>
      </c>
      <c r="S338" s="39">
        <v>387310</v>
      </c>
      <c r="T338" s="119">
        <f>IFERROR(J338,"")</f>
        <v>81.335099999999983</v>
      </c>
    </row>
    <row r="339" spans="1:20" ht="15" customHeight="1" x14ac:dyDescent="0.3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 x14ac:dyDescent="0.3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 x14ac:dyDescent="0.3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 x14ac:dyDescent="0.3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 x14ac:dyDescent="0.3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 x14ac:dyDescent="0.3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 x14ac:dyDescent="0.3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 x14ac:dyDescent="0.3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 x14ac:dyDescent="0.3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 x14ac:dyDescent="0.3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 x14ac:dyDescent="0.3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 x14ac:dyDescent="0.35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 x14ac:dyDescent="0.35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248</v>
      </c>
      <c r="S351" s="39">
        <v>256170</v>
      </c>
      <c r="T351" s="119">
        <f>IFERROR(J351,"")</f>
        <v>53.795699999999997</v>
      </c>
    </row>
    <row r="352" spans="1:20" ht="18" customHeight="1" x14ac:dyDescent="0.3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252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 x14ac:dyDescent="0.3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 x14ac:dyDescent="0.3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292</v>
      </c>
      <c r="S354" s="47"/>
    </row>
    <row r="355" spans="1:20" ht="15" customHeight="1" x14ac:dyDescent="0.3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 x14ac:dyDescent="0.3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 x14ac:dyDescent="0.3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 x14ac:dyDescent="0.3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 x14ac:dyDescent="0.3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 x14ac:dyDescent="0.3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 x14ac:dyDescent="0.3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 x14ac:dyDescent="0.3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 x14ac:dyDescent="0.3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 x14ac:dyDescent="0.35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 x14ac:dyDescent="0.35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248</v>
      </c>
      <c r="S365" s="39">
        <v>332130</v>
      </c>
      <c r="T365" s="119">
        <f>IFERROR(J365,"")</f>
        <v>69.747299999999981</v>
      </c>
    </row>
    <row r="366" spans="1:20" ht="15" customHeight="1" x14ac:dyDescent="0.3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 x14ac:dyDescent="0.3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 x14ac:dyDescent="0.3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214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 x14ac:dyDescent="0.3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 x14ac:dyDescent="0.3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 x14ac:dyDescent="0.3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 x14ac:dyDescent="0.3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 x14ac:dyDescent="0.3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 x14ac:dyDescent="0.3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 x14ac:dyDescent="0.3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 x14ac:dyDescent="0.3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 x14ac:dyDescent="0.35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 x14ac:dyDescent="0.35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248</v>
      </c>
      <c r="S378" s="39">
        <v>360560</v>
      </c>
      <c r="T378" s="119">
        <f>IFERROR(J378,"")</f>
        <v>75.71759999999999</v>
      </c>
    </row>
    <row r="379" spans="1:20" ht="18" customHeight="1" x14ac:dyDescent="0.3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252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 x14ac:dyDescent="0.3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 x14ac:dyDescent="0.3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 x14ac:dyDescent="0.3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 x14ac:dyDescent="0.3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341</v>
      </c>
      <c r="S383" s="47"/>
    </row>
    <row r="384" spans="1:20" ht="15" customHeight="1" x14ac:dyDescent="0.3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314</v>
      </c>
      <c r="S384" s="47"/>
    </row>
    <row r="385" spans="1:20" ht="15" customHeight="1" x14ac:dyDescent="0.3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 x14ac:dyDescent="0.3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 x14ac:dyDescent="0.3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 x14ac:dyDescent="0.3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 x14ac:dyDescent="0.3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 x14ac:dyDescent="0.3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 x14ac:dyDescent="0.35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 x14ac:dyDescent="0.35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248</v>
      </c>
      <c r="S392" s="39">
        <v>479620</v>
      </c>
      <c r="T392" s="119">
        <f>IFERROR(J392,"")</f>
        <v>100.72019999999998</v>
      </c>
    </row>
    <row r="393" spans="1:20" ht="15" customHeight="1" x14ac:dyDescent="0.3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 x14ac:dyDescent="0.3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 x14ac:dyDescent="0.3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 x14ac:dyDescent="0.3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 x14ac:dyDescent="0.3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 x14ac:dyDescent="0.3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 x14ac:dyDescent="0.3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 x14ac:dyDescent="0.3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 x14ac:dyDescent="0.3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 x14ac:dyDescent="0.3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 x14ac:dyDescent="0.3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 x14ac:dyDescent="0.35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 x14ac:dyDescent="0.35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248</v>
      </c>
      <c r="S405" s="39">
        <v>489360</v>
      </c>
      <c r="T405" s="119">
        <f>IFERROR(J405,"")</f>
        <v>99.305125714285708</v>
      </c>
    </row>
    <row r="406" spans="1:20" ht="18" customHeight="1" x14ac:dyDescent="0.3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252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 x14ac:dyDescent="0.3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 x14ac:dyDescent="0.3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342</v>
      </c>
      <c r="S408" s="47"/>
    </row>
    <row r="409" spans="1:20" ht="15" customHeight="1" x14ac:dyDescent="0.3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 x14ac:dyDescent="0.3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 x14ac:dyDescent="0.3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 x14ac:dyDescent="0.3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 x14ac:dyDescent="0.3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 x14ac:dyDescent="0.3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 x14ac:dyDescent="0.3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 x14ac:dyDescent="0.3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 x14ac:dyDescent="0.3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 x14ac:dyDescent="0.35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 x14ac:dyDescent="0.35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248</v>
      </c>
      <c r="S419" s="39">
        <v>447620</v>
      </c>
      <c r="T419" s="119">
        <f>IFERROR(J419,"")</f>
        <v>64.457279999999997</v>
      </c>
    </row>
    <row r="420" spans="1:20" ht="15" customHeight="1" x14ac:dyDescent="0.3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343</v>
      </c>
    </row>
    <row r="421" spans="1:20" ht="15" customHeight="1" x14ac:dyDescent="0.3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 x14ac:dyDescent="0.3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 x14ac:dyDescent="0.3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 x14ac:dyDescent="0.3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 x14ac:dyDescent="0.3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 x14ac:dyDescent="0.3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 x14ac:dyDescent="0.3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 x14ac:dyDescent="0.3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 x14ac:dyDescent="0.3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 x14ac:dyDescent="0.3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 x14ac:dyDescent="0.35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 x14ac:dyDescent="0.35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248</v>
      </c>
      <c r="S432" s="39">
        <v>180150</v>
      </c>
      <c r="T432" s="119">
        <f>IFERROR(J432,"")</f>
        <v>25.941599999999998</v>
      </c>
    </row>
    <row r="433" spans="1:20" ht="18" customHeight="1" x14ac:dyDescent="0.3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252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 x14ac:dyDescent="0.3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344</v>
      </c>
      <c r="S434" s="47"/>
    </row>
    <row r="435" spans="1:20" ht="15" customHeight="1" x14ac:dyDescent="0.3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 x14ac:dyDescent="0.3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344</v>
      </c>
      <c r="S436" s="47"/>
    </row>
    <row r="437" spans="1:20" ht="15" customHeight="1" x14ac:dyDescent="0.3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 x14ac:dyDescent="0.3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 x14ac:dyDescent="0.3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 x14ac:dyDescent="0.3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 x14ac:dyDescent="0.3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 x14ac:dyDescent="0.3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 x14ac:dyDescent="0.3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 x14ac:dyDescent="0.3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 x14ac:dyDescent="0.35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 x14ac:dyDescent="0.35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248</v>
      </c>
      <c r="S446" s="39">
        <v>389280</v>
      </c>
      <c r="T446" s="119">
        <f>IFERROR(J446,"")</f>
        <v>74.494452705882338</v>
      </c>
    </row>
    <row r="447" spans="1:20" ht="15" customHeight="1" x14ac:dyDescent="0.3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219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 x14ac:dyDescent="0.3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 x14ac:dyDescent="0.3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208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345</v>
      </c>
      <c r="S449" s="47"/>
    </row>
    <row r="450" spans="1:20" ht="15" customHeight="1" x14ac:dyDescent="0.3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262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 x14ac:dyDescent="0.3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 x14ac:dyDescent="0.3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 x14ac:dyDescent="0.3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 x14ac:dyDescent="0.3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 x14ac:dyDescent="0.3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 x14ac:dyDescent="0.3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 x14ac:dyDescent="0.3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 x14ac:dyDescent="0.35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 x14ac:dyDescent="0.35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248</v>
      </c>
      <c r="S459" s="39">
        <v>471910</v>
      </c>
      <c r="T459" s="119">
        <f>IFERROR(J459,"")</f>
        <v>92.928007027027007</v>
      </c>
    </row>
    <row r="460" spans="1:20" ht="18" customHeight="1" x14ac:dyDescent="0.3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252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 x14ac:dyDescent="0.3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4.5008727272727267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 x14ac:dyDescent="0.3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23.629581818181816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 x14ac:dyDescent="0.3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14.627836363636362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 x14ac:dyDescent="0.3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9.0017454545454534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 x14ac:dyDescent="0.3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 x14ac:dyDescent="0.3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 x14ac:dyDescent="0.3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 x14ac:dyDescent="0.3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 x14ac:dyDescent="0.3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 x14ac:dyDescent="0.3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22.504363636363635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 x14ac:dyDescent="0.3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 x14ac:dyDescent="0.35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 x14ac:dyDescent="0.35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74.264399999999995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248</v>
      </c>
      <c r="S473" s="39">
        <v>353640</v>
      </c>
      <c r="T473" s="119">
        <f>IFERROR(J473,"")</f>
        <v>74.264399999999995</v>
      </c>
    </row>
    <row r="474" spans="1:20" ht="15" customHeight="1" x14ac:dyDescent="0.3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0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6">IFERROR(IF($H474="","",$H474*$F474*$I474),"")</f>
        <v>0</v>
      </c>
      <c r="K474" s="28">
        <f t="shared" ref="K474:K485" si="117">IF(G474="","",IF(E474="PC 17",G474*4.2,IF(E474="PC 19",G474*5,IF(E474="CB",G474*24,""))))</f>
        <v>0</v>
      </c>
      <c r="L474" s="26" t="s">
        <v>23</v>
      </c>
      <c r="M474" s="26" t="s">
        <v>54</v>
      </c>
      <c r="N474" s="26" t="s">
        <v>65</v>
      </c>
      <c r="O474" s="29">
        <v>0.79166666666666663</v>
      </c>
      <c r="P474" s="29">
        <v>0.86250000000000004</v>
      </c>
      <c r="Q474" s="30">
        <f t="shared" ref="Q474:Q485" ca="1" si="118">IFERROR(IF(O474="","",IF(P474="",MOD(NOW()-O474,1),IF(P474&gt;=O474,P474-O474,P474+1-O474))),"")</f>
        <v>7.0833333333333415E-2</v>
      </c>
      <c r="R474" s="27" t="s">
        <v>292</v>
      </c>
      <c r="S474" s="47"/>
    </row>
    <row r="475" spans="1:20" ht="15" customHeight="1" x14ac:dyDescent="0.3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4</v>
      </c>
      <c r="H475" s="134">
        <f>IFERROR(IF($G475="","",$G475*$S$486/$G$486/Cadastro!$E$33),"")</f>
        <v>17.722033898305085</v>
      </c>
      <c r="I475" s="135">
        <f>IFERROR(IF($D475="","",VLOOKUP($D475,Cadastro!$C$4:$G$7,5,FALSE)),"")</f>
        <v>0.6</v>
      </c>
      <c r="J475" s="136">
        <f t="shared" si="116"/>
        <v>3.7216271186440677</v>
      </c>
      <c r="K475" s="34">
        <f t="shared" si="117"/>
        <v>16.8</v>
      </c>
      <c r="L475" s="33" t="s">
        <v>25</v>
      </c>
      <c r="M475" s="33" t="s">
        <v>134</v>
      </c>
      <c r="N475" s="33" t="s">
        <v>192</v>
      </c>
      <c r="O475" s="29">
        <v>0.98750000000000004</v>
      </c>
      <c r="P475" s="29">
        <v>1.3888888888888889E-3</v>
      </c>
      <c r="Q475" s="35">
        <f t="shared" ca="1" si="118"/>
        <v>1.388888888888884E-2</v>
      </c>
      <c r="R475" s="27"/>
      <c r="S475" s="47"/>
    </row>
    <row r="476" spans="1:20" ht="15" customHeight="1" x14ac:dyDescent="0.3">
      <c r="A476" s="67">
        <v>46252</v>
      </c>
      <c r="B476" s="25">
        <f t="shared" si="119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5</v>
      </c>
      <c r="H476" s="134">
        <f>IFERROR(IF($G476="","",$G476*$S$486/$G$486/Cadastro!$E$33),"")</f>
        <v>22.152542372881356</v>
      </c>
      <c r="I476" s="135">
        <f>IFERROR(IF($D476="","",VLOOKUP($D476,Cadastro!$C$4:$G$7,5,FALSE)),"")</f>
        <v>0.6</v>
      </c>
      <c r="J476" s="136">
        <f t="shared" si="116"/>
        <v>4.652033898305084</v>
      </c>
      <c r="K476" s="28">
        <f t="shared" si="117"/>
        <v>21</v>
      </c>
      <c r="L476" s="26" t="s">
        <v>27</v>
      </c>
      <c r="M476" s="26" t="s">
        <v>166</v>
      </c>
      <c r="N476" s="26" t="s">
        <v>81</v>
      </c>
      <c r="O476" s="29">
        <v>0.24583333333333332</v>
      </c>
      <c r="P476" s="29">
        <v>0.24930555555555556</v>
      </c>
      <c r="Q476" s="30">
        <f t="shared" ca="1" si="118"/>
        <v>3.4722222222222376E-3</v>
      </c>
      <c r="R476" s="27"/>
      <c r="S476" s="47"/>
    </row>
    <row r="477" spans="1:20" ht="15" customHeight="1" x14ac:dyDescent="0.3">
      <c r="A477" s="68">
        <v>46252</v>
      </c>
      <c r="B477" s="32">
        <f t="shared" si="119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5</v>
      </c>
      <c r="H477" s="134">
        <f>IFERROR(IF($G477="","",$G477*$S$486/$G$486/Cadastro!$E$33),"")</f>
        <v>22.152542372881356</v>
      </c>
      <c r="I477" s="135">
        <f>IFERROR(IF($D477="","",VLOOKUP($D477,Cadastro!$C$4:$G$7,5,FALSE)),"")</f>
        <v>0.6</v>
      </c>
      <c r="J477" s="136">
        <f t="shared" si="116"/>
        <v>4.652033898305084</v>
      </c>
      <c r="K477" s="34">
        <f t="shared" si="117"/>
        <v>21</v>
      </c>
      <c r="L477" s="33" t="s">
        <v>25</v>
      </c>
      <c r="M477" s="33" t="s">
        <v>54</v>
      </c>
      <c r="N477" s="33" t="s">
        <v>138</v>
      </c>
      <c r="O477" s="29">
        <v>0.25833333333333336</v>
      </c>
      <c r="P477" s="29">
        <v>0.26805555555555555</v>
      </c>
      <c r="Q477" s="35">
        <f t="shared" ca="1" si="118"/>
        <v>9.7222222222221877E-3</v>
      </c>
      <c r="R477" s="27" t="s">
        <v>346</v>
      </c>
      <c r="S477" s="47"/>
    </row>
    <row r="478" spans="1:20" ht="15" customHeight="1" x14ac:dyDescent="0.3">
      <c r="A478" s="67">
        <v>46252</v>
      </c>
      <c r="B478" s="25">
        <f t="shared" si="119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10</v>
      </c>
      <c r="H478" s="134">
        <f>IFERROR(IF($G478="","",$G478*$S$486/$G$486/Cadastro!$E$33),"")</f>
        <v>44.305084745762713</v>
      </c>
      <c r="I478" s="135">
        <f>IFERROR(IF($D478="","",VLOOKUP($D478,Cadastro!$C$4:$G$7,5,FALSE)),"")</f>
        <v>0.6</v>
      </c>
      <c r="J478" s="136">
        <f t="shared" si="116"/>
        <v>9.3040677966101679</v>
      </c>
      <c r="K478" s="28">
        <f t="shared" si="117"/>
        <v>42</v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 x14ac:dyDescent="0.3">
      <c r="A479" s="68">
        <v>46252</v>
      </c>
      <c r="B479" s="32">
        <f t="shared" si="119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10</v>
      </c>
      <c r="H479" s="134">
        <f>IFERROR(IF($G479="","",$G479*$S$486/$G$486/Cadastro!$E$33),"")</f>
        <v>44.305084745762713</v>
      </c>
      <c r="I479" s="135">
        <f>IFERROR(IF($D479="","",VLOOKUP($D479,Cadastro!$C$4:$G$7,5,FALSE)),"")</f>
        <v>0.6</v>
      </c>
      <c r="J479" s="136">
        <f t="shared" si="116"/>
        <v>9.3040677966101679</v>
      </c>
      <c r="K479" s="34">
        <f t="shared" si="117"/>
        <v>42</v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 x14ac:dyDescent="0.3">
      <c r="A480" s="67">
        <v>46252</v>
      </c>
      <c r="B480" s="25">
        <f t="shared" si="119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3</v>
      </c>
      <c r="H480" s="134">
        <f>IFERROR(IF($G480="","",$G480*$S$486/$G$486/Cadastro!$E$33),"")</f>
        <v>13.291525423728814</v>
      </c>
      <c r="I480" s="135">
        <f>IFERROR(IF($D480="","",VLOOKUP($D480,Cadastro!$C$4:$G$7,5,FALSE)),"")</f>
        <v>0.6</v>
      </c>
      <c r="J480" s="136">
        <f t="shared" si="116"/>
        <v>2.791220338983051</v>
      </c>
      <c r="K480" s="28">
        <f t="shared" si="117"/>
        <v>12.600000000000001</v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 x14ac:dyDescent="0.3">
      <c r="A481" s="68">
        <v>46252</v>
      </c>
      <c r="B481" s="32">
        <f t="shared" si="119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>
        <v>6</v>
      </c>
      <c r="H481" s="134">
        <f>IFERROR(IF($G481="","",$G481*$S$486/$G$486/Cadastro!$E$33),"")</f>
        <v>26.583050847457628</v>
      </c>
      <c r="I481" s="135">
        <f>IFERROR(IF($D481="","",VLOOKUP($D481,Cadastro!$C$4:$G$7,5,FALSE)),"")</f>
        <v>0.6</v>
      </c>
      <c r="J481" s="136">
        <f t="shared" si="116"/>
        <v>5.582440677966102</v>
      </c>
      <c r="K481" s="34">
        <f t="shared" si="117"/>
        <v>25.200000000000003</v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 x14ac:dyDescent="0.3">
      <c r="A482" s="67">
        <v>46252</v>
      </c>
      <c r="B482" s="25">
        <f t="shared" si="119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>
        <v>3</v>
      </c>
      <c r="H482" s="134">
        <f>IFERROR(IF($G482="","",$G482*$S$486/$G$486/Cadastro!$E$33),"")</f>
        <v>13.291525423728814</v>
      </c>
      <c r="I482" s="135">
        <f>IFERROR(IF($D482="","",VLOOKUP($D482,Cadastro!$C$4:$G$7,5,FALSE)),"")</f>
        <v>0.6</v>
      </c>
      <c r="J482" s="136">
        <f t="shared" si="116"/>
        <v>2.791220338983051</v>
      </c>
      <c r="K482" s="28">
        <f t="shared" si="117"/>
        <v>12.600000000000001</v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 x14ac:dyDescent="0.3">
      <c r="A483" s="68">
        <v>46252</v>
      </c>
      <c r="B483" s="32">
        <f t="shared" si="119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>
        <v>3</v>
      </c>
      <c r="H483" s="134">
        <f>IFERROR(IF($G483="","",$G483*$S$486/$G$486/Cadastro!$E$33),"")</f>
        <v>13.291525423728814</v>
      </c>
      <c r="I483" s="135">
        <f>IFERROR(IF($D483="","",VLOOKUP($D483,Cadastro!$C$4:$G$7,5,FALSE)),"")</f>
        <v>0.6</v>
      </c>
      <c r="J483" s="136">
        <f t="shared" si="116"/>
        <v>2.791220338983051</v>
      </c>
      <c r="K483" s="34">
        <f t="shared" si="117"/>
        <v>12.600000000000001</v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 x14ac:dyDescent="0.3">
      <c r="A484" s="67">
        <v>46252</v>
      </c>
      <c r="B484" s="25">
        <f t="shared" si="119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>
        <v>7</v>
      </c>
      <c r="H484" s="134">
        <f>IFERROR(IF($G484="","",$G484*$S$486/$G$486/Cadastro!$E$33),"")</f>
        <v>31.013559322033899</v>
      </c>
      <c r="I484" s="135">
        <f>IFERROR(IF($D484="","",VLOOKUP($D484,Cadastro!$C$4:$G$7,5,FALSE)),"")</f>
        <v>0.6</v>
      </c>
      <c r="J484" s="136">
        <f t="shared" si="116"/>
        <v>6.5128474576271183</v>
      </c>
      <c r="K484" s="28">
        <f t="shared" si="117"/>
        <v>29.400000000000002</v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 x14ac:dyDescent="0.35">
      <c r="A485" s="68">
        <v>46252</v>
      </c>
      <c r="B485" s="32">
        <f t="shared" si="119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>
        <v>3</v>
      </c>
      <c r="H485" s="137">
        <f>IFERROR(IF($G485="","",$G485*$S$486/$G$486/Cadastro!$E$33),"")</f>
        <v>13.291525423728814</v>
      </c>
      <c r="I485" s="138">
        <f>IFERROR(IF($D485="","",VLOOKUP($D485,Cadastro!$C$4:$G$7,5,FALSE)),"")</f>
        <v>0.6</v>
      </c>
      <c r="J485" s="139">
        <f t="shared" si="116"/>
        <v>2.791220338983051</v>
      </c>
      <c r="K485" s="34">
        <f t="shared" si="117"/>
        <v>12.600000000000001</v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 x14ac:dyDescent="0.35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59</v>
      </c>
      <c r="H486" s="111">
        <f>IFERROR(SUM(H474:H485),"")</f>
        <v>261.39999999999998</v>
      </c>
      <c r="I486" s="115"/>
      <c r="J486" s="124">
        <f>IFERROR(SUM(J474:J485),"")</f>
        <v>54.894000000000005</v>
      </c>
      <c r="K486" s="36">
        <f>SUM(K474:K485)</f>
        <v>247.8</v>
      </c>
      <c r="L486" s="37"/>
      <c r="M486" s="37"/>
      <c r="N486" s="37"/>
      <c r="O486" s="37"/>
      <c r="P486" s="37"/>
      <c r="Q486" s="38">
        <f ca="1">IFERROR(SUM(Q474:Q485),"")</f>
        <v>9.791666666666668E-2</v>
      </c>
      <c r="R486" s="36" t="s">
        <v>248</v>
      </c>
      <c r="S486" s="39">
        <v>261400</v>
      </c>
      <c r="T486" s="119">
        <f>IFERROR(J486,"")</f>
        <v>54.894000000000005</v>
      </c>
    </row>
    <row r="487" spans="1:20" ht="18" customHeight="1" x14ac:dyDescent="0.3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125</v>
      </c>
      <c r="H487" s="112">
        <f>IFERROR(H473+H486,"")</f>
        <v>615.04</v>
      </c>
      <c r="I487" s="116"/>
      <c r="J487" s="125">
        <f>IFERROR(J473+J486,"")</f>
        <v>129.1584</v>
      </c>
      <c r="K487" s="40">
        <f>K473+K486</f>
        <v>525</v>
      </c>
      <c r="L487" s="41"/>
      <c r="M487" s="41"/>
      <c r="N487" s="41"/>
      <c r="O487" s="41"/>
      <c r="P487" s="41"/>
      <c r="Q487" s="42">
        <f ca="1">IFERROR(Q473+Q486,"")</f>
        <v>0.38958333333333328</v>
      </c>
      <c r="R487" s="40" t="s">
        <v>252</v>
      </c>
      <c r="S487" s="48">
        <f>IFERROR(S473+S486,"")</f>
        <v>615040</v>
      </c>
      <c r="T487" s="121">
        <f>IFERROR(J487,"")</f>
        <v>129.1584</v>
      </c>
    </row>
    <row r="488" spans="1:20" ht="15" customHeight="1" x14ac:dyDescent="0.3">
      <c r="A488" s="67">
        <v>46253</v>
      </c>
      <c r="B488" s="25">
        <v>0.33333333333333298</v>
      </c>
      <c r="C488" s="26" t="s">
        <v>52</v>
      </c>
      <c r="D488" s="59" t="s">
        <v>29</v>
      </c>
      <c r="E488" s="108" t="s">
        <v>262</v>
      </c>
      <c r="F488" s="140">
        <f>IFERROR(IF($D488="","",VLOOKUP($D488,Cadastro!$C$4:$E$7,3,FALSE)),"")</f>
        <v>0.35</v>
      </c>
      <c r="G488" s="105"/>
      <c r="H488" s="140" t="str">
        <f>IFERROR(IF($G488="","",$G488*$S$500/$G$500/Cadastro!$E$33),"")</f>
        <v/>
      </c>
      <c r="I488" s="141">
        <f>IFERROR(IF($D488="","",VLOOKUP($D488,Cadastro!$C$4:$G$7,5,FALSE)),"")</f>
        <v>0.6</v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 x14ac:dyDescent="0.3">
      <c r="A489" s="68">
        <v>46253</v>
      </c>
      <c r="B489" s="32">
        <f t="shared" ref="B489:B499" si="123">B488+TIME(0,60,0)</f>
        <v>0.37499999999999967</v>
      </c>
      <c r="C489" s="26" t="s">
        <v>52</v>
      </c>
      <c r="D489" s="59" t="s">
        <v>29</v>
      </c>
      <c r="E489" s="108" t="s">
        <v>262</v>
      </c>
      <c r="F489" s="134">
        <f>IFERROR(IF($D489="","",VLOOKUP($D489,Cadastro!$C$4:$E$7,3,FALSE)),"")</f>
        <v>0.35</v>
      </c>
      <c r="G489" s="105"/>
      <c r="H489" s="134" t="str">
        <f>IFERROR(IF($G489="","",$G489*$S$500/$G$500/Cadastro!$E$33),"")</f>
        <v/>
      </c>
      <c r="I489" s="135">
        <f>IFERROR(IF($D489="","",VLOOKUP($D489,Cadastro!$C$4:$G$7,5,FALSE)),"")</f>
        <v>0.6</v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 x14ac:dyDescent="0.3">
      <c r="A490" s="67">
        <v>46253</v>
      </c>
      <c r="B490" s="25">
        <f t="shared" si="123"/>
        <v>0.41666666666666635</v>
      </c>
      <c r="C490" s="26" t="s">
        <v>52</v>
      </c>
      <c r="D490" s="59" t="s">
        <v>29</v>
      </c>
      <c r="E490" s="108" t="s">
        <v>262</v>
      </c>
      <c r="F490" s="134">
        <f>IFERROR(IF($D490="","",VLOOKUP($D490,Cadastro!$C$4:$E$7,3,FALSE)),"")</f>
        <v>0.35</v>
      </c>
      <c r="G490" s="105"/>
      <c r="H490" s="134" t="str">
        <f>IFERROR(IF($G490="","",$G490*$S$500/$G$500/Cadastro!$E$33),"")</f>
        <v/>
      </c>
      <c r="I490" s="135">
        <f>IFERROR(IF($D490="","",VLOOKUP($D490,Cadastro!$C$4:$G$7,5,FALSE)),"")</f>
        <v>0.6</v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 x14ac:dyDescent="0.3">
      <c r="A491" s="68">
        <v>46253</v>
      </c>
      <c r="B491" s="32">
        <f t="shared" si="123"/>
        <v>0.45833333333333304</v>
      </c>
      <c r="C491" s="26" t="s">
        <v>52</v>
      </c>
      <c r="D491" s="59" t="s">
        <v>29</v>
      </c>
      <c r="E491" s="108" t="s">
        <v>262</v>
      </c>
      <c r="F491" s="134">
        <f>IFERROR(IF($D491="","",VLOOKUP($D491,Cadastro!$C$4:$E$7,3,FALSE)),"")</f>
        <v>0.35</v>
      </c>
      <c r="G491" s="105"/>
      <c r="H491" s="134" t="str">
        <f>IFERROR(IF($G491="","",$G491*$S$500/$G$500/Cadastro!$E$33),"")</f>
        <v/>
      </c>
      <c r="I491" s="135">
        <f>IFERROR(IF($D491="","",VLOOKUP($D491,Cadastro!$C$4:$G$7,5,FALSE)),"")</f>
        <v>0.6</v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 x14ac:dyDescent="0.3">
      <c r="A492" s="67">
        <v>46253</v>
      </c>
      <c r="B492" s="25">
        <f t="shared" si="123"/>
        <v>0.49999999999999972</v>
      </c>
      <c r="C492" s="26" t="s">
        <v>52</v>
      </c>
      <c r="D492" s="59" t="s">
        <v>29</v>
      </c>
      <c r="E492" s="108" t="s">
        <v>262</v>
      </c>
      <c r="F492" s="134">
        <f>IFERROR(IF($D492="","",VLOOKUP($D492,Cadastro!$C$4:$E$7,3,FALSE)),"")</f>
        <v>0.35</v>
      </c>
      <c r="G492" s="105"/>
      <c r="H492" s="134" t="str">
        <f>IFERROR(IF($G492="","",$G492*$S$500/$G$500/Cadastro!$E$33),"")</f>
        <v/>
      </c>
      <c r="I492" s="135">
        <f>IFERROR(IF($D492="","",VLOOKUP($D492,Cadastro!$C$4:$G$7,5,FALSE)),"")</f>
        <v>0.6</v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 x14ac:dyDescent="0.3">
      <c r="A493" s="68">
        <v>46253</v>
      </c>
      <c r="B493" s="32">
        <f t="shared" si="123"/>
        <v>0.54166666666666641</v>
      </c>
      <c r="C493" s="26" t="s">
        <v>52</v>
      </c>
      <c r="D493" s="59" t="s">
        <v>29</v>
      </c>
      <c r="E493" s="158" t="s">
        <v>262</v>
      </c>
      <c r="F493" s="134">
        <f>IFERROR(IF($D493="","",VLOOKUP($D493,Cadastro!$C$4:$E$7,3,FALSE)),"")</f>
        <v>0.35</v>
      </c>
      <c r="G493" s="105"/>
      <c r="H493" s="134" t="str">
        <f>IFERROR(IF($G493="","",$G493*$S$500/$G$500/Cadastro!$E$33),"")</f>
        <v/>
      </c>
      <c r="I493" s="135">
        <f>IFERROR(IF($D493="","",VLOOKUP($D493,Cadastro!$C$4:$G$7,5,FALSE)),"")</f>
        <v>0.6</v>
      </c>
      <c r="J493" s="136" t="str">
        <f t="shared" si="120"/>
        <v/>
      </c>
      <c r="K493" s="34" t="str">
        <f>IF(G493="","",IF(E494="PC 17",G493*4.2,IF(E494="PC 19",G493*5,IF(E494="CB",G493*24,""))))</f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 x14ac:dyDescent="0.3">
      <c r="A494" s="67">
        <v>46253</v>
      </c>
      <c r="B494" s="25">
        <f t="shared" si="123"/>
        <v>0.58333333333333304</v>
      </c>
      <c r="C494" s="26" t="s">
        <v>52</v>
      </c>
      <c r="D494" s="59" t="s">
        <v>29</v>
      </c>
      <c r="E494" s="108" t="s">
        <v>262</v>
      </c>
      <c r="F494" s="134">
        <f>IFERROR(IF($D494="","",VLOOKUP($D494,Cadastro!$C$4:$E$7,3,FALSE)),"")</f>
        <v>0.35</v>
      </c>
      <c r="G494" s="105"/>
      <c r="H494" s="134" t="str">
        <f>IFERROR(IF($G494="","",$G494*$S$500/$G$500/Cadastro!$E$33),"")</f>
        <v/>
      </c>
      <c r="I494" s="135">
        <f>IFERROR(IF($D494="","",VLOOKUP($D494,Cadastro!$C$4:$G$7,5,FALSE)),"")</f>
        <v>0.6</v>
      </c>
      <c r="J494" s="136" t="str">
        <f t="shared" si="120"/>
        <v/>
      </c>
      <c r="K494" s="28" t="str">
        <f>IF(G494="","",IF(#REF!="PC 17",G494*4.2,IF(#REF!="PC 19",G494*5,IF(#REF!="CB",G494*24,""))))</f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 x14ac:dyDescent="0.3">
      <c r="A495" s="68">
        <v>46253</v>
      </c>
      <c r="B495" s="32">
        <f t="shared" si="123"/>
        <v>0.62499999999999967</v>
      </c>
      <c r="C495" s="26" t="s">
        <v>52</v>
      </c>
      <c r="D495" s="59" t="s">
        <v>29</v>
      </c>
      <c r="E495" s="108" t="s">
        <v>262</v>
      </c>
      <c r="F495" s="134">
        <f>IFERROR(IF($D495="","",VLOOKUP($D495,Cadastro!$C$4:$E$7,3,FALSE)),"")</f>
        <v>0.35</v>
      </c>
      <c r="G495" s="105"/>
      <c r="H495" s="134" t="str">
        <f>IFERROR(IF($G495="","",$G495*$S$500/$G$500/Cadastro!$E$33),"")</f>
        <v/>
      </c>
      <c r="I495" s="135">
        <f>IFERROR(IF($D495="","",VLOOKUP($D495,Cadastro!$C$4:$G$7,5,FALSE)),"")</f>
        <v>0.6</v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 x14ac:dyDescent="0.3">
      <c r="A496" s="67">
        <v>46253</v>
      </c>
      <c r="B496" s="25">
        <f t="shared" si="123"/>
        <v>0.6666666666666663</v>
      </c>
      <c r="C496" s="26" t="s">
        <v>52</v>
      </c>
      <c r="D496" s="59" t="s">
        <v>29</v>
      </c>
      <c r="E496" s="108" t="s">
        <v>262</v>
      </c>
      <c r="F496" s="134">
        <f>IFERROR(IF($D496="","",VLOOKUP($D496,Cadastro!$C$4:$E$7,3,FALSE)),"")</f>
        <v>0.35</v>
      </c>
      <c r="G496" s="105"/>
      <c r="H496" s="134" t="str">
        <f>IFERROR(IF($G496="","",$G496*$S$500/$G$500/Cadastro!$E$33),"")</f>
        <v/>
      </c>
      <c r="I496" s="135">
        <f>IFERROR(IF($D496="","",VLOOKUP($D496,Cadastro!$C$4:$G$7,5,FALSE)),"")</f>
        <v>0.6</v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 x14ac:dyDescent="0.3">
      <c r="A497" s="68">
        <v>46253</v>
      </c>
      <c r="B497" s="32">
        <f t="shared" si="123"/>
        <v>0.70833333333333293</v>
      </c>
      <c r="C497" s="26" t="s">
        <v>52</v>
      </c>
      <c r="D497" s="59" t="s">
        <v>29</v>
      </c>
      <c r="E497" s="108" t="s">
        <v>262</v>
      </c>
      <c r="F497" s="134">
        <f>IFERROR(IF($D497="","",VLOOKUP($D497,Cadastro!$C$4:$E$7,3,FALSE)),"")</f>
        <v>0.35</v>
      </c>
      <c r="G497" s="105"/>
      <c r="H497" s="134" t="str">
        <f>IFERROR(IF($G497="","",$G497*$S$500/$G$500/Cadastro!$E$33),"")</f>
        <v/>
      </c>
      <c r="I497" s="135">
        <f>IFERROR(IF($D497="","",VLOOKUP($D497,Cadastro!$C$4:$G$7,5,FALSE)),"")</f>
        <v>0.6</v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 x14ac:dyDescent="0.3">
      <c r="A498" s="67">
        <v>46253</v>
      </c>
      <c r="B498" s="25">
        <f t="shared" si="123"/>
        <v>0.74999999999999956</v>
      </c>
      <c r="C498" s="26" t="s">
        <v>52</v>
      </c>
      <c r="D498" s="59" t="s">
        <v>29</v>
      </c>
      <c r="E498" s="108" t="s">
        <v>262</v>
      </c>
      <c r="F498" s="134">
        <f>IFERROR(IF($D498="","",VLOOKUP($D498,Cadastro!$C$4:$E$7,3,FALSE)),"")</f>
        <v>0.35</v>
      </c>
      <c r="G498" s="105"/>
      <c r="H498" s="134" t="str">
        <f>IFERROR(IF($G498="","",$G498*$S$500/$G$500/Cadastro!$E$33),"")</f>
        <v/>
      </c>
      <c r="I498" s="135">
        <f>IFERROR(IF($D498="","",VLOOKUP($D498,Cadastro!$C$4:$G$7,5,FALSE)),"")</f>
        <v>0.6</v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 x14ac:dyDescent="0.35">
      <c r="A499" s="68">
        <v>46253</v>
      </c>
      <c r="B499" s="32">
        <f t="shared" si="123"/>
        <v>0.79166666666666619</v>
      </c>
      <c r="C499" s="26" t="s">
        <v>52</v>
      </c>
      <c r="D499" s="59" t="s">
        <v>29</v>
      </c>
      <c r="E499" s="108" t="s">
        <v>262</v>
      </c>
      <c r="F499" s="137">
        <f>IFERROR(IF($D499="","",VLOOKUP($D499,Cadastro!$C$4:$E$7,3,FALSE)),"")</f>
        <v>0.35</v>
      </c>
      <c r="G499" s="105"/>
      <c r="H499" s="137" t="str">
        <f>IFERROR(IF($G499="","",$G499*$S$500/$G$500/Cadastro!$E$33),"")</f>
        <v/>
      </c>
      <c r="I499" s="138">
        <f>IFERROR(IF($D499="","",VLOOKUP($D499,Cadastro!$C$4:$G$7,5,FALSE)),"")</f>
        <v>0.6</v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 x14ac:dyDescent="0.35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 x14ac:dyDescent="0.3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 x14ac:dyDescent="0.3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 x14ac:dyDescent="0.3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 x14ac:dyDescent="0.3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 x14ac:dyDescent="0.3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 x14ac:dyDescent="0.3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 x14ac:dyDescent="0.3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 x14ac:dyDescent="0.3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 x14ac:dyDescent="0.3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 x14ac:dyDescent="0.3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 x14ac:dyDescent="0.3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 x14ac:dyDescent="0.35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 x14ac:dyDescent="0.35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 x14ac:dyDescent="0.3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 x14ac:dyDescent="0.3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 x14ac:dyDescent="0.3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 x14ac:dyDescent="0.3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 x14ac:dyDescent="0.3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 x14ac:dyDescent="0.3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 x14ac:dyDescent="0.3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 x14ac:dyDescent="0.3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 x14ac:dyDescent="0.3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 x14ac:dyDescent="0.3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 x14ac:dyDescent="0.3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 x14ac:dyDescent="0.3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 x14ac:dyDescent="0.35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 x14ac:dyDescent="0.35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 x14ac:dyDescent="0.3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 x14ac:dyDescent="0.3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 x14ac:dyDescent="0.3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 x14ac:dyDescent="0.3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 x14ac:dyDescent="0.3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 x14ac:dyDescent="0.3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 x14ac:dyDescent="0.3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 x14ac:dyDescent="0.3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 x14ac:dyDescent="0.3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 x14ac:dyDescent="0.3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 x14ac:dyDescent="0.3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 x14ac:dyDescent="0.35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 x14ac:dyDescent="0.35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 x14ac:dyDescent="0.3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 x14ac:dyDescent="0.3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 x14ac:dyDescent="0.3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 x14ac:dyDescent="0.3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 x14ac:dyDescent="0.3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 x14ac:dyDescent="0.3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 x14ac:dyDescent="0.3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 x14ac:dyDescent="0.3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 x14ac:dyDescent="0.3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 x14ac:dyDescent="0.3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 x14ac:dyDescent="0.3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 x14ac:dyDescent="0.3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 x14ac:dyDescent="0.35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 x14ac:dyDescent="0.35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 x14ac:dyDescent="0.3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 x14ac:dyDescent="0.3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 x14ac:dyDescent="0.3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 x14ac:dyDescent="0.3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 x14ac:dyDescent="0.3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 x14ac:dyDescent="0.3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 x14ac:dyDescent="0.3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 x14ac:dyDescent="0.3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 x14ac:dyDescent="0.3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 x14ac:dyDescent="0.3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 x14ac:dyDescent="0.3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 x14ac:dyDescent="0.35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 x14ac:dyDescent="0.35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 x14ac:dyDescent="0.3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 x14ac:dyDescent="0.3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 x14ac:dyDescent="0.3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 x14ac:dyDescent="0.3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 x14ac:dyDescent="0.3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 x14ac:dyDescent="0.3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 x14ac:dyDescent="0.3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 x14ac:dyDescent="0.3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 x14ac:dyDescent="0.3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 x14ac:dyDescent="0.3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 x14ac:dyDescent="0.3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 x14ac:dyDescent="0.3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 x14ac:dyDescent="0.35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 x14ac:dyDescent="0.35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 x14ac:dyDescent="0.3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 x14ac:dyDescent="0.3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 x14ac:dyDescent="0.3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 x14ac:dyDescent="0.3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 x14ac:dyDescent="0.3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 x14ac:dyDescent="0.3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 x14ac:dyDescent="0.3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 x14ac:dyDescent="0.3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 x14ac:dyDescent="0.3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 x14ac:dyDescent="0.3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 x14ac:dyDescent="0.3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 x14ac:dyDescent="0.35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 x14ac:dyDescent="0.35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 x14ac:dyDescent="0.3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 x14ac:dyDescent="0.3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 x14ac:dyDescent="0.3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 x14ac:dyDescent="0.3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 x14ac:dyDescent="0.3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 x14ac:dyDescent="0.3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 x14ac:dyDescent="0.3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 x14ac:dyDescent="0.3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 x14ac:dyDescent="0.3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 x14ac:dyDescent="0.3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 x14ac:dyDescent="0.3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 x14ac:dyDescent="0.3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 x14ac:dyDescent="0.35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 x14ac:dyDescent="0.35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 x14ac:dyDescent="0.3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 x14ac:dyDescent="0.3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 x14ac:dyDescent="0.3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 x14ac:dyDescent="0.3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 x14ac:dyDescent="0.3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 x14ac:dyDescent="0.3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 x14ac:dyDescent="0.3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 x14ac:dyDescent="0.3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 x14ac:dyDescent="0.3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 x14ac:dyDescent="0.3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 x14ac:dyDescent="0.3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 x14ac:dyDescent="0.35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 x14ac:dyDescent="0.35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 x14ac:dyDescent="0.3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 x14ac:dyDescent="0.3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 x14ac:dyDescent="0.3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 x14ac:dyDescent="0.3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 x14ac:dyDescent="0.3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 x14ac:dyDescent="0.3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 x14ac:dyDescent="0.3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 x14ac:dyDescent="0.3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 x14ac:dyDescent="0.3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 x14ac:dyDescent="0.3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 x14ac:dyDescent="0.3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 x14ac:dyDescent="0.3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 x14ac:dyDescent="0.35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 x14ac:dyDescent="0.35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 x14ac:dyDescent="0.3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 x14ac:dyDescent="0.3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 x14ac:dyDescent="0.3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 x14ac:dyDescent="0.3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 x14ac:dyDescent="0.3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 x14ac:dyDescent="0.3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 x14ac:dyDescent="0.3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 x14ac:dyDescent="0.3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 x14ac:dyDescent="0.3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 x14ac:dyDescent="0.3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 x14ac:dyDescent="0.3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 x14ac:dyDescent="0.35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 x14ac:dyDescent="0.35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 x14ac:dyDescent="0.3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 x14ac:dyDescent="0.3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 x14ac:dyDescent="0.3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 x14ac:dyDescent="0.3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 x14ac:dyDescent="0.3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 x14ac:dyDescent="0.3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 x14ac:dyDescent="0.3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 x14ac:dyDescent="0.3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 x14ac:dyDescent="0.3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 x14ac:dyDescent="0.3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 x14ac:dyDescent="0.3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 x14ac:dyDescent="0.3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 x14ac:dyDescent="0.35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 x14ac:dyDescent="0.35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 x14ac:dyDescent="0.3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 x14ac:dyDescent="0.3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 x14ac:dyDescent="0.3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 x14ac:dyDescent="0.3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 x14ac:dyDescent="0.3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 x14ac:dyDescent="0.3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 x14ac:dyDescent="0.3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 x14ac:dyDescent="0.3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 x14ac:dyDescent="0.3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 x14ac:dyDescent="0.3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 x14ac:dyDescent="0.3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 x14ac:dyDescent="0.35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 x14ac:dyDescent="0.35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 x14ac:dyDescent="0.3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 x14ac:dyDescent="0.3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 x14ac:dyDescent="0.3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 x14ac:dyDescent="0.3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 x14ac:dyDescent="0.3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 x14ac:dyDescent="0.3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 x14ac:dyDescent="0.3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 x14ac:dyDescent="0.3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 x14ac:dyDescent="0.3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 x14ac:dyDescent="0.3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 x14ac:dyDescent="0.3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 x14ac:dyDescent="0.3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 x14ac:dyDescent="0.35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 x14ac:dyDescent="0.35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 x14ac:dyDescent="0.3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 x14ac:dyDescent="0.3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 x14ac:dyDescent="0.3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 x14ac:dyDescent="0.3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 x14ac:dyDescent="0.3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 x14ac:dyDescent="0.3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 x14ac:dyDescent="0.3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 x14ac:dyDescent="0.3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 x14ac:dyDescent="0.3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 x14ac:dyDescent="0.3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 x14ac:dyDescent="0.3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 x14ac:dyDescent="0.35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 x14ac:dyDescent="0.35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 x14ac:dyDescent="0.3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 x14ac:dyDescent="0.3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 x14ac:dyDescent="0.3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 x14ac:dyDescent="0.3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 x14ac:dyDescent="0.3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 x14ac:dyDescent="0.3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 x14ac:dyDescent="0.3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 x14ac:dyDescent="0.3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 x14ac:dyDescent="0.3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 x14ac:dyDescent="0.3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 x14ac:dyDescent="0.3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 x14ac:dyDescent="0.3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 x14ac:dyDescent="0.35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 x14ac:dyDescent="0.35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 x14ac:dyDescent="0.3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 x14ac:dyDescent="0.3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 x14ac:dyDescent="0.3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 x14ac:dyDescent="0.3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 x14ac:dyDescent="0.3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 x14ac:dyDescent="0.3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 x14ac:dyDescent="0.3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 x14ac:dyDescent="0.3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 x14ac:dyDescent="0.3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 x14ac:dyDescent="0.3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 x14ac:dyDescent="0.3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 x14ac:dyDescent="0.35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 x14ac:dyDescent="0.35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 x14ac:dyDescent="0.3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 x14ac:dyDescent="0.3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 x14ac:dyDescent="0.3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 x14ac:dyDescent="0.3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 x14ac:dyDescent="0.3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 x14ac:dyDescent="0.3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 x14ac:dyDescent="0.3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 x14ac:dyDescent="0.3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 x14ac:dyDescent="0.3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 x14ac:dyDescent="0.3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 x14ac:dyDescent="0.3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 x14ac:dyDescent="0.3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 x14ac:dyDescent="0.35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 x14ac:dyDescent="0.35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 x14ac:dyDescent="0.3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 x14ac:dyDescent="0.3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 x14ac:dyDescent="0.3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 x14ac:dyDescent="0.3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 x14ac:dyDescent="0.3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 x14ac:dyDescent="0.3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 x14ac:dyDescent="0.3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 x14ac:dyDescent="0.3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 x14ac:dyDescent="0.3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 x14ac:dyDescent="0.3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 x14ac:dyDescent="0.3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 x14ac:dyDescent="0.35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 x14ac:dyDescent="0.35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 x14ac:dyDescent="0.3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 x14ac:dyDescent="0.3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 x14ac:dyDescent="0.3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 x14ac:dyDescent="0.3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 x14ac:dyDescent="0.3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 x14ac:dyDescent="0.3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 x14ac:dyDescent="0.3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 x14ac:dyDescent="0.3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 x14ac:dyDescent="0.3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 x14ac:dyDescent="0.3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 x14ac:dyDescent="0.3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 x14ac:dyDescent="0.3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 x14ac:dyDescent="0.35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 x14ac:dyDescent="0.35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 x14ac:dyDescent="0.3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 x14ac:dyDescent="0.3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 x14ac:dyDescent="0.3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 x14ac:dyDescent="0.3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 x14ac:dyDescent="0.3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 x14ac:dyDescent="0.3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 x14ac:dyDescent="0.3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 x14ac:dyDescent="0.3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 x14ac:dyDescent="0.3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 x14ac:dyDescent="0.3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 x14ac:dyDescent="0.3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 x14ac:dyDescent="0.35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 x14ac:dyDescent="0.35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 x14ac:dyDescent="0.3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 x14ac:dyDescent="0.3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 x14ac:dyDescent="0.3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 x14ac:dyDescent="0.3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 x14ac:dyDescent="0.3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 x14ac:dyDescent="0.3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 x14ac:dyDescent="0.3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 x14ac:dyDescent="0.3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 x14ac:dyDescent="0.3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 x14ac:dyDescent="0.3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 x14ac:dyDescent="0.3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 x14ac:dyDescent="0.3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 x14ac:dyDescent="0.35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 x14ac:dyDescent="0.35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 x14ac:dyDescent="0.3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 x14ac:dyDescent="0.3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 x14ac:dyDescent="0.3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 x14ac:dyDescent="0.3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 x14ac:dyDescent="0.3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 x14ac:dyDescent="0.3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 x14ac:dyDescent="0.3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 x14ac:dyDescent="0.3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 x14ac:dyDescent="0.3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 x14ac:dyDescent="0.3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 x14ac:dyDescent="0.3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 x14ac:dyDescent="0.35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 x14ac:dyDescent="0.35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 x14ac:dyDescent="0.3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 x14ac:dyDescent="0.3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 x14ac:dyDescent="0.3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 x14ac:dyDescent="0.3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 x14ac:dyDescent="0.3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 x14ac:dyDescent="0.3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 x14ac:dyDescent="0.3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 x14ac:dyDescent="0.3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 x14ac:dyDescent="0.3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 x14ac:dyDescent="0.3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 x14ac:dyDescent="0.3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 x14ac:dyDescent="0.3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 x14ac:dyDescent="0.35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 x14ac:dyDescent="0.35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 x14ac:dyDescent="0.3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 x14ac:dyDescent="0.3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 x14ac:dyDescent="0.3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 x14ac:dyDescent="0.3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 x14ac:dyDescent="0.3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 x14ac:dyDescent="0.3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 x14ac:dyDescent="0.3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 x14ac:dyDescent="0.3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 x14ac:dyDescent="0.3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 x14ac:dyDescent="0.3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 x14ac:dyDescent="0.3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 x14ac:dyDescent="0.35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 x14ac:dyDescent="0.35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 x14ac:dyDescent="0.3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29:F256 E260:E261 F259:F261 E263:F380 E494 E382:F492 E495:F514 F493:F494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72" activePane="bottomLeft" state="frozen"/>
      <selection pane="bottomLeft" activeCell="G486" sqref="G486"/>
    </sheetView>
  </sheetViews>
  <sheetFormatPr defaultColWidth="8.5546875" defaultRowHeight="14.4" x14ac:dyDescent="0.3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8671875" style="57" hidden="1" customWidth="1"/>
    <col min="7" max="7" width="13" style="57" customWidth="1"/>
    <col min="8" max="8" width="15.88671875" style="57" hidden="1" customWidth="1"/>
    <col min="9" max="10" width="13.88671875" style="57" hidden="1" customWidth="1"/>
    <col min="11" max="11" width="14" style="57" customWidth="1"/>
    <col min="12" max="12" width="36" style="57" customWidth="1"/>
    <col min="13" max="13" width="25.109375" style="57" customWidth="1"/>
    <col min="14" max="14" width="42.109375" style="57" customWidth="1"/>
    <col min="15" max="15" width="18.44140625" style="57" customWidth="1"/>
    <col min="16" max="16" width="14" style="58" customWidth="1"/>
    <col min="17" max="17" width="14" style="57" customWidth="1"/>
    <col min="18" max="18" width="64.88671875" style="57" customWidth="1"/>
    <col min="19" max="19" width="25.5546875" customWidth="1"/>
    <col min="20" max="20" width="14.88671875" hidden="1" customWidth="1"/>
  </cols>
  <sheetData>
    <row r="1" spans="1:20" ht="37.5" customHeight="1" x14ac:dyDescent="0.3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 x14ac:dyDescent="0.3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 x14ac:dyDescent="0.3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 x14ac:dyDescent="0.3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 x14ac:dyDescent="0.3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 x14ac:dyDescent="0.3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 x14ac:dyDescent="0.3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 x14ac:dyDescent="0.3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 x14ac:dyDescent="0.3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 x14ac:dyDescent="0.3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 x14ac:dyDescent="0.3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 x14ac:dyDescent="0.3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 x14ac:dyDescent="0.35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 x14ac:dyDescent="0.35">
      <c r="A14" s="170" t="s">
        <v>247</v>
      </c>
      <c r="B14" s="171"/>
      <c r="C14" s="171"/>
      <c r="D14" s="171"/>
      <c r="E14" s="17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248</v>
      </c>
      <c r="S14" s="39">
        <v>561420</v>
      </c>
      <c r="T14" s="119">
        <f>IFERROR(J14,"")</f>
        <v>0</v>
      </c>
    </row>
    <row r="15" spans="1:20" ht="15" customHeight="1" x14ac:dyDescent="0.3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262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 x14ac:dyDescent="0.3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347</v>
      </c>
      <c r="S16" s="60"/>
    </row>
    <row r="17" spans="1:20" ht="15" customHeight="1" x14ac:dyDescent="0.3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289</v>
      </c>
      <c r="S17" s="60"/>
    </row>
    <row r="18" spans="1:20" ht="15" customHeight="1" x14ac:dyDescent="0.3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324</v>
      </c>
      <c r="S18" s="60"/>
    </row>
    <row r="19" spans="1:20" ht="15" customHeight="1" x14ac:dyDescent="0.3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348</v>
      </c>
      <c r="S19" s="60"/>
    </row>
    <row r="20" spans="1:20" ht="15" customHeight="1" x14ac:dyDescent="0.3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 x14ac:dyDescent="0.3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 x14ac:dyDescent="0.3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349</v>
      </c>
      <c r="S22" s="60"/>
    </row>
    <row r="23" spans="1:20" ht="15" customHeight="1" x14ac:dyDescent="0.3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 x14ac:dyDescent="0.3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 x14ac:dyDescent="0.3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262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 x14ac:dyDescent="0.35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262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 x14ac:dyDescent="0.35">
      <c r="A27" s="170" t="s">
        <v>250</v>
      </c>
      <c r="B27" s="171"/>
      <c r="C27" s="171"/>
      <c r="D27" s="171"/>
      <c r="E27" s="17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248</v>
      </c>
      <c r="S27" s="39">
        <v>491520</v>
      </c>
      <c r="T27" s="119">
        <f>IFERROR(J27,"")</f>
        <v>0</v>
      </c>
    </row>
    <row r="28" spans="1:20" ht="18" customHeight="1" x14ac:dyDescent="0.3">
      <c r="A28" s="167" t="s">
        <v>251</v>
      </c>
      <c r="B28" s="168"/>
      <c r="C28" s="168"/>
      <c r="D28" s="168"/>
      <c r="E28" s="168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252</v>
      </c>
      <c r="S28" s="48">
        <f>IFERROR(S14+S27,"")</f>
        <v>1052940</v>
      </c>
      <c r="T28" s="121">
        <f>IFERROR(J28,"")</f>
        <v>0</v>
      </c>
    </row>
    <row r="29" spans="1:20" ht="15" customHeight="1" x14ac:dyDescent="0.3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262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 x14ac:dyDescent="0.3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 x14ac:dyDescent="0.3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262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 x14ac:dyDescent="0.3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262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 x14ac:dyDescent="0.3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262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 x14ac:dyDescent="0.3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262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 x14ac:dyDescent="0.3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262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 x14ac:dyDescent="0.3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262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 x14ac:dyDescent="0.3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262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 x14ac:dyDescent="0.3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262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 x14ac:dyDescent="0.3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262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 x14ac:dyDescent="0.35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 x14ac:dyDescent="0.35">
      <c r="A41" s="170" t="s">
        <v>247</v>
      </c>
      <c r="B41" s="171"/>
      <c r="C41" s="171"/>
      <c r="D41" s="171"/>
      <c r="E41" s="17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248</v>
      </c>
      <c r="S41" s="39">
        <v>766800</v>
      </c>
      <c r="T41" s="119">
        <f>IFERROR(J41,"")</f>
        <v>0</v>
      </c>
    </row>
    <row r="42" spans="1:20" ht="15" customHeight="1" x14ac:dyDescent="0.3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 x14ac:dyDescent="0.3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 x14ac:dyDescent="0.3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 x14ac:dyDescent="0.3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350</v>
      </c>
      <c r="S45" s="60"/>
    </row>
    <row r="46" spans="1:20" ht="15" customHeight="1" x14ac:dyDescent="0.3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 x14ac:dyDescent="0.3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 x14ac:dyDescent="0.3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 x14ac:dyDescent="0.3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 x14ac:dyDescent="0.3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 x14ac:dyDescent="0.3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 x14ac:dyDescent="0.3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 x14ac:dyDescent="0.35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 x14ac:dyDescent="0.35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248</v>
      </c>
      <c r="S54" s="39">
        <v>352430</v>
      </c>
      <c r="T54" s="119">
        <f>IFERROR(J54,"")</f>
        <v>0</v>
      </c>
    </row>
    <row r="55" spans="1:20" ht="18" customHeight="1" x14ac:dyDescent="0.3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252</v>
      </c>
      <c r="S55" s="48">
        <f>IFERROR(S41+S54,"")</f>
        <v>1119230</v>
      </c>
      <c r="T55" s="121">
        <f>IFERROR(J55,"")</f>
        <v>0</v>
      </c>
    </row>
    <row r="56" spans="1:20" ht="15" customHeight="1" x14ac:dyDescent="0.3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 x14ac:dyDescent="0.3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 x14ac:dyDescent="0.3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216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 x14ac:dyDescent="0.3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351</v>
      </c>
      <c r="S59" s="60"/>
    </row>
    <row r="60" spans="1:20" ht="15" customHeight="1" x14ac:dyDescent="0.3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352</v>
      </c>
      <c r="S60" s="60"/>
    </row>
    <row r="61" spans="1:20" ht="15" customHeight="1" x14ac:dyDescent="0.3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 x14ac:dyDescent="0.3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 x14ac:dyDescent="0.3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 x14ac:dyDescent="0.3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 x14ac:dyDescent="0.3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 x14ac:dyDescent="0.3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 x14ac:dyDescent="0.35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 x14ac:dyDescent="0.35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248</v>
      </c>
      <c r="S68" s="39">
        <v>477090</v>
      </c>
      <c r="T68" s="119">
        <f>IFERROR(J68,"")</f>
        <v>0</v>
      </c>
    </row>
    <row r="69" spans="1:20" ht="15" customHeight="1" x14ac:dyDescent="0.3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228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353</v>
      </c>
      <c r="S69" s="60"/>
    </row>
    <row r="70" spans="1:20" ht="15" customHeight="1" x14ac:dyDescent="0.3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 x14ac:dyDescent="0.3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 x14ac:dyDescent="0.3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324</v>
      </c>
      <c r="S72" s="60"/>
    </row>
    <row r="73" spans="1:20" ht="15" customHeight="1" x14ac:dyDescent="0.3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 x14ac:dyDescent="0.3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216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 x14ac:dyDescent="0.3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 x14ac:dyDescent="0.3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 x14ac:dyDescent="0.3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 x14ac:dyDescent="0.3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 x14ac:dyDescent="0.3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 x14ac:dyDescent="0.35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 x14ac:dyDescent="0.35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248</v>
      </c>
      <c r="S81" s="39">
        <v>612410</v>
      </c>
      <c r="T81" s="119">
        <f>IFERROR(J81,"")</f>
        <v>0</v>
      </c>
    </row>
    <row r="82" spans="1:20" ht="18" customHeight="1" x14ac:dyDescent="0.3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252</v>
      </c>
      <c r="S82" s="48">
        <f>IFERROR(S68+S81,"")</f>
        <v>1089500</v>
      </c>
      <c r="T82" s="121">
        <f>IFERROR(J82,"")</f>
        <v>0</v>
      </c>
    </row>
    <row r="83" spans="1:20" ht="15" customHeight="1" x14ac:dyDescent="0.3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 x14ac:dyDescent="0.3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 x14ac:dyDescent="0.3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 x14ac:dyDescent="0.3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 x14ac:dyDescent="0.3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 x14ac:dyDescent="0.3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 x14ac:dyDescent="0.3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 x14ac:dyDescent="0.3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 x14ac:dyDescent="0.3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 x14ac:dyDescent="0.3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 x14ac:dyDescent="0.3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 x14ac:dyDescent="0.35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 x14ac:dyDescent="0.35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248</v>
      </c>
      <c r="S95" s="39">
        <v>786700</v>
      </c>
      <c r="T95" s="119">
        <f>IFERROR(J95,"")</f>
        <v>0</v>
      </c>
    </row>
    <row r="96" spans="1:20" ht="15" customHeight="1" x14ac:dyDescent="0.3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 x14ac:dyDescent="0.3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324</v>
      </c>
      <c r="S97" s="60"/>
    </row>
    <row r="98" spans="1:20" ht="15" customHeight="1" x14ac:dyDescent="0.3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 x14ac:dyDescent="0.3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 x14ac:dyDescent="0.3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 x14ac:dyDescent="0.3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 x14ac:dyDescent="0.3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 x14ac:dyDescent="0.3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 x14ac:dyDescent="0.3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 x14ac:dyDescent="0.3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 x14ac:dyDescent="0.3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 x14ac:dyDescent="0.35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 x14ac:dyDescent="0.35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248</v>
      </c>
      <c r="S108" s="39">
        <v>956070</v>
      </c>
      <c r="T108" s="119">
        <f>IFERROR(J108,"")</f>
        <v>0</v>
      </c>
    </row>
    <row r="109" spans="1:20" ht="18" customHeight="1" x14ac:dyDescent="0.3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252</v>
      </c>
      <c r="S109" s="48">
        <f>IFERROR(S95+S108,"")</f>
        <v>1742770</v>
      </c>
      <c r="T109" s="121">
        <f>IFERROR(J109,"")</f>
        <v>0</v>
      </c>
    </row>
    <row r="110" spans="1:20" ht="15" customHeight="1" x14ac:dyDescent="0.3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 x14ac:dyDescent="0.3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228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 x14ac:dyDescent="0.3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233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 x14ac:dyDescent="0.3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233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 x14ac:dyDescent="0.3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354</v>
      </c>
      <c r="S114" s="60"/>
    </row>
    <row r="115" spans="1:20" ht="15" customHeight="1" x14ac:dyDescent="0.3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 x14ac:dyDescent="0.3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 x14ac:dyDescent="0.3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 x14ac:dyDescent="0.3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 x14ac:dyDescent="0.3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 x14ac:dyDescent="0.3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 x14ac:dyDescent="0.35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 x14ac:dyDescent="0.35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248</v>
      </c>
      <c r="S122" s="39">
        <v>811580</v>
      </c>
      <c r="T122" s="119">
        <f>IFERROR(J122,"")</f>
        <v>0</v>
      </c>
    </row>
    <row r="123" spans="1:20" ht="15" customHeight="1" x14ac:dyDescent="0.3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216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 x14ac:dyDescent="0.3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355</v>
      </c>
      <c r="S124" s="60"/>
    </row>
    <row r="125" spans="1:20" ht="15" customHeight="1" x14ac:dyDescent="0.3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 x14ac:dyDescent="0.3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 x14ac:dyDescent="0.3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 x14ac:dyDescent="0.3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 x14ac:dyDescent="0.3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324</v>
      </c>
      <c r="S129" s="60"/>
    </row>
    <row r="130" spans="1:22" ht="15" customHeight="1" x14ac:dyDescent="0.3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 x14ac:dyDescent="0.3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 x14ac:dyDescent="0.3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 x14ac:dyDescent="0.3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 x14ac:dyDescent="0.35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 x14ac:dyDescent="0.35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248</v>
      </c>
      <c r="S135" s="39">
        <v>912240</v>
      </c>
      <c r="T135" s="119">
        <f>IFERROR(J135,"")</f>
        <v>0</v>
      </c>
    </row>
    <row r="136" spans="1:22" ht="18" customHeight="1" x14ac:dyDescent="0.3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252</v>
      </c>
      <c r="S136" s="48">
        <f>IFERROR(S122+S135,"")</f>
        <v>1723820</v>
      </c>
      <c r="T136" s="121">
        <f>IFERROR(J136,"")</f>
        <v>0</v>
      </c>
    </row>
    <row r="137" spans="1:22" ht="15" customHeight="1" x14ac:dyDescent="0.3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 x14ac:dyDescent="0.3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356</v>
      </c>
      <c r="S138" s="31"/>
    </row>
    <row r="139" spans="1:22" ht="15" customHeight="1" x14ac:dyDescent="0.3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357</v>
      </c>
      <c r="S139" s="31"/>
    </row>
    <row r="140" spans="1:22" ht="15" customHeight="1" x14ac:dyDescent="0.3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 x14ac:dyDescent="0.3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 x14ac:dyDescent="0.3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 x14ac:dyDescent="0.3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 x14ac:dyDescent="0.3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 x14ac:dyDescent="0.3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 x14ac:dyDescent="0.3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300</v>
      </c>
      <c r="S146" s="31"/>
    </row>
    <row r="147" spans="1:20" ht="15" customHeight="1" x14ac:dyDescent="0.3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 x14ac:dyDescent="0.35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 x14ac:dyDescent="0.35">
      <c r="A149" s="78" t="s">
        <v>247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248</v>
      </c>
      <c r="S149" s="39">
        <v>797860</v>
      </c>
      <c r="T149" s="119">
        <f>IFERROR(J149,"")</f>
        <v>0</v>
      </c>
    </row>
    <row r="150" spans="1:20" ht="15" customHeight="1" x14ac:dyDescent="0.3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358</v>
      </c>
      <c r="S150" s="31"/>
    </row>
    <row r="151" spans="1:20" ht="15" customHeight="1" x14ac:dyDescent="0.3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359</v>
      </c>
      <c r="S151" s="31"/>
    </row>
    <row r="152" spans="1:20" ht="15" customHeight="1" x14ac:dyDescent="0.3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 x14ac:dyDescent="0.3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 x14ac:dyDescent="0.3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 x14ac:dyDescent="0.3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 x14ac:dyDescent="0.3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 x14ac:dyDescent="0.3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 x14ac:dyDescent="0.3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 x14ac:dyDescent="0.3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 x14ac:dyDescent="0.3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 x14ac:dyDescent="0.35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 x14ac:dyDescent="0.35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248</v>
      </c>
      <c r="S162" s="39">
        <v>573230</v>
      </c>
      <c r="T162" s="119">
        <f>IFERROR(J162,"")</f>
        <v>0</v>
      </c>
    </row>
    <row r="163" spans="1:20" ht="18" customHeight="1" x14ac:dyDescent="0.3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252</v>
      </c>
      <c r="S163" s="43">
        <f>IFERROR(S149+S162,"")</f>
        <v>1371090</v>
      </c>
      <c r="T163" s="120">
        <f>IFERROR(J163,"")</f>
        <v>0</v>
      </c>
    </row>
    <row r="164" spans="1:20" ht="15" customHeight="1" x14ac:dyDescent="0.3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 x14ac:dyDescent="0.3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193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 x14ac:dyDescent="0.3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 x14ac:dyDescent="0.3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 x14ac:dyDescent="0.3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 x14ac:dyDescent="0.3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 x14ac:dyDescent="0.3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360</v>
      </c>
      <c r="S170" s="31"/>
    </row>
    <row r="171" spans="1:20" ht="15" customHeight="1" x14ac:dyDescent="0.3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 x14ac:dyDescent="0.3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 x14ac:dyDescent="0.3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 x14ac:dyDescent="0.3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 x14ac:dyDescent="0.35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 x14ac:dyDescent="0.35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248</v>
      </c>
      <c r="S176" s="39">
        <v>659400</v>
      </c>
      <c r="T176" s="119">
        <f>IFERROR(J176,"")</f>
        <v>0</v>
      </c>
    </row>
    <row r="177" spans="1:20" ht="15" customHeight="1" x14ac:dyDescent="0.3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361</v>
      </c>
      <c r="S177" s="31"/>
    </row>
    <row r="178" spans="1:20" ht="15" customHeight="1" x14ac:dyDescent="0.3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 x14ac:dyDescent="0.3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 x14ac:dyDescent="0.3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 x14ac:dyDescent="0.3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 x14ac:dyDescent="0.3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 x14ac:dyDescent="0.3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 x14ac:dyDescent="0.3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 x14ac:dyDescent="0.3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 x14ac:dyDescent="0.3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 x14ac:dyDescent="0.3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 x14ac:dyDescent="0.35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 x14ac:dyDescent="0.35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248</v>
      </c>
      <c r="S189" s="39">
        <v>692750</v>
      </c>
      <c r="T189" s="119">
        <f>IFERROR(J189,"")</f>
        <v>0</v>
      </c>
    </row>
    <row r="190" spans="1:20" ht="18" customHeight="1" x14ac:dyDescent="0.3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252</v>
      </c>
      <c r="S190" s="43">
        <f>IFERROR(S176+S189,"")</f>
        <v>1352150</v>
      </c>
      <c r="T190" s="120">
        <f>IFERROR(J190,"")</f>
        <v>0</v>
      </c>
    </row>
    <row r="191" spans="1:20" ht="15" customHeight="1" x14ac:dyDescent="0.3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 x14ac:dyDescent="0.3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362</v>
      </c>
      <c r="S192" s="31"/>
    </row>
    <row r="193" spans="1:20" ht="15" customHeight="1" x14ac:dyDescent="0.3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 x14ac:dyDescent="0.3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 x14ac:dyDescent="0.3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 x14ac:dyDescent="0.3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 x14ac:dyDescent="0.3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 x14ac:dyDescent="0.3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 x14ac:dyDescent="0.3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 x14ac:dyDescent="0.3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 x14ac:dyDescent="0.3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 x14ac:dyDescent="0.35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 x14ac:dyDescent="0.35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248</v>
      </c>
      <c r="S203" s="45">
        <v>790070</v>
      </c>
      <c r="T203" s="122">
        <f>IFERROR(J203,"")</f>
        <v>0</v>
      </c>
    </row>
    <row r="204" spans="1:20" ht="15" customHeight="1" x14ac:dyDescent="0.3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363</v>
      </c>
      <c r="S204" s="60"/>
    </row>
    <row r="205" spans="1:20" ht="15" customHeight="1" x14ac:dyDescent="0.3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364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 x14ac:dyDescent="0.3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365</v>
      </c>
      <c r="S206" s="60"/>
    </row>
    <row r="207" spans="1:20" ht="15" customHeight="1" x14ac:dyDescent="0.3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 x14ac:dyDescent="0.3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 x14ac:dyDescent="0.3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 x14ac:dyDescent="0.3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 x14ac:dyDescent="0.3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 x14ac:dyDescent="0.3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 x14ac:dyDescent="0.3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 x14ac:dyDescent="0.3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 x14ac:dyDescent="0.35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 x14ac:dyDescent="0.35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248</v>
      </c>
      <c r="S216" s="45">
        <v>607180</v>
      </c>
      <c r="T216" s="122">
        <f>IFERROR(J216,"")</f>
        <v>0</v>
      </c>
    </row>
    <row r="217" spans="1:20" ht="18" customHeight="1" x14ac:dyDescent="0.3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252</v>
      </c>
      <c r="S217" s="48">
        <f>IFERROR(S203+S216,"")</f>
        <v>1397250</v>
      </c>
      <c r="T217" s="121">
        <f>IFERROR(J217,"")</f>
        <v>0</v>
      </c>
    </row>
    <row r="218" spans="1:20" ht="15" customHeight="1" x14ac:dyDescent="0.3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 x14ac:dyDescent="0.3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 x14ac:dyDescent="0.3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366</v>
      </c>
      <c r="S220" s="60"/>
    </row>
    <row r="221" spans="1:20" ht="15" customHeight="1" x14ac:dyDescent="0.3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367</v>
      </c>
      <c r="S221" s="60"/>
    </row>
    <row r="222" spans="1:20" ht="15" customHeight="1" x14ac:dyDescent="0.3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 x14ac:dyDescent="0.3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 x14ac:dyDescent="0.3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 x14ac:dyDescent="0.3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 x14ac:dyDescent="0.3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 x14ac:dyDescent="0.3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 x14ac:dyDescent="0.3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 x14ac:dyDescent="0.35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 x14ac:dyDescent="0.35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248</v>
      </c>
      <c r="S230" s="39">
        <v>755220</v>
      </c>
      <c r="T230" s="119">
        <f>IFERROR(J230,"")</f>
        <v>0</v>
      </c>
    </row>
    <row r="231" spans="1:20" ht="15" customHeight="1" x14ac:dyDescent="0.3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368</v>
      </c>
      <c r="S231" s="60"/>
    </row>
    <row r="232" spans="1:20" ht="15" customHeight="1" x14ac:dyDescent="0.3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369</v>
      </c>
      <c r="S232" s="60"/>
    </row>
    <row r="233" spans="1:20" ht="15" customHeight="1" x14ac:dyDescent="0.3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 x14ac:dyDescent="0.3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 x14ac:dyDescent="0.3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 x14ac:dyDescent="0.3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 x14ac:dyDescent="0.3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 x14ac:dyDescent="0.3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 x14ac:dyDescent="0.3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 x14ac:dyDescent="0.3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 x14ac:dyDescent="0.3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 x14ac:dyDescent="0.35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 x14ac:dyDescent="0.35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248</v>
      </c>
      <c r="S243" s="39">
        <v>795250</v>
      </c>
      <c r="T243" s="119">
        <f>IFERROR(J243,"")</f>
        <v>0</v>
      </c>
    </row>
    <row r="244" spans="1:20" ht="18" customHeight="1" x14ac:dyDescent="0.3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252</v>
      </c>
      <c r="S244" s="48">
        <f>IFERROR(S230+S243,"")</f>
        <v>1550470</v>
      </c>
      <c r="T244" s="121">
        <f>IFERROR(J244,"")</f>
        <v>0</v>
      </c>
    </row>
    <row r="245" spans="1:20" ht="15" customHeight="1" x14ac:dyDescent="0.3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 x14ac:dyDescent="0.3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 t="s">
        <v>272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 x14ac:dyDescent="0.3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 x14ac:dyDescent="0.3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 x14ac:dyDescent="0.3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370</v>
      </c>
      <c r="S249" s="60"/>
    </row>
    <row r="250" spans="1:20" ht="15" customHeight="1" x14ac:dyDescent="0.3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 x14ac:dyDescent="0.3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 x14ac:dyDescent="0.3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 x14ac:dyDescent="0.3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 x14ac:dyDescent="0.3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 x14ac:dyDescent="0.3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 x14ac:dyDescent="0.35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 x14ac:dyDescent="0.35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248</v>
      </c>
      <c r="S257" s="39">
        <v>803560</v>
      </c>
      <c r="T257" s="119">
        <f>IFERROR(J257,"")</f>
        <v>0</v>
      </c>
    </row>
    <row r="258" spans="1:20" ht="15" customHeight="1" x14ac:dyDescent="0.3">
      <c r="A258" s="68">
        <v>46244</v>
      </c>
      <c r="B258" s="32">
        <v>0.83333333333333304</v>
      </c>
      <c r="C258" s="33"/>
      <c r="D258" s="62" t="s">
        <v>45</v>
      </c>
      <c r="E258" s="109" t="s">
        <v>262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 x14ac:dyDescent="0.3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262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 x14ac:dyDescent="0.3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262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 x14ac:dyDescent="0.3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262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 x14ac:dyDescent="0.3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262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 x14ac:dyDescent="0.3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262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 x14ac:dyDescent="0.3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262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 x14ac:dyDescent="0.3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262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 x14ac:dyDescent="0.3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262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 x14ac:dyDescent="0.3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262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 x14ac:dyDescent="0.3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262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 x14ac:dyDescent="0.35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262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 x14ac:dyDescent="0.35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248</v>
      </c>
      <c r="S270" s="39">
        <v>683360</v>
      </c>
      <c r="T270" s="119">
        <f>IFERROR(J270,"")</f>
        <v>0</v>
      </c>
    </row>
    <row r="271" spans="1:20" ht="18" customHeight="1" x14ac:dyDescent="0.3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252</v>
      </c>
      <c r="S271" s="48">
        <f>IFERROR(S257+S270,"")</f>
        <v>1486920</v>
      </c>
      <c r="T271" s="121">
        <f>IFERROR(J271,"")</f>
        <v>0</v>
      </c>
    </row>
    <row r="272" spans="1:20" ht="15" customHeight="1" x14ac:dyDescent="0.3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 x14ac:dyDescent="0.3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 x14ac:dyDescent="0.3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 x14ac:dyDescent="0.3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 x14ac:dyDescent="0.3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 x14ac:dyDescent="0.3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 x14ac:dyDescent="0.3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 x14ac:dyDescent="0.3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 x14ac:dyDescent="0.3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 x14ac:dyDescent="0.3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 x14ac:dyDescent="0.3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262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 x14ac:dyDescent="0.35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 x14ac:dyDescent="0.35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248</v>
      </c>
      <c r="S284" s="39">
        <v>762600</v>
      </c>
      <c r="T284" s="119">
        <f>IFERROR(J284,"")</f>
        <v>0</v>
      </c>
    </row>
    <row r="285" spans="1:20" ht="15" customHeight="1" x14ac:dyDescent="0.3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 x14ac:dyDescent="0.3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 x14ac:dyDescent="0.3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 x14ac:dyDescent="0.3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 x14ac:dyDescent="0.3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 x14ac:dyDescent="0.3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 x14ac:dyDescent="0.3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 x14ac:dyDescent="0.3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 x14ac:dyDescent="0.3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 x14ac:dyDescent="0.3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 x14ac:dyDescent="0.3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 x14ac:dyDescent="0.35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 x14ac:dyDescent="0.35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248</v>
      </c>
      <c r="S297" s="39">
        <v>904710</v>
      </c>
      <c r="T297" s="119">
        <f>IFERROR(J297,"")</f>
        <v>0</v>
      </c>
    </row>
    <row r="298" spans="1:20" ht="18" customHeight="1" x14ac:dyDescent="0.3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252</v>
      </c>
      <c r="S298" s="48">
        <f>IFERROR(S284+S297,"")</f>
        <v>1667310</v>
      </c>
      <c r="T298" s="121">
        <f>IFERROR(J298,"")</f>
        <v>0</v>
      </c>
    </row>
    <row r="299" spans="1:20" ht="15" customHeight="1" x14ac:dyDescent="0.3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193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 x14ac:dyDescent="0.3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 x14ac:dyDescent="0.3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 x14ac:dyDescent="0.3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 x14ac:dyDescent="0.3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 x14ac:dyDescent="0.3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 x14ac:dyDescent="0.3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 x14ac:dyDescent="0.3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 x14ac:dyDescent="0.3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 x14ac:dyDescent="0.3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 x14ac:dyDescent="0.3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 x14ac:dyDescent="0.35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 x14ac:dyDescent="0.35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248</v>
      </c>
      <c r="S311" s="39">
        <v>948950</v>
      </c>
      <c r="T311" s="119">
        <f>IFERROR(J311,"")</f>
        <v>159.15670781249997</v>
      </c>
    </row>
    <row r="312" spans="1:20" ht="15" customHeight="1" x14ac:dyDescent="0.3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 x14ac:dyDescent="0.3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 x14ac:dyDescent="0.3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 x14ac:dyDescent="0.3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 x14ac:dyDescent="0.3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 x14ac:dyDescent="0.3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 x14ac:dyDescent="0.3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 x14ac:dyDescent="0.3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 x14ac:dyDescent="0.3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 x14ac:dyDescent="0.3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 x14ac:dyDescent="0.3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 x14ac:dyDescent="0.35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 x14ac:dyDescent="0.35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248</v>
      </c>
      <c r="S324" s="39">
        <v>1049720</v>
      </c>
      <c r="T324" s="119">
        <f>IFERROR(J324,"")</f>
        <v>151.15967999999998</v>
      </c>
    </row>
    <row r="325" spans="1:20" ht="18" customHeight="1" x14ac:dyDescent="0.3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252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 x14ac:dyDescent="0.3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 x14ac:dyDescent="0.3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 x14ac:dyDescent="0.3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 x14ac:dyDescent="0.3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 x14ac:dyDescent="0.3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262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 x14ac:dyDescent="0.3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 x14ac:dyDescent="0.3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 x14ac:dyDescent="0.3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 x14ac:dyDescent="0.3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 x14ac:dyDescent="0.3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 x14ac:dyDescent="0.3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 x14ac:dyDescent="0.35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 x14ac:dyDescent="0.35">
      <c r="A338" s="170" t="s">
        <v>247</v>
      </c>
      <c r="B338" s="171"/>
      <c r="C338" s="171"/>
      <c r="D338" s="171"/>
      <c r="E338" s="17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248</v>
      </c>
      <c r="S338" s="39">
        <v>1211360</v>
      </c>
      <c r="T338" s="119">
        <f>IFERROR(J338,"")</f>
        <v>254.38559999999993</v>
      </c>
    </row>
    <row r="339" spans="1:20" ht="15" customHeight="1" x14ac:dyDescent="0.3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 x14ac:dyDescent="0.3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 x14ac:dyDescent="0.3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 x14ac:dyDescent="0.3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 x14ac:dyDescent="0.3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 x14ac:dyDescent="0.3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 x14ac:dyDescent="0.3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 x14ac:dyDescent="0.3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371</v>
      </c>
      <c r="S346" s="60"/>
    </row>
    <row r="347" spans="1:20" ht="15" customHeight="1" x14ac:dyDescent="0.3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372</v>
      </c>
      <c r="S347" s="60"/>
    </row>
    <row r="348" spans="1:20" ht="15" customHeight="1" x14ac:dyDescent="0.3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 x14ac:dyDescent="0.3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 x14ac:dyDescent="0.35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 x14ac:dyDescent="0.35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248</v>
      </c>
      <c r="S351" s="39">
        <v>1058130</v>
      </c>
      <c r="T351" s="119">
        <f>IFERROR(J351,"")</f>
        <v>222.20729999999995</v>
      </c>
    </row>
    <row r="352" spans="1:20" ht="18" customHeight="1" x14ac:dyDescent="0.3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252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 x14ac:dyDescent="0.3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 x14ac:dyDescent="0.3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 x14ac:dyDescent="0.3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 x14ac:dyDescent="0.3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373</v>
      </c>
      <c r="S356" s="60"/>
    </row>
    <row r="357" spans="1:20" ht="15" customHeight="1" x14ac:dyDescent="0.3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 x14ac:dyDescent="0.3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374</v>
      </c>
      <c r="S358" s="60"/>
    </row>
    <row r="359" spans="1:20" ht="15" customHeight="1" x14ac:dyDescent="0.3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 x14ac:dyDescent="0.3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 x14ac:dyDescent="0.3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 x14ac:dyDescent="0.3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 x14ac:dyDescent="0.3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 x14ac:dyDescent="0.35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 x14ac:dyDescent="0.35">
      <c r="A365" s="78" t="s">
        <v>247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248</v>
      </c>
      <c r="S365" s="39">
        <v>885120</v>
      </c>
      <c r="T365" s="119">
        <f>IFERROR(J365,"")</f>
        <v>185.87519999999998</v>
      </c>
    </row>
    <row r="366" spans="1:20" ht="15" customHeight="1" x14ac:dyDescent="0.3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 x14ac:dyDescent="0.3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 x14ac:dyDescent="0.3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 x14ac:dyDescent="0.3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 x14ac:dyDescent="0.3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 x14ac:dyDescent="0.3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 x14ac:dyDescent="0.3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375</v>
      </c>
      <c r="S372" s="60"/>
    </row>
    <row r="373" spans="1:20" ht="15" customHeight="1" x14ac:dyDescent="0.3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 x14ac:dyDescent="0.3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 x14ac:dyDescent="0.3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 x14ac:dyDescent="0.3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 x14ac:dyDescent="0.35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 x14ac:dyDescent="0.35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248</v>
      </c>
      <c r="S378" s="39">
        <v>1137080</v>
      </c>
      <c r="T378" s="119">
        <f>IFERROR(J378,"")</f>
        <v>238.78679999999994</v>
      </c>
    </row>
    <row r="379" spans="1:20" ht="18" customHeight="1" x14ac:dyDescent="0.3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252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 x14ac:dyDescent="0.3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 x14ac:dyDescent="0.3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262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 x14ac:dyDescent="0.3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 x14ac:dyDescent="0.3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 x14ac:dyDescent="0.3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314</v>
      </c>
      <c r="S384" s="60"/>
    </row>
    <row r="385" spans="1:20" ht="15" customHeight="1" x14ac:dyDescent="0.3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376</v>
      </c>
      <c r="S385" s="60"/>
    </row>
    <row r="386" spans="1:20" ht="15" customHeight="1" x14ac:dyDescent="0.3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 x14ac:dyDescent="0.3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 x14ac:dyDescent="0.3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 x14ac:dyDescent="0.3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 x14ac:dyDescent="0.3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 x14ac:dyDescent="0.35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 x14ac:dyDescent="0.35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248</v>
      </c>
      <c r="S392" s="39">
        <v>675670</v>
      </c>
      <c r="T392" s="119">
        <f>IFERROR(J392,"")</f>
        <v>141.89069999999998</v>
      </c>
    </row>
    <row r="393" spans="1:20" ht="15" customHeight="1" x14ac:dyDescent="0.3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228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 x14ac:dyDescent="0.3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377</v>
      </c>
      <c r="S394" s="60"/>
    </row>
    <row r="395" spans="1:20" ht="15" customHeight="1" x14ac:dyDescent="0.3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 x14ac:dyDescent="0.3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 x14ac:dyDescent="0.3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 x14ac:dyDescent="0.3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 x14ac:dyDescent="0.3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 x14ac:dyDescent="0.3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 x14ac:dyDescent="0.3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 x14ac:dyDescent="0.3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 x14ac:dyDescent="0.3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 x14ac:dyDescent="0.35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 x14ac:dyDescent="0.35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248</v>
      </c>
      <c r="S405" s="39">
        <v>989450</v>
      </c>
      <c r="T405" s="119">
        <f>IFERROR(J405,"")</f>
        <v>195.72390675675675</v>
      </c>
    </row>
    <row r="406" spans="1:20" ht="18" customHeight="1" x14ac:dyDescent="0.3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252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 x14ac:dyDescent="0.3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235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378</v>
      </c>
      <c r="S407" s="60"/>
    </row>
    <row r="408" spans="1:20" ht="15" customHeight="1" x14ac:dyDescent="0.3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 x14ac:dyDescent="0.3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 x14ac:dyDescent="0.3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 x14ac:dyDescent="0.3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 x14ac:dyDescent="0.3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 x14ac:dyDescent="0.3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 x14ac:dyDescent="0.3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 x14ac:dyDescent="0.3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 x14ac:dyDescent="0.3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 x14ac:dyDescent="0.3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 x14ac:dyDescent="0.35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 x14ac:dyDescent="0.35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248</v>
      </c>
      <c r="S419" s="39">
        <v>627410</v>
      </c>
      <c r="T419" s="119">
        <f>IFERROR(J419,"")</f>
        <v>90.347039999999993</v>
      </c>
    </row>
    <row r="420" spans="1:20" ht="15" customHeight="1" x14ac:dyDescent="0.3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 x14ac:dyDescent="0.3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 x14ac:dyDescent="0.3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 x14ac:dyDescent="0.3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379</v>
      </c>
      <c r="S423" s="60"/>
    </row>
    <row r="424" spans="1:20" ht="15" customHeight="1" x14ac:dyDescent="0.3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 x14ac:dyDescent="0.3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 x14ac:dyDescent="0.3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 x14ac:dyDescent="0.3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 x14ac:dyDescent="0.3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 x14ac:dyDescent="0.3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 x14ac:dyDescent="0.3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 x14ac:dyDescent="0.35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 x14ac:dyDescent="0.35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248</v>
      </c>
      <c r="S432" s="39">
        <v>766030</v>
      </c>
      <c r="T432" s="119">
        <f>IFERROR(J432,"")</f>
        <v>110.30832000000001</v>
      </c>
    </row>
    <row r="433" spans="1:21" ht="18" customHeight="1" x14ac:dyDescent="0.3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252</v>
      </c>
      <c r="S433" s="48">
        <f>IFERROR(S419+S432,"")</f>
        <v>1393440</v>
      </c>
      <c r="T433" s="121">
        <f>IFERROR(J433,"")</f>
        <v>200.65536</v>
      </c>
    </row>
    <row r="434" spans="1:21" ht="15" customHeight="1" x14ac:dyDescent="0.3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262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 x14ac:dyDescent="0.3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 x14ac:dyDescent="0.3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 x14ac:dyDescent="0.3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 x14ac:dyDescent="0.3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 x14ac:dyDescent="0.3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 x14ac:dyDescent="0.3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 x14ac:dyDescent="0.3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 x14ac:dyDescent="0.3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 x14ac:dyDescent="0.3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 x14ac:dyDescent="0.3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 x14ac:dyDescent="0.35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 x14ac:dyDescent="0.35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248</v>
      </c>
      <c r="S446" s="39">
        <v>833920</v>
      </c>
      <c r="T446" s="119">
        <f>IFERROR(J446,"")</f>
        <v>161.58908852459015</v>
      </c>
    </row>
    <row r="447" spans="1:21" ht="15" customHeight="1" x14ac:dyDescent="0.3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49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380</v>
      </c>
      <c r="S447" s="60"/>
    </row>
    <row r="448" spans="1:21" ht="15" customHeight="1" x14ac:dyDescent="0.3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 x14ac:dyDescent="0.3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 x14ac:dyDescent="0.3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262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 t="shared" ref="K450:K458" si="114"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 x14ac:dyDescent="0.3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 t="shared" si="114"/>
        <v>37.800000000000004</v>
      </c>
      <c r="L451" s="33" t="s">
        <v>27</v>
      </c>
      <c r="M451" s="33" t="s">
        <v>64</v>
      </c>
      <c r="N451" s="33" t="s">
        <v>210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374</v>
      </c>
      <c r="S451" s="60"/>
    </row>
    <row r="452" spans="1:20" ht="15" customHeight="1" x14ac:dyDescent="0.3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 t="shared" si="114"/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 x14ac:dyDescent="0.3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 t="shared" si="114"/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 x14ac:dyDescent="0.3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 t="shared" si="114"/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 x14ac:dyDescent="0.3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 t="shared" si="114"/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 x14ac:dyDescent="0.3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 t="shared" si="114"/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 x14ac:dyDescent="0.3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 t="shared" si="114"/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 x14ac:dyDescent="0.35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 t="shared" si="114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 x14ac:dyDescent="0.35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248</v>
      </c>
      <c r="S459" s="39">
        <v>1024280</v>
      </c>
      <c r="T459" s="119">
        <f>IFERROR(J459,"")</f>
        <v>202.88866044052861</v>
      </c>
    </row>
    <row r="460" spans="1:20" ht="18" customHeight="1" x14ac:dyDescent="0.3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252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 x14ac:dyDescent="0.3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5">IFERROR(IF($H461="","",$H461*$F461*$I461),"")</f>
        <v>13.097086363636363</v>
      </c>
      <c r="K461" s="34">
        <f t="shared" ref="K461:K472" si="116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7">IFERROR(IF(O461="","",IF(P461="",MOD(NOW()-O461,1),IF(P461&gt;=O461,P461-O461,P461+1-O461))),"")</f>
        <v>0.24027777777777776</v>
      </c>
      <c r="R461" s="27"/>
      <c r="S461" s="60"/>
    </row>
    <row r="462" spans="1:20" ht="15" customHeight="1" x14ac:dyDescent="0.3">
      <c r="A462" s="67">
        <v>46252</v>
      </c>
      <c r="B462" s="25">
        <f t="shared" ref="B462:B472" si="118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5"/>
        <v>16.119490909090906</v>
      </c>
      <c r="K462" s="28">
        <f t="shared" si="116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7"/>
        <v>2.1527777777777701E-2</v>
      </c>
      <c r="R462" s="27"/>
      <c r="S462" s="60"/>
    </row>
    <row r="463" spans="1:20" ht="15" customHeight="1" x14ac:dyDescent="0.3">
      <c r="A463" s="68">
        <v>46252</v>
      </c>
      <c r="B463" s="32">
        <f t="shared" si="118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5"/>
        <v>10.074681818181817</v>
      </c>
      <c r="K463" s="34">
        <f t="shared" si="116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7"/>
        <v>6.2499999999999778E-3</v>
      </c>
      <c r="R463" s="27"/>
      <c r="S463" s="60"/>
    </row>
    <row r="464" spans="1:20" ht="15" customHeight="1" x14ac:dyDescent="0.3">
      <c r="A464" s="67">
        <v>46252</v>
      </c>
      <c r="B464" s="25">
        <f t="shared" si="118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5"/>
        <v>14.104554545454546</v>
      </c>
      <c r="K464" s="28">
        <f t="shared" si="116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7"/>
        <v>9.0277777777777457E-3</v>
      </c>
      <c r="R464" s="27"/>
      <c r="S464" s="60"/>
    </row>
    <row r="465" spans="1:20" ht="15" customHeight="1" x14ac:dyDescent="0.3">
      <c r="A465" s="68">
        <v>46252</v>
      </c>
      <c r="B465" s="32">
        <f t="shared" si="118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5"/>
        <v>8.0597454545454532</v>
      </c>
      <c r="K465" s="34">
        <f t="shared" si="116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7"/>
        <v>1.5972222222222165E-2</v>
      </c>
      <c r="R465" s="27"/>
      <c r="S465" s="60"/>
    </row>
    <row r="466" spans="1:20" ht="15" customHeight="1" x14ac:dyDescent="0.3">
      <c r="A466" s="67">
        <v>46252</v>
      </c>
      <c r="B466" s="25">
        <f t="shared" si="118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5"/>
        <v>9.0672136363636362</v>
      </c>
      <c r="K466" s="28">
        <f t="shared" si="116"/>
        <v>37.800000000000004</v>
      </c>
      <c r="L466" s="26"/>
      <c r="M466" s="26"/>
      <c r="N466" s="26"/>
      <c r="O466" s="29"/>
      <c r="P466" s="29"/>
      <c r="Q466" s="30" t="str">
        <f t="shared" ca="1" si="117"/>
        <v/>
      </c>
      <c r="R466" s="27"/>
      <c r="S466" s="60"/>
    </row>
    <row r="467" spans="1:20" ht="15" customHeight="1" x14ac:dyDescent="0.3">
      <c r="A467" s="68">
        <v>46252</v>
      </c>
      <c r="B467" s="32">
        <f t="shared" si="118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5"/>
        <v>10.074681818181817</v>
      </c>
      <c r="K467" s="34">
        <f t="shared" si="116"/>
        <v>42</v>
      </c>
      <c r="L467" s="33"/>
      <c r="M467" s="33"/>
      <c r="N467" s="33"/>
      <c r="O467" s="29"/>
      <c r="P467" s="29"/>
      <c r="Q467" s="35" t="str">
        <f t="shared" ca="1" si="117"/>
        <v/>
      </c>
      <c r="R467" s="27"/>
      <c r="S467" s="60"/>
    </row>
    <row r="468" spans="1:20" ht="15" customHeight="1" x14ac:dyDescent="0.3">
      <c r="A468" s="67">
        <v>46252</v>
      </c>
      <c r="B468" s="25">
        <f t="shared" si="118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5"/>
        <v>24.17923636363636</v>
      </c>
      <c r="K468" s="28">
        <f t="shared" si="116"/>
        <v>100.80000000000001</v>
      </c>
      <c r="L468" s="26"/>
      <c r="M468" s="26"/>
      <c r="N468" s="26"/>
      <c r="O468" s="29"/>
      <c r="P468" s="29"/>
      <c r="Q468" s="30" t="str">
        <f t="shared" ca="1" si="117"/>
        <v/>
      </c>
      <c r="R468" s="27"/>
      <c r="S468" s="60"/>
    </row>
    <row r="469" spans="1:20" ht="15" customHeight="1" x14ac:dyDescent="0.3">
      <c r="A469" s="68">
        <v>46252</v>
      </c>
      <c r="B469" s="32">
        <f t="shared" si="118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5"/>
        <v>16.119490909090906</v>
      </c>
      <c r="K469" s="34">
        <f t="shared" si="116"/>
        <v>67.2</v>
      </c>
      <c r="L469" s="33"/>
      <c r="M469" s="33"/>
      <c r="N469" s="33"/>
      <c r="O469" s="29"/>
      <c r="P469" s="29"/>
      <c r="Q469" s="35" t="str">
        <f t="shared" ca="1" si="117"/>
        <v/>
      </c>
      <c r="R469" s="27"/>
      <c r="S469" s="60"/>
    </row>
    <row r="470" spans="1:20" ht="15" customHeight="1" x14ac:dyDescent="0.3">
      <c r="A470" s="67">
        <v>46252</v>
      </c>
      <c r="B470" s="25">
        <f t="shared" si="118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5"/>
        <v>15.112022727272725</v>
      </c>
      <c r="K470" s="28">
        <f t="shared" si="116"/>
        <v>63</v>
      </c>
      <c r="L470" s="26"/>
      <c r="M470" s="26"/>
      <c r="N470" s="26"/>
      <c r="O470" s="29"/>
      <c r="P470" s="29"/>
      <c r="Q470" s="30" t="str">
        <f t="shared" ca="1" si="117"/>
        <v/>
      </c>
      <c r="R470" s="27"/>
      <c r="S470" s="60"/>
    </row>
    <row r="471" spans="1:20" ht="15" customHeight="1" x14ac:dyDescent="0.3">
      <c r="A471" s="68">
        <v>46252</v>
      </c>
      <c r="B471" s="32">
        <f t="shared" si="118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5"/>
        <v>11.082149999999997</v>
      </c>
      <c r="K471" s="34">
        <f t="shared" si="116"/>
        <v>46.2</v>
      </c>
      <c r="L471" s="33"/>
      <c r="M471" s="33"/>
      <c r="N471" s="33"/>
      <c r="O471" s="29"/>
      <c r="P471" s="29"/>
      <c r="Q471" s="35" t="str">
        <f t="shared" ca="1" si="117"/>
        <v/>
      </c>
      <c r="R471" s="27"/>
      <c r="S471" s="60"/>
    </row>
    <row r="472" spans="1:20" ht="15" customHeight="1" thickBot="1" x14ac:dyDescent="0.35">
      <c r="A472" s="67">
        <v>46252</v>
      </c>
      <c r="B472" s="25">
        <f t="shared" si="118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5"/>
        <v>8.0597454545454532</v>
      </c>
      <c r="K472" s="28">
        <f t="shared" si="116"/>
        <v>33.6</v>
      </c>
      <c r="L472" s="26"/>
      <c r="M472" s="26"/>
      <c r="N472" s="26"/>
      <c r="O472" s="29"/>
      <c r="P472" s="29"/>
      <c r="Q472" s="30" t="str">
        <f t="shared" ca="1" si="117"/>
        <v/>
      </c>
      <c r="R472" s="27"/>
      <c r="S472" s="60"/>
    </row>
    <row r="473" spans="1:20" ht="15.75" customHeight="1" thickBot="1" x14ac:dyDescent="0.35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155.15009999999998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248</v>
      </c>
      <c r="S473" s="39">
        <v>738810</v>
      </c>
      <c r="T473" s="119">
        <f>IFERROR(J473,"")</f>
        <v>155.15009999999998</v>
      </c>
    </row>
    <row r="474" spans="1:20" ht="15" customHeight="1" x14ac:dyDescent="0.3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14</v>
      </c>
      <c r="H474" s="140">
        <f>IFERROR(IF($G474="","",$G474*$S$486/$G$486/Cadastro!$E$33),"")</f>
        <v>57.117218543046356</v>
      </c>
      <c r="I474" s="141">
        <f>IFERROR(IF($D474="","",VLOOKUP($D474,Cadastro!$C$4:$G$7,5,FALSE)),"")</f>
        <v>0.6</v>
      </c>
      <c r="J474" s="142">
        <f t="shared" ref="J474:J485" si="119">IFERROR(IF($H474="","",$H474*$F474*$I474),"")</f>
        <v>11.994615894039732</v>
      </c>
      <c r="K474" s="28">
        <f t="shared" ref="K474:K485" si="120">IF(G474="","",IF(E474="PC 17",G474*4.2,IF(E474="PC 19",G474*5,IF(E474="CB",G474*24,""))))</f>
        <v>58.800000000000004</v>
      </c>
      <c r="L474" s="26" t="s">
        <v>26</v>
      </c>
      <c r="M474" s="26" t="s">
        <v>171</v>
      </c>
      <c r="N474" s="26" t="s">
        <v>34</v>
      </c>
      <c r="O474" s="29">
        <v>0.80277777777777781</v>
      </c>
      <c r="P474" s="29">
        <v>0.81597222222222221</v>
      </c>
      <c r="Q474" s="30">
        <f t="shared" ref="Q474:Q485" ca="1" si="121">IFERROR(IF(O474="","",IF(P474="",MOD(NOW()-O474,1),IF(P474&gt;=O474,P474-O474,P474+1-O474))),"")</f>
        <v>1.3194444444444398E-2</v>
      </c>
      <c r="R474" s="27"/>
      <c r="S474" s="60"/>
    </row>
    <row r="475" spans="1:20" ht="15" customHeight="1" x14ac:dyDescent="0.3">
      <c r="A475" s="68">
        <v>46252</v>
      </c>
      <c r="B475" s="32">
        <f t="shared" ref="B475:B485" si="122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24</v>
      </c>
      <c r="H475" s="134">
        <f>IFERROR(IF($G475="","",$G475*$S$486/$G$486/Cadastro!$E$33),"")</f>
        <v>97.915231788079467</v>
      </c>
      <c r="I475" s="135">
        <f>IFERROR(IF($D475="","",VLOOKUP($D475,Cadastro!$C$4:$G$7,5,FALSE)),"")</f>
        <v>0.6</v>
      </c>
      <c r="J475" s="136">
        <f t="shared" si="119"/>
        <v>20.562198675496685</v>
      </c>
      <c r="K475" s="34">
        <f t="shared" si="120"/>
        <v>100.80000000000001</v>
      </c>
      <c r="L475" s="33" t="s">
        <v>27</v>
      </c>
      <c r="M475" s="33" t="s">
        <v>166</v>
      </c>
      <c r="N475" s="33" t="s">
        <v>81</v>
      </c>
      <c r="O475" s="29">
        <v>0.86319444444444449</v>
      </c>
      <c r="P475" s="29">
        <v>0.86458333333333337</v>
      </c>
      <c r="Q475" s="35">
        <f t="shared" ca="1" si="121"/>
        <v>1.388888888888884E-3</v>
      </c>
      <c r="R475" s="27"/>
      <c r="S475" s="60"/>
    </row>
    <row r="476" spans="1:20" ht="15" customHeight="1" x14ac:dyDescent="0.3">
      <c r="A476" s="67">
        <v>46252</v>
      </c>
      <c r="B476" s="25">
        <f t="shared" si="122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0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9"/>
        <v>0</v>
      </c>
      <c r="K476" s="28">
        <f t="shared" si="120"/>
        <v>0</v>
      </c>
      <c r="L476" s="26" t="s">
        <v>25</v>
      </c>
      <c r="M476" s="26" t="s">
        <v>137</v>
      </c>
      <c r="N476" s="26"/>
      <c r="O476" s="29">
        <v>0.88263888888888886</v>
      </c>
      <c r="P476" s="29">
        <v>0.98472222222222228</v>
      </c>
      <c r="Q476" s="30">
        <f t="shared" ca="1" si="121"/>
        <v>0.10208333333333341</v>
      </c>
      <c r="R476" s="27" t="s">
        <v>381</v>
      </c>
      <c r="S476" s="60"/>
    </row>
    <row r="477" spans="1:20" ht="15" customHeight="1" x14ac:dyDescent="0.3">
      <c r="A477" s="68">
        <v>46252</v>
      </c>
      <c r="B477" s="32">
        <f t="shared" si="122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8</v>
      </c>
      <c r="H477" s="134">
        <f>IFERROR(IF($G477="","",$G477*$S$486/$G$486/Cadastro!$E$33),"")</f>
        <v>32.638410596026489</v>
      </c>
      <c r="I477" s="135">
        <f>IFERROR(IF($D477="","",VLOOKUP($D477,Cadastro!$C$4:$G$7,5,FALSE)),"")</f>
        <v>0.6</v>
      </c>
      <c r="J477" s="136">
        <f t="shared" si="119"/>
        <v>6.8540662251655613</v>
      </c>
      <c r="K477" s="34">
        <f t="shared" si="120"/>
        <v>33.6</v>
      </c>
      <c r="L477" s="33" t="s">
        <v>27</v>
      </c>
      <c r="M477" s="33" t="s">
        <v>64</v>
      </c>
      <c r="N477" s="33" t="s">
        <v>43</v>
      </c>
      <c r="O477" s="29">
        <v>0.05</v>
      </c>
      <c r="P477" s="29">
        <v>5.9027777777777776E-2</v>
      </c>
      <c r="Q477" s="35">
        <f t="shared" ca="1" si="121"/>
        <v>9.0277777777777735E-3</v>
      </c>
      <c r="R477" s="27"/>
      <c r="S477" s="60"/>
    </row>
    <row r="478" spans="1:20" ht="15" customHeight="1" x14ac:dyDescent="0.3">
      <c r="A478" s="67">
        <v>46252</v>
      </c>
      <c r="B478" s="25">
        <f t="shared" si="122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12</v>
      </c>
      <c r="H478" s="134">
        <f>IFERROR(IF($G478="","",$G478*$S$486/$G$486/Cadastro!$E$33),"")</f>
        <v>48.957615894039733</v>
      </c>
      <c r="I478" s="135">
        <f>IFERROR(IF($D478="","",VLOOKUP($D478,Cadastro!$C$4:$G$7,5,FALSE)),"")</f>
        <v>0.6</v>
      </c>
      <c r="J478" s="136">
        <f t="shared" si="119"/>
        <v>10.281099337748342</v>
      </c>
      <c r="K478" s="28">
        <f t="shared" si="120"/>
        <v>50.400000000000006</v>
      </c>
      <c r="L478" s="26" t="s">
        <v>26</v>
      </c>
      <c r="M478" s="26" t="s">
        <v>171</v>
      </c>
      <c r="N478" s="26" t="s">
        <v>34</v>
      </c>
      <c r="O478" s="29">
        <v>0.15972222222222221</v>
      </c>
      <c r="P478" s="29">
        <v>0.1763888888888889</v>
      </c>
      <c r="Q478" s="30">
        <f t="shared" ca="1" si="121"/>
        <v>1.6666666666666691E-2</v>
      </c>
      <c r="R478" s="27"/>
      <c r="S478" s="60"/>
    </row>
    <row r="479" spans="1:20" ht="15" customHeight="1" x14ac:dyDescent="0.3">
      <c r="A479" s="68">
        <v>46252</v>
      </c>
      <c r="B479" s="32">
        <f t="shared" si="122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12</v>
      </c>
      <c r="H479" s="134">
        <f>IFERROR(IF($G479="","",$G479*$S$486/$G$486/Cadastro!$E$33),"")</f>
        <v>48.957615894039733</v>
      </c>
      <c r="I479" s="135">
        <f>IFERROR(IF($D479="","",VLOOKUP($D479,Cadastro!$C$4:$G$7,5,FALSE)),"")</f>
        <v>0.6</v>
      </c>
      <c r="J479" s="136">
        <f t="shared" si="119"/>
        <v>10.281099337748342</v>
      </c>
      <c r="K479" s="34">
        <f t="shared" si="120"/>
        <v>50.400000000000006</v>
      </c>
      <c r="L479" s="33" t="s">
        <v>25</v>
      </c>
      <c r="M479" s="33" t="s">
        <v>64</v>
      </c>
      <c r="N479" s="33" t="s">
        <v>138</v>
      </c>
      <c r="O479" s="29">
        <v>0.22430555555555556</v>
      </c>
      <c r="P479" s="29">
        <v>0.24027777777777778</v>
      </c>
      <c r="Q479" s="35">
        <f t="shared" ca="1" si="121"/>
        <v>1.5972222222222221E-2</v>
      </c>
      <c r="R479" s="27" t="s">
        <v>346</v>
      </c>
      <c r="S479" s="60"/>
    </row>
    <row r="480" spans="1:20" ht="15" customHeight="1" x14ac:dyDescent="0.3">
      <c r="A480" s="67">
        <v>46252</v>
      </c>
      <c r="B480" s="25">
        <f t="shared" si="122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17</v>
      </c>
      <c r="H480" s="134">
        <f>IFERROR(IF($G480="","",$G480*$S$486/$G$486/Cadastro!$E$33),"")</f>
        <v>69.3566225165563</v>
      </c>
      <c r="I480" s="135">
        <f>IFERROR(IF($D480="","",VLOOKUP($D480,Cadastro!$C$4:$G$7,5,FALSE)),"")</f>
        <v>0.6</v>
      </c>
      <c r="J480" s="136">
        <f t="shared" si="119"/>
        <v>14.564890728476822</v>
      </c>
      <c r="K480" s="28">
        <f t="shared" si="120"/>
        <v>71.400000000000006</v>
      </c>
      <c r="L480" s="26"/>
      <c r="M480" s="26"/>
      <c r="N480" s="26"/>
      <c r="O480" s="29"/>
      <c r="P480" s="29"/>
      <c r="Q480" s="30" t="str">
        <f t="shared" ca="1" si="121"/>
        <v/>
      </c>
      <c r="R480" s="27"/>
      <c r="S480" s="60"/>
    </row>
    <row r="481" spans="1:20" ht="15" customHeight="1" x14ac:dyDescent="0.3">
      <c r="A481" s="68">
        <v>46252</v>
      </c>
      <c r="B481" s="32">
        <f t="shared" si="122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>
        <v>4</v>
      </c>
      <c r="H481" s="134">
        <f>IFERROR(IF($G481="","",$G481*$S$486/$G$486/Cadastro!$E$33),"")</f>
        <v>16.319205298013244</v>
      </c>
      <c r="I481" s="135">
        <f>IFERROR(IF($D481="","",VLOOKUP($D481,Cadastro!$C$4:$G$7,5,FALSE)),"")</f>
        <v>0.6</v>
      </c>
      <c r="J481" s="136">
        <f t="shared" si="119"/>
        <v>3.4270331125827806</v>
      </c>
      <c r="K481" s="34">
        <f t="shared" si="120"/>
        <v>16.8</v>
      </c>
      <c r="L481" s="33"/>
      <c r="M481" s="33"/>
      <c r="N481" s="33"/>
      <c r="O481" s="29"/>
      <c r="P481" s="29"/>
      <c r="Q481" s="35" t="str">
        <f t="shared" ca="1" si="121"/>
        <v/>
      </c>
      <c r="R481" s="27"/>
      <c r="S481" s="60"/>
    </row>
    <row r="482" spans="1:20" ht="15" customHeight="1" x14ac:dyDescent="0.3">
      <c r="A482" s="67">
        <v>46252</v>
      </c>
      <c r="B482" s="25">
        <f t="shared" si="122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>
        <v>26</v>
      </c>
      <c r="H482" s="134">
        <f>IFERROR(IF($G482="","",$G482*$S$486/$G$486/Cadastro!$E$33),"")</f>
        <v>106.07483443708608</v>
      </c>
      <c r="I482" s="135">
        <f>IFERROR(IF($D482="","",VLOOKUP($D482,Cadastro!$C$4:$G$7,5,FALSE)),"")</f>
        <v>0.6</v>
      </c>
      <c r="J482" s="136">
        <f t="shared" si="119"/>
        <v>22.275715231788073</v>
      </c>
      <c r="K482" s="28">
        <f t="shared" si="120"/>
        <v>109.2</v>
      </c>
      <c r="L482" s="26"/>
      <c r="M482" s="26"/>
      <c r="N482" s="26"/>
      <c r="O482" s="29"/>
      <c r="P482" s="29"/>
      <c r="Q482" s="30" t="str">
        <f t="shared" ca="1" si="121"/>
        <v/>
      </c>
      <c r="R482" s="27"/>
      <c r="S482" s="60"/>
    </row>
    <row r="483" spans="1:20" ht="15" customHeight="1" x14ac:dyDescent="0.3">
      <c r="A483" s="68">
        <v>46252</v>
      </c>
      <c r="B483" s="32">
        <f t="shared" si="122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>
        <v>10</v>
      </c>
      <c r="H483" s="134">
        <f>IFERROR(IF($G483="","",$G483*$S$486/$G$486/Cadastro!$E$33),"")</f>
        <v>40.798013245033118</v>
      </c>
      <c r="I483" s="135">
        <f>IFERROR(IF($D483="","",VLOOKUP($D483,Cadastro!$C$4:$G$7,5,FALSE)),"")</f>
        <v>0.6</v>
      </c>
      <c r="J483" s="136">
        <f t="shared" si="119"/>
        <v>8.5675827814569541</v>
      </c>
      <c r="K483" s="34">
        <f t="shared" si="120"/>
        <v>42</v>
      </c>
      <c r="L483" s="33"/>
      <c r="M483" s="33"/>
      <c r="N483" s="33"/>
      <c r="O483" s="29"/>
      <c r="P483" s="29"/>
      <c r="Q483" s="35" t="str">
        <f t="shared" ca="1" si="121"/>
        <v/>
      </c>
      <c r="R483" s="27"/>
      <c r="S483" s="60"/>
    </row>
    <row r="484" spans="1:20" ht="15" customHeight="1" x14ac:dyDescent="0.3">
      <c r="A484" s="67">
        <v>46252</v>
      </c>
      <c r="B484" s="25">
        <f t="shared" si="122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>
        <v>14</v>
      </c>
      <c r="H484" s="134">
        <f>IFERROR(IF($G484="","",$G484*$S$486/$G$486/Cadastro!$E$33),"")</f>
        <v>57.117218543046356</v>
      </c>
      <c r="I484" s="135">
        <f>IFERROR(IF($D484="","",VLOOKUP($D484,Cadastro!$C$4:$G$7,5,FALSE)),"")</f>
        <v>0.6</v>
      </c>
      <c r="J484" s="136">
        <f t="shared" si="119"/>
        <v>11.994615894039732</v>
      </c>
      <c r="K484" s="28">
        <f t="shared" si="120"/>
        <v>58.800000000000004</v>
      </c>
      <c r="L484" s="26"/>
      <c r="M484" s="26"/>
      <c r="N484" s="26"/>
      <c r="O484" s="29"/>
      <c r="P484" s="29"/>
      <c r="Q484" s="30" t="str">
        <f t="shared" ca="1" si="121"/>
        <v/>
      </c>
      <c r="R484" s="27"/>
      <c r="S484" s="60"/>
    </row>
    <row r="485" spans="1:20" ht="15" customHeight="1" thickBot="1" x14ac:dyDescent="0.35">
      <c r="A485" s="68">
        <v>46252</v>
      </c>
      <c r="B485" s="32">
        <f t="shared" si="122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>
        <v>10</v>
      </c>
      <c r="H485" s="137">
        <f>IFERROR(IF($G485="","",$G485*$S$486/$G$486/Cadastro!$E$33),"")</f>
        <v>40.798013245033118</v>
      </c>
      <c r="I485" s="138">
        <f>IFERROR(IF($D485="","",VLOOKUP($D485,Cadastro!$C$4:$G$7,5,FALSE)),"")</f>
        <v>0.6</v>
      </c>
      <c r="J485" s="139">
        <f t="shared" si="119"/>
        <v>8.5675827814569541</v>
      </c>
      <c r="K485" s="34">
        <f t="shared" si="120"/>
        <v>42</v>
      </c>
      <c r="L485" s="33"/>
      <c r="M485" s="33"/>
      <c r="N485" s="33"/>
      <c r="O485" s="29"/>
      <c r="P485" s="29"/>
      <c r="Q485" s="35" t="str">
        <f t="shared" ca="1" si="121"/>
        <v/>
      </c>
      <c r="R485" s="27"/>
      <c r="S485" s="60"/>
    </row>
    <row r="486" spans="1:20" ht="15.75" customHeight="1" thickBot="1" x14ac:dyDescent="0.35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151</v>
      </c>
      <c r="H486" s="111">
        <f>IFERROR(SUM(H474:H485),"")</f>
        <v>616.04999999999984</v>
      </c>
      <c r="I486" s="115"/>
      <c r="J486" s="124">
        <f>IFERROR(SUM(J474:J485),"")</f>
        <v>129.37049999999996</v>
      </c>
      <c r="K486" s="36">
        <f>SUM(K474:K485)</f>
        <v>634.19999999999993</v>
      </c>
      <c r="L486" s="37"/>
      <c r="M486" s="37"/>
      <c r="N486" s="37"/>
      <c r="O486" s="61"/>
      <c r="P486" s="61"/>
      <c r="Q486" s="38">
        <f ca="1">IFERROR(SUM(Q474:Q485),"")</f>
        <v>0.15833333333333338</v>
      </c>
      <c r="R486" s="36" t="s">
        <v>248</v>
      </c>
      <c r="S486" s="39">
        <v>616050</v>
      </c>
      <c r="T486" s="119">
        <f>IFERROR(J486,"")</f>
        <v>129.37049999999996</v>
      </c>
    </row>
    <row r="487" spans="1:20" ht="18" customHeight="1" x14ac:dyDescent="0.3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305</v>
      </c>
      <c r="H487" s="112">
        <f>IFERROR(H473+H486,"")</f>
        <v>1354.86</v>
      </c>
      <c r="I487" s="116"/>
      <c r="J487" s="125">
        <f>IFERROR(J473+J486,"")</f>
        <v>284.52059999999994</v>
      </c>
      <c r="K487" s="40">
        <f>K473+K486</f>
        <v>1281</v>
      </c>
      <c r="L487" s="41"/>
      <c r="M487" s="41"/>
      <c r="N487" s="41"/>
      <c r="O487" s="63"/>
      <c r="P487" s="63"/>
      <c r="Q487" s="42">
        <f ca="1">IFERROR(Q473+Q486,"")</f>
        <v>0.45138888888888873</v>
      </c>
      <c r="R487" s="40" t="s">
        <v>252</v>
      </c>
      <c r="S487" s="48">
        <f>IFERROR(S473+S486,"")</f>
        <v>1354860</v>
      </c>
      <c r="T487" s="121">
        <f>IFERROR(J487,"")</f>
        <v>284.52059999999994</v>
      </c>
    </row>
    <row r="488" spans="1:20" ht="15" customHeight="1" x14ac:dyDescent="0.3">
      <c r="A488" s="67">
        <v>46253</v>
      </c>
      <c r="B488" s="25">
        <v>0.33333333333333298</v>
      </c>
      <c r="C488" s="26" t="s">
        <v>52</v>
      </c>
      <c r="D488" s="59" t="s">
        <v>29</v>
      </c>
      <c r="E488" s="108" t="s">
        <v>262</v>
      </c>
      <c r="F488" s="140">
        <f>IFERROR(IF($D488="","",VLOOKUP($D488,Cadastro!$C$4:$E$7,3,FALSE)),"")</f>
        <v>0.35</v>
      </c>
      <c r="G488" s="105"/>
      <c r="H488" s="140" t="str">
        <f>IFERROR(IF($G488="","",$G488*$S$500/$G$500/Cadastro!$E$33),"")</f>
        <v/>
      </c>
      <c r="I488" s="141">
        <f>IFERROR(IF($D488="","",VLOOKUP($D488,Cadastro!$C$4:$G$7,5,FALSE)),"")</f>
        <v>0.6</v>
      </c>
      <c r="J488" s="142" t="str">
        <f t="shared" ref="J488:J499" si="123">IFERROR(IF($H488="","",$H488*$F488*$I488),"")</f>
        <v/>
      </c>
      <c r="K488" s="28" t="str">
        <f t="shared" ref="K488:K499" si="124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 x14ac:dyDescent="0.3">
      <c r="A489" s="68">
        <v>46253</v>
      </c>
      <c r="B489" s="32">
        <f t="shared" ref="B489:B499" si="125">B488+TIME(0,60,0)</f>
        <v>0.37499999999999967</v>
      </c>
      <c r="C489" s="26" t="s">
        <v>52</v>
      </c>
      <c r="D489" s="59" t="s">
        <v>29</v>
      </c>
      <c r="E489" s="108" t="s">
        <v>262</v>
      </c>
      <c r="F489" s="134">
        <f>IFERROR(IF($D489="","",VLOOKUP($D489,Cadastro!$C$4:$E$7,3,FALSE)),"")</f>
        <v>0.35</v>
      </c>
      <c r="G489" s="105"/>
      <c r="H489" s="134" t="str">
        <f>IFERROR(IF($G489="","",$G489*$S$500/$G$500/Cadastro!$E$33),"")</f>
        <v/>
      </c>
      <c r="I489" s="135">
        <f>IFERROR(IF($D489="","",VLOOKUP($D489,Cadastro!$C$4:$G$7,5,FALSE)),"")</f>
        <v>0.6</v>
      </c>
      <c r="J489" s="136" t="str">
        <f t="shared" si="123"/>
        <v/>
      </c>
      <c r="K489" s="34" t="str">
        <f t="shared" si="124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 x14ac:dyDescent="0.3">
      <c r="A490" s="67">
        <v>46253</v>
      </c>
      <c r="B490" s="25">
        <f t="shared" si="125"/>
        <v>0.41666666666666635</v>
      </c>
      <c r="C490" s="26" t="s">
        <v>52</v>
      </c>
      <c r="D490" s="59" t="s">
        <v>29</v>
      </c>
      <c r="E490" s="108" t="s">
        <v>262</v>
      </c>
      <c r="F490" s="134">
        <f>IFERROR(IF($D490="","",VLOOKUP($D490,Cadastro!$C$4:$E$7,3,FALSE)),"")</f>
        <v>0.35</v>
      </c>
      <c r="G490" s="105"/>
      <c r="H490" s="134" t="str">
        <f>IFERROR(IF($G490="","",$G490*$S$500/$G$500/Cadastro!$E$33),"")</f>
        <v/>
      </c>
      <c r="I490" s="135">
        <f>IFERROR(IF($D490="","",VLOOKUP($D490,Cadastro!$C$4:$G$7,5,FALSE)),"")</f>
        <v>0.6</v>
      </c>
      <c r="J490" s="136" t="str">
        <f t="shared" si="123"/>
        <v/>
      </c>
      <c r="K490" s="28" t="str">
        <f t="shared" si="124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 x14ac:dyDescent="0.3">
      <c r="A491" s="68">
        <v>46253</v>
      </c>
      <c r="B491" s="32">
        <f t="shared" si="125"/>
        <v>0.45833333333333304</v>
      </c>
      <c r="C491" s="26" t="s">
        <v>52</v>
      </c>
      <c r="D491" s="59" t="s">
        <v>29</v>
      </c>
      <c r="E491" s="108" t="s">
        <v>262</v>
      </c>
      <c r="F491" s="134">
        <f>IFERROR(IF($D491="","",VLOOKUP($D491,Cadastro!$C$4:$E$7,3,FALSE)),"")</f>
        <v>0.35</v>
      </c>
      <c r="G491" s="105"/>
      <c r="H491" s="134" t="str">
        <f>IFERROR(IF($G491="","",$G491*$S$500/$G$500/Cadastro!$E$33),"")</f>
        <v/>
      </c>
      <c r="I491" s="135">
        <f>IFERROR(IF($D491="","",VLOOKUP($D491,Cadastro!$C$4:$G$7,5,FALSE)),"")</f>
        <v>0.6</v>
      </c>
      <c r="J491" s="136" t="str">
        <f t="shared" si="123"/>
        <v/>
      </c>
      <c r="K491" s="34" t="str">
        <f t="shared" si="124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 x14ac:dyDescent="0.3">
      <c r="A492" s="67">
        <v>46253</v>
      </c>
      <c r="B492" s="25">
        <f t="shared" si="125"/>
        <v>0.49999999999999972</v>
      </c>
      <c r="C492" s="26" t="s">
        <v>52</v>
      </c>
      <c r="D492" s="59" t="s">
        <v>29</v>
      </c>
      <c r="E492" s="108" t="s">
        <v>262</v>
      </c>
      <c r="F492" s="134">
        <f>IFERROR(IF($D492="","",VLOOKUP($D492,Cadastro!$C$4:$E$7,3,FALSE)),"")</f>
        <v>0.35</v>
      </c>
      <c r="G492" s="105"/>
      <c r="H492" s="134" t="str">
        <f>IFERROR(IF($G492="","",$G492*$S$500/$G$500/Cadastro!$E$33),"")</f>
        <v/>
      </c>
      <c r="I492" s="135">
        <f>IFERROR(IF($D492="","",VLOOKUP($D492,Cadastro!$C$4:$G$7,5,FALSE)),"")</f>
        <v>0.6</v>
      </c>
      <c r="J492" s="136" t="str">
        <f t="shared" si="123"/>
        <v/>
      </c>
      <c r="K492" s="28" t="str">
        <f t="shared" si="124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 x14ac:dyDescent="0.3">
      <c r="A493" s="68">
        <v>46253</v>
      </c>
      <c r="B493" s="32">
        <f t="shared" si="125"/>
        <v>0.54166666666666641</v>
      </c>
      <c r="C493" s="26" t="s">
        <v>52</v>
      </c>
      <c r="D493" s="59" t="s">
        <v>29</v>
      </c>
      <c r="E493" s="108" t="s">
        <v>262</v>
      </c>
      <c r="F493" s="134">
        <f>IFERROR(IF($D493="","",VLOOKUP($D493,Cadastro!$C$4:$E$7,3,FALSE)),"")</f>
        <v>0.35</v>
      </c>
      <c r="G493" s="105"/>
      <c r="H493" s="134" t="str">
        <f>IFERROR(IF($G493="","",$G493*$S$500/$G$500/Cadastro!$E$33),"")</f>
        <v/>
      </c>
      <c r="I493" s="135">
        <f>IFERROR(IF($D493="","",VLOOKUP($D493,Cadastro!$C$4:$G$7,5,FALSE)),"")</f>
        <v>0.6</v>
      </c>
      <c r="J493" s="136" t="str">
        <f t="shared" si="123"/>
        <v/>
      </c>
      <c r="K493" s="34" t="str">
        <f t="shared" si="124"/>
        <v/>
      </c>
      <c r="L493" s="33"/>
      <c r="M493" s="33"/>
      <c r="N493" s="33"/>
      <c r="O493" s="29"/>
      <c r="P493" s="29"/>
      <c r="Q493" s="35" t="str">
        <f t="shared" ref="Q493:Q499" ca="1" si="126">IFERROR(IF(O493="","",IF(P493="",MOD(NOW()-O493,1),IF(P493&gt;=O493,P493-O493,P493+1-O493))),"")</f>
        <v/>
      </c>
      <c r="R493" s="27"/>
      <c r="S493" s="60"/>
    </row>
    <row r="494" spans="1:20" ht="15" customHeight="1" x14ac:dyDescent="0.3">
      <c r="A494" s="67">
        <v>46253</v>
      </c>
      <c r="B494" s="25">
        <f t="shared" si="125"/>
        <v>0.58333333333333304</v>
      </c>
      <c r="C494" s="26" t="s">
        <v>52</v>
      </c>
      <c r="D494" s="59" t="s">
        <v>29</v>
      </c>
      <c r="E494" s="108" t="s">
        <v>262</v>
      </c>
      <c r="F494" s="134">
        <f>IFERROR(IF($D494="","",VLOOKUP($D494,Cadastro!$C$4:$E$7,3,FALSE)),"")</f>
        <v>0.35</v>
      </c>
      <c r="G494" s="105"/>
      <c r="H494" s="134" t="str">
        <f>IFERROR(IF($G494="","",$G494*$S$500/$G$500/Cadastro!$E$33),"")</f>
        <v/>
      </c>
      <c r="I494" s="135">
        <f>IFERROR(IF($D494="","",VLOOKUP($D494,Cadastro!$C$4:$G$7,5,FALSE)),"")</f>
        <v>0.6</v>
      </c>
      <c r="J494" s="136" t="str">
        <f t="shared" si="123"/>
        <v/>
      </c>
      <c r="K494" s="28" t="str">
        <f t="shared" si="124"/>
        <v/>
      </c>
      <c r="L494" s="26"/>
      <c r="M494" s="26"/>
      <c r="N494" s="26"/>
      <c r="O494" s="29"/>
      <c r="P494" s="29"/>
      <c r="Q494" s="30" t="str">
        <f t="shared" ca="1" si="126"/>
        <v/>
      </c>
      <c r="R494" s="27"/>
      <c r="S494" s="60"/>
    </row>
    <row r="495" spans="1:20" ht="15" customHeight="1" x14ac:dyDescent="0.3">
      <c r="A495" s="68">
        <v>46253</v>
      </c>
      <c r="B495" s="32">
        <f t="shared" si="125"/>
        <v>0.62499999999999967</v>
      </c>
      <c r="C495" s="26" t="s">
        <v>52</v>
      </c>
      <c r="D495" s="59" t="s">
        <v>29</v>
      </c>
      <c r="E495" s="108" t="s">
        <v>262</v>
      </c>
      <c r="F495" s="134">
        <f>IFERROR(IF($D495="","",VLOOKUP($D495,Cadastro!$C$4:$E$7,3,FALSE)),"")</f>
        <v>0.35</v>
      </c>
      <c r="G495" s="105"/>
      <c r="H495" s="134" t="str">
        <f>IFERROR(IF($G495="","",$G495*$S$500/$G$500/Cadastro!$E$33),"")</f>
        <v/>
      </c>
      <c r="I495" s="135">
        <f>IFERROR(IF($D495="","",VLOOKUP($D495,Cadastro!$C$4:$G$7,5,FALSE)),"")</f>
        <v>0.6</v>
      </c>
      <c r="J495" s="136" t="str">
        <f t="shared" si="123"/>
        <v/>
      </c>
      <c r="K495" s="34" t="str">
        <f t="shared" si="124"/>
        <v/>
      </c>
      <c r="L495" s="33"/>
      <c r="M495" s="33"/>
      <c r="N495" s="33"/>
      <c r="O495" s="29"/>
      <c r="P495" s="29"/>
      <c r="Q495" s="35" t="str">
        <f t="shared" ca="1" si="126"/>
        <v/>
      </c>
      <c r="R495" s="27"/>
      <c r="S495" s="60"/>
    </row>
    <row r="496" spans="1:20" ht="15" customHeight="1" x14ac:dyDescent="0.3">
      <c r="A496" s="67">
        <v>46253</v>
      </c>
      <c r="B496" s="25">
        <f t="shared" si="125"/>
        <v>0.6666666666666663</v>
      </c>
      <c r="C496" s="26" t="s">
        <v>52</v>
      </c>
      <c r="D496" s="59" t="s">
        <v>29</v>
      </c>
      <c r="E496" s="108" t="s">
        <v>262</v>
      </c>
      <c r="F496" s="134">
        <f>IFERROR(IF($D496="","",VLOOKUP($D496,Cadastro!$C$4:$E$7,3,FALSE)),"")</f>
        <v>0.35</v>
      </c>
      <c r="G496" s="105"/>
      <c r="H496" s="134" t="str">
        <f>IFERROR(IF($G496="","",$G496*$S$500/$G$500/Cadastro!$E$33),"")</f>
        <v/>
      </c>
      <c r="I496" s="135">
        <f>IFERROR(IF($D496="","",VLOOKUP($D496,Cadastro!$C$4:$G$7,5,FALSE)),"")</f>
        <v>0.6</v>
      </c>
      <c r="J496" s="136" t="str">
        <f t="shared" si="123"/>
        <v/>
      </c>
      <c r="K496" s="28" t="str">
        <f t="shared" si="124"/>
        <v/>
      </c>
      <c r="L496" s="26"/>
      <c r="M496" s="26"/>
      <c r="N496" s="26"/>
      <c r="O496" s="29"/>
      <c r="P496" s="29"/>
      <c r="Q496" s="30" t="str">
        <f t="shared" ca="1" si="126"/>
        <v/>
      </c>
      <c r="R496" s="27"/>
      <c r="S496" s="60"/>
    </row>
    <row r="497" spans="1:20" ht="15" customHeight="1" x14ac:dyDescent="0.3">
      <c r="A497" s="68">
        <v>46253</v>
      </c>
      <c r="B497" s="32">
        <f t="shared" si="125"/>
        <v>0.70833333333333293</v>
      </c>
      <c r="C497" s="26" t="s">
        <v>52</v>
      </c>
      <c r="D497" s="59" t="s">
        <v>29</v>
      </c>
      <c r="E497" s="108" t="s">
        <v>262</v>
      </c>
      <c r="F497" s="134">
        <f>IFERROR(IF($D497="","",VLOOKUP($D497,Cadastro!$C$4:$E$7,3,FALSE)),"")</f>
        <v>0.35</v>
      </c>
      <c r="G497" s="105"/>
      <c r="H497" s="134" t="str">
        <f>IFERROR(IF($G497="","",$G497*$S$500/$G$500/Cadastro!$E$33),"")</f>
        <v/>
      </c>
      <c r="I497" s="135">
        <f>IFERROR(IF($D497="","",VLOOKUP($D497,Cadastro!$C$4:$G$7,5,FALSE)),"")</f>
        <v>0.6</v>
      </c>
      <c r="J497" s="136" t="str">
        <f t="shared" si="123"/>
        <v/>
      </c>
      <c r="K497" s="34" t="str">
        <f t="shared" si="124"/>
        <v/>
      </c>
      <c r="L497" s="33"/>
      <c r="M497" s="33"/>
      <c r="N497" s="33"/>
      <c r="O497" s="29"/>
      <c r="P497" s="29"/>
      <c r="Q497" s="35" t="str">
        <f t="shared" ca="1" si="126"/>
        <v/>
      </c>
      <c r="R497" s="27"/>
      <c r="S497" s="60"/>
    </row>
    <row r="498" spans="1:20" ht="15" customHeight="1" x14ac:dyDescent="0.3">
      <c r="A498" s="67">
        <v>46253</v>
      </c>
      <c r="B498" s="25">
        <f t="shared" si="125"/>
        <v>0.74999999999999956</v>
      </c>
      <c r="C498" s="26" t="s">
        <v>52</v>
      </c>
      <c r="D498" s="59" t="s">
        <v>29</v>
      </c>
      <c r="E498" s="108" t="s">
        <v>262</v>
      </c>
      <c r="F498" s="134">
        <f>IFERROR(IF($D498="","",VLOOKUP($D498,Cadastro!$C$4:$E$7,3,FALSE)),"")</f>
        <v>0.35</v>
      </c>
      <c r="G498" s="105"/>
      <c r="H498" s="134" t="str">
        <f>IFERROR(IF($G498="","",$G498*$S$500/$G$500/Cadastro!$E$33),"")</f>
        <v/>
      </c>
      <c r="I498" s="135">
        <f>IFERROR(IF($D498="","",VLOOKUP($D498,Cadastro!$C$4:$G$7,5,FALSE)),"")</f>
        <v>0.6</v>
      </c>
      <c r="J498" s="136" t="str">
        <f t="shared" si="123"/>
        <v/>
      </c>
      <c r="K498" s="28" t="str">
        <f t="shared" si="124"/>
        <v/>
      </c>
      <c r="L498" s="26"/>
      <c r="M498" s="26"/>
      <c r="N498" s="26"/>
      <c r="O498" s="29"/>
      <c r="P498" s="29"/>
      <c r="Q498" s="30" t="str">
        <f t="shared" ca="1" si="126"/>
        <v/>
      </c>
      <c r="R498" s="27"/>
      <c r="S498" s="60"/>
    </row>
    <row r="499" spans="1:20" ht="15" customHeight="1" thickBot="1" x14ac:dyDescent="0.35">
      <c r="A499" s="68">
        <v>46253</v>
      </c>
      <c r="B499" s="32">
        <f t="shared" si="125"/>
        <v>0.79166666666666619</v>
      </c>
      <c r="C499" s="26" t="s">
        <v>52</v>
      </c>
      <c r="D499" s="59" t="s">
        <v>29</v>
      </c>
      <c r="E499" s="108" t="s">
        <v>262</v>
      </c>
      <c r="F499" s="137">
        <f>IFERROR(IF($D499="","",VLOOKUP($D499,Cadastro!$C$4:$E$7,3,FALSE)),"")</f>
        <v>0.35</v>
      </c>
      <c r="G499" s="105"/>
      <c r="H499" s="137" t="str">
        <f>IFERROR(IF($G499="","",$G499*$S$500/$G$500/Cadastro!$E$33),"")</f>
        <v/>
      </c>
      <c r="I499" s="138">
        <f>IFERROR(IF($D499="","",VLOOKUP($D499,Cadastro!$C$4:$G$7,5,FALSE)),"")</f>
        <v>0.6</v>
      </c>
      <c r="J499" s="139" t="str">
        <f t="shared" si="123"/>
        <v/>
      </c>
      <c r="K499" s="34" t="str">
        <f t="shared" si="124"/>
        <v/>
      </c>
      <c r="L499" s="33"/>
      <c r="M499" s="33"/>
      <c r="N499" s="33"/>
      <c r="O499" s="29"/>
      <c r="P499" s="29"/>
      <c r="Q499" s="35" t="str">
        <f t="shared" ca="1" si="126"/>
        <v/>
      </c>
      <c r="R499" s="27"/>
      <c r="S499" s="60"/>
    </row>
    <row r="500" spans="1:20" ht="15.75" customHeight="1" thickBot="1" x14ac:dyDescent="0.35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 x14ac:dyDescent="0.3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7">IFERROR(IF($H501="","",$H501*$F501*$I501),"")</f>
        <v/>
      </c>
      <c r="K501" s="34" t="str">
        <f t="shared" ref="K501:K512" si="128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9">IFERROR(IF(O501="","",IF(P501="",MOD(NOW()-O501,1),IF(P501&gt;=O501,P501-O501,P501+1-O501))),"")</f>
        <v/>
      </c>
      <c r="R501" s="27"/>
      <c r="S501" s="60"/>
    </row>
    <row r="502" spans="1:20" ht="15" customHeight="1" x14ac:dyDescent="0.3">
      <c r="A502" s="67">
        <v>46253</v>
      </c>
      <c r="B502" s="25">
        <f t="shared" ref="B502:B512" si="130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7"/>
        <v/>
      </c>
      <c r="K502" s="28" t="str">
        <f t="shared" si="128"/>
        <v/>
      </c>
      <c r="L502" s="26"/>
      <c r="M502" s="26"/>
      <c r="N502" s="26"/>
      <c r="O502" s="29"/>
      <c r="P502" s="29"/>
      <c r="Q502" s="30" t="str">
        <f t="shared" ca="1" si="129"/>
        <v/>
      </c>
      <c r="R502" s="27"/>
      <c r="S502" s="60"/>
    </row>
    <row r="503" spans="1:20" ht="15" customHeight="1" x14ac:dyDescent="0.3">
      <c r="A503" s="68">
        <v>46253</v>
      </c>
      <c r="B503" s="32">
        <f t="shared" si="130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7"/>
        <v/>
      </c>
      <c r="K503" s="34" t="str">
        <f t="shared" si="128"/>
        <v/>
      </c>
      <c r="L503" s="33"/>
      <c r="M503" s="33"/>
      <c r="N503" s="33"/>
      <c r="O503" s="29"/>
      <c r="P503" s="29"/>
      <c r="Q503" s="35" t="str">
        <f t="shared" ca="1" si="129"/>
        <v/>
      </c>
      <c r="R503" s="27"/>
      <c r="S503" s="60"/>
    </row>
    <row r="504" spans="1:20" ht="15" customHeight="1" x14ac:dyDescent="0.3">
      <c r="A504" s="67">
        <v>46253</v>
      </c>
      <c r="B504" s="25">
        <f t="shared" si="130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7"/>
        <v/>
      </c>
      <c r="K504" s="28" t="str">
        <f t="shared" si="128"/>
        <v/>
      </c>
      <c r="L504" s="26"/>
      <c r="M504" s="26"/>
      <c r="N504" s="26"/>
      <c r="O504" s="29"/>
      <c r="P504" s="29"/>
      <c r="Q504" s="30" t="str">
        <f t="shared" ca="1" si="129"/>
        <v/>
      </c>
      <c r="R504" s="27"/>
      <c r="S504" s="60"/>
    </row>
    <row r="505" spans="1:20" ht="15" customHeight="1" x14ac:dyDescent="0.3">
      <c r="A505" s="68">
        <v>46253</v>
      </c>
      <c r="B505" s="32">
        <f t="shared" si="130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7"/>
        <v/>
      </c>
      <c r="K505" s="34" t="str">
        <f t="shared" si="128"/>
        <v/>
      </c>
      <c r="L505" s="33"/>
      <c r="M505" s="33"/>
      <c r="N505" s="33"/>
      <c r="O505" s="29"/>
      <c r="P505" s="29"/>
      <c r="Q505" s="35" t="str">
        <f t="shared" ca="1" si="129"/>
        <v/>
      </c>
      <c r="R505" s="27"/>
      <c r="S505" s="60"/>
    </row>
    <row r="506" spans="1:20" ht="15" customHeight="1" x14ac:dyDescent="0.3">
      <c r="A506" s="67">
        <v>46253</v>
      </c>
      <c r="B506" s="25">
        <f t="shared" si="130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7"/>
        <v/>
      </c>
      <c r="K506" s="28" t="str">
        <f t="shared" si="128"/>
        <v/>
      </c>
      <c r="L506" s="26"/>
      <c r="M506" s="26"/>
      <c r="N506" s="26"/>
      <c r="O506" s="29"/>
      <c r="P506" s="29"/>
      <c r="Q506" s="30" t="str">
        <f t="shared" ca="1" si="129"/>
        <v/>
      </c>
      <c r="R506" s="27"/>
      <c r="S506" s="60"/>
    </row>
    <row r="507" spans="1:20" ht="15" customHeight="1" x14ac:dyDescent="0.3">
      <c r="A507" s="68">
        <v>46253</v>
      </c>
      <c r="B507" s="32">
        <f t="shared" si="130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7"/>
        <v/>
      </c>
      <c r="K507" s="34" t="str">
        <f t="shared" si="128"/>
        <v/>
      </c>
      <c r="L507" s="33"/>
      <c r="M507" s="33"/>
      <c r="N507" s="33"/>
      <c r="O507" s="29"/>
      <c r="P507" s="29"/>
      <c r="Q507" s="35" t="str">
        <f t="shared" ca="1" si="129"/>
        <v/>
      </c>
      <c r="R507" s="27"/>
      <c r="S507" s="60"/>
    </row>
    <row r="508" spans="1:20" ht="15" customHeight="1" x14ac:dyDescent="0.3">
      <c r="A508" s="67">
        <v>46253</v>
      </c>
      <c r="B508" s="25">
        <f t="shared" si="130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7"/>
        <v/>
      </c>
      <c r="K508" s="28" t="str">
        <f t="shared" si="128"/>
        <v/>
      </c>
      <c r="L508" s="26"/>
      <c r="M508" s="26"/>
      <c r="N508" s="26"/>
      <c r="O508" s="29"/>
      <c r="P508" s="29"/>
      <c r="Q508" s="30" t="str">
        <f t="shared" ca="1" si="129"/>
        <v/>
      </c>
      <c r="R508" s="27"/>
      <c r="S508" s="60"/>
    </row>
    <row r="509" spans="1:20" ht="15" customHeight="1" x14ac:dyDescent="0.3">
      <c r="A509" s="68">
        <v>46253</v>
      </c>
      <c r="B509" s="32">
        <f t="shared" si="130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7"/>
        <v/>
      </c>
      <c r="K509" s="34" t="str">
        <f t="shared" si="128"/>
        <v/>
      </c>
      <c r="L509" s="33"/>
      <c r="M509" s="33"/>
      <c r="N509" s="33"/>
      <c r="O509" s="29"/>
      <c r="P509" s="29"/>
      <c r="Q509" s="35" t="str">
        <f t="shared" ca="1" si="129"/>
        <v/>
      </c>
      <c r="R509" s="27"/>
      <c r="S509" s="60"/>
    </row>
    <row r="510" spans="1:20" ht="15" customHeight="1" x14ac:dyDescent="0.3">
      <c r="A510" s="67">
        <v>46253</v>
      </c>
      <c r="B510" s="25">
        <f t="shared" si="130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7"/>
        <v/>
      </c>
      <c r="K510" s="28" t="str">
        <f t="shared" si="128"/>
        <v/>
      </c>
      <c r="L510" s="26"/>
      <c r="M510" s="26"/>
      <c r="N510" s="26"/>
      <c r="O510" s="29"/>
      <c r="P510" s="29"/>
      <c r="Q510" s="30" t="str">
        <f t="shared" ca="1" si="129"/>
        <v/>
      </c>
      <c r="R510" s="27"/>
      <c r="S510" s="60"/>
    </row>
    <row r="511" spans="1:20" ht="15" customHeight="1" x14ac:dyDescent="0.3">
      <c r="A511" s="68">
        <v>46253</v>
      </c>
      <c r="B511" s="32">
        <f t="shared" si="130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7"/>
        <v/>
      </c>
      <c r="K511" s="34" t="str">
        <f t="shared" si="128"/>
        <v/>
      </c>
      <c r="L511" s="33"/>
      <c r="M511" s="33"/>
      <c r="N511" s="33"/>
      <c r="O511" s="29"/>
      <c r="P511" s="29"/>
      <c r="Q511" s="35" t="str">
        <f t="shared" ca="1" si="129"/>
        <v/>
      </c>
      <c r="R511" s="27"/>
      <c r="S511" s="60"/>
    </row>
    <row r="512" spans="1:20" ht="15" customHeight="1" thickBot="1" x14ac:dyDescent="0.35">
      <c r="A512" s="67">
        <v>46253</v>
      </c>
      <c r="B512" s="25">
        <f t="shared" si="130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7"/>
        <v/>
      </c>
      <c r="K512" s="28" t="str">
        <f t="shared" si="128"/>
        <v/>
      </c>
      <c r="L512" s="26"/>
      <c r="M512" s="26"/>
      <c r="N512" s="26"/>
      <c r="O512" s="29"/>
      <c r="P512" s="29"/>
      <c r="Q512" s="30" t="str">
        <f t="shared" ca="1" si="129"/>
        <v/>
      </c>
      <c r="R512" s="27"/>
      <c r="S512" s="60"/>
    </row>
    <row r="513" spans="1:20" ht="15.75" customHeight="1" thickBot="1" x14ac:dyDescent="0.35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 x14ac:dyDescent="0.3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 x14ac:dyDescent="0.3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1">IFERROR(IF($H515="","",$H515*$F515*$I515),"")</f>
        <v/>
      </c>
      <c r="K515" s="34" t="str">
        <f t="shared" ref="K515:K526" si="132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3">IFERROR(IF(O515="","",IF(P515="",MOD(NOW()-O515,1),IF(P515&gt;=O515,P515-O515,P515+1-O515))),"")</f>
        <v/>
      </c>
      <c r="R515" s="27"/>
      <c r="S515" s="60"/>
    </row>
    <row r="516" spans="1:20" ht="15" customHeight="1" x14ac:dyDescent="0.3">
      <c r="A516" s="67">
        <v>46254</v>
      </c>
      <c r="B516" s="25">
        <f t="shared" ref="B516:B526" si="134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1"/>
        <v/>
      </c>
      <c r="K516" s="28" t="str">
        <f t="shared" si="132"/>
        <v/>
      </c>
      <c r="L516" s="49"/>
      <c r="M516" s="26"/>
      <c r="N516" s="49"/>
      <c r="O516" s="29"/>
      <c r="P516" s="29"/>
      <c r="Q516" s="30" t="str">
        <f t="shared" ca="1" si="133"/>
        <v/>
      </c>
      <c r="R516" s="27"/>
      <c r="S516" s="60"/>
    </row>
    <row r="517" spans="1:20" ht="15" customHeight="1" x14ac:dyDescent="0.3">
      <c r="A517" s="68">
        <v>46254</v>
      </c>
      <c r="B517" s="32">
        <f t="shared" si="134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1"/>
        <v/>
      </c>
      <c r="K517" s="34" t="str">
        <f t="shared" si="132"/>
        <v/>
      </c>
      <c r="L517" s="33"/>
      <c r="M517" s="33"/>
      <c r="N517" s="33"/>
      <c r="O517" s="29"/>
      <c r="P517" s="29"/>
      <c r="Q517" s="35" t="str">
        <f t="shared" ca="1" si="133"/>
        <v/>
      </c>
      <c r="R517" s="27"/>
      <c r="S517" s="60"/>
    </row>
    <row r="518" spans="1:20" ht="15" customHeight="1" x14ac:dyDescent="0.3">
      <c r="A518" s="67">
        <v>46254</v>
      </c>
      <c r="B518" s="25">
        <f t="shared" si="134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1"/>
        <v/>
      </c>
      <c r="K518" s="28" t="str">
        <f t="shared" si="132"/>
        <v/>
      </c>
      <c r="L518" s="33"/>
      <c r="M518" s="26"/>
      <c r="N518" s="26"/>
      <c r="O518" s="29"/>
      <c r="P518" s="29"/>
      <c r="Q518" s="30" t="str">
        <f t="shared" ca="1" si="133"/>
        <v/>
      </c>
      <c r="R518" s="27"/>
      <c r="S518" s="60"/>
    </row>
    <row r="519" spans="1:20" ht="15" customHeight="1" x14ac:dyDescent="0.3">
      <c r="A519" s="68">
        <v>46254</v>
      </c>
      <c r="B519" s="32">
        <f t="shared" si="134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1"/>
        <v/>
      </c>
      <c r="K519" s="34" t="str">
        <f t="shared" si="132"/>
        <v/>
      </c>
      <c r="L519" s="33"/>
      <c r="M519" s="33"/>
      <c r="N519" s="33"/>
      <c r="O519" s="29"/>
      <c r="P519" s="29"/>
      <c r="Q519" s="35" t="str">
        <f t="shared" ca="1" si="133"/>
        <v/>
      </c>
      <c r="R519" s="27"/>
      <c r="S519" s="60"/>
    </row>
    <row r="520" spans="1:20" ht="15" customHeight="1" x14ac:dyDescent="0.3">
      <c r="A520" s="67">
        <v>46254</v>
      </c>
      <c r="B520" s="25">
        <f t="shared" si="134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1"/>
        <v/>
      </c>
      <c r="K520" s="28" t="str">
        <f t="shared" si="132"/>
        <v/>
      </c>
      <c r="L520" s="26"/>
      <c r="M520" s="26"/>
      <c r="N520" s="26"/>
      <c r="O520" s="29"/>
      <c r="P520" s="29"/>
      <c r="Q520" s="30" t="str">
        <f t="shared" ca="1" si="133"/>
        <v/>
      </c>
      <c r="R520" s="27"/>
      <c r="S520" s="60"/>
    </row>
    <row r="521" spans="1:20" ht="15" customHeight="1" x14ac:dyDescent="0.3">
      <c r="A521" s="68">
        <v>46254</v>
      </c>
      <c r="B521" s="32">
        <f t="shared" si="134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1"/>
        <v/>
      </c>
      <c r="K521" s="34" t="str">
        <f t="shared" si="132"/>
        <v/>
      </c>
      <c r="L521" s="33"/>
      <c r="M521" s="33"/>
      <c r="N521" s="33"/>
      <c r="O521" s="29"/>
      <c r="P521" s="29"/>
      <c r="Q521" s="35" t="str">
        <f t="shared" ca="1" si="133"/>
        <v/>
      </c>
      <c r="R521" s="27"/>
      <c r="S521" s="60"/>
    </row>
    <row r="522" spans="1:20" ht="15" customHeight="1" x14ac:dyDescent="0.3">
      <c r="A522" s="67">
        <v>46254</v>
      </c>
      <c r="B522" s="25">
        <f t="shared" si="134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1"/>
        <v/>
      </c>
      <c r="K522" s="28" t="str">
        <f t="shared" si="132"/>
        <v/>
      </c>
      <c r="L522" s="26"/>
      <c r="M522" s="26"/>
      <c r="N522" s="26"/>
      <c r="O522" s="29"/>
      <c r="P522" s="29"/>
      <c r="Q522" s="30" t="str">
        <f t="shared" ca="1" si="133"/>
        <v/>
      </c>
      <c r="R522" s="27"/>
      <c r="S522" s="60"/>
    </row>
    <row r="523" spans="1:20" ht="15" customHeight="1" x14ac:dyDescent="0.3">
      <c r="A523" s="68">
        <v>46254</v>
      </c>
      <c r="B523" s="32">
        <f t="shared" si="134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1"/>
        <v/>
      </c>
      <c r="K523" s="34" t="str">
        <f t="shared" si="132"/>
        <v/>
      </c>
      <c r="L523" s="33"/>
      <c r="M523" s="33"/>
      <c r="N523" s="33"/>
      <c r="O523" s="29"/>
      <c r="P523" s="29"/>
      <c r="Q523" s="35" t="str">
        <f t="shared" ca="1" si="133"/>
        <v/>
      </c>
      <c r="R523" s="27"/>
      <c r="S523" s="60"/>
    </row>
    <row r="524" spans="1:20" ht="15" customHeight="1" x14ac:dyDescent="0.3">
      <c r="A524" s="67">
        <v>46254</v>
      </c>
      <c r="B524" s="25">
        <f t="shared" si="134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1"/>
        <v/>
      </c>
      <c r="K524" s="28" t="str">
        <f t="shared" si="132"/>
        <v/>
      </c>
      <c r="L524" s="26"/>
      <c r="M524" s="26"/>
      <c r="N524" s="26"/>
      <c r="O524" s="29"/>
      <c r="P524" s="29"/>
      <c r="Q524" s="30" t="str">
        <f t="shared" ca="1" si="133"/>
        <v/>
      </c>
      <c r="R524" s="27"/>
      <c r="S524" s="60"/>
    </row>
    <row r="525" spans="1:20" ht="15" customHeight="1" x14ac:dyDescent="0.3">
      <c r="A525" s="68">
        <v>46254</v>
      </c>
      <c r="B525" s="32">
        <f t="shared" si="134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1"/>
        <v/>
      </c>
      <c r="K525" s="34" t="str">
        <f t="shared" si="132"/>
        <v/>
      </c>
      <c r="L525" s="33"/>
      <c r="M525" s="33"/>
      <c r="N525" s="33"/>
      <c r="O525" s="29"/>
      <c r="P525" s="29"/>
      <c r="Q525" s="35" t="str">
        <f t="shared" ca="1" si="133"/>
        <v/>
      </c>
      <c r="R525" s="27"/>
      <c r="S525" s="60"/>
    </row>
    <row r="526" spans="1:20" ht="15" customHeight="1" thickBot="1" x14ac:dyDescent="0.35">
      <c r="A526" s="67">
        <v>46254</v>
      </c>
      <c r="B526" s="25">
        <f t="shared" si="134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1"/>
        <v/>
      </c>
      <c r="K526" s="28" t="str">
        <f t="shared" si="132"/>
        <v/>
      </c>
      <c r="L526" s="26"/>
      <c r="M526" s="26"/>
      <c r="N526" s="26"/>
      <c r="O526" s="29"/>
      <c r="P526" s="29"/>
      <c r="Q526" s="30" t="str">
        <f t="shared" ca="1" si="133"/>
        <v/>
      </c>
      <c r="R526" s="27"/>
      <c r="S526" s="60"/>
    </row>
    <row r="527" spans="1:20" ht="15.75" customHeight="1" thickBot="1" x14ac:dyDescent="0.35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 x14ac:dyDescent="0.3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5">IFERROR(IF($H528="","",$H528*$F528*$I528),"")</f>
        <v/>
      </c>
      <c r="K528" s="28" t="str">
        <f t="shared" ref="K528:K539" si="136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7">IFERROR(IF(O528="","",IF(P528="",MOD(NOW()-O528,1),IF(P528&gt;=O528,P528-O528,P528+1-O528))),"")</f>
        <v/>
      </c>
      <c r="R528" s="27"/>
      <c r="S528" s="60"/>
    </row>
    <row r="529" spans="1:20" ht="15" customHeight="1" x14ac:dyDescent="0.3">
      <c r="A529" s="68">
        <v>46254</v>
      </c>
      <c r="B529" s="32">
        <f t="shared" ref="B529:B539" si="138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5"/>
        <v/>
      </c>
      <c r="K529" s="34" t="str">
        <f t="shared" si="136"/>
        <v/>
      </c>
      <c r="L529" s="33"/>
      <c r="M529" s="33"/>
      <c r="N529" s="33"/>
      <c r="O529" s="29"/>
      <c r="P529" s="29"/>
      <c r="Q529" s="35" t="str">
        <f t="shared" ca="1" si="137"/>
        <v/>
      </c>
      <c r="R529" s="27"/>
      <c r="S529" s="60"/>
    </row>
    <row r="530" spans="1:20" ht="15" customHeight="1" x14ac:dyDescent="0.3">
      <c r="A530" s="67">
        <v>46254</v>
      </c>
      <c r="B530" s="25">
        <f t="shared" si="138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5"/>
        <v/>
      </c>
      <c r="K530" s="28" t="str">
        <f t="shared" si="136"/>
        <v/>
      </c>
      <c r="L530" s="26"/>
      <c r="M530" s="26"/>
      <c r="N530" s="26"/>
      <c r="O530" s="29"/>
      <c r="P530" s="29"/>
      <c r="Q530" s="30" t="str">
        <f t="shared" ca="1" si="137"/>
        <v/>
      </c>
      <c r="R530" s="27"/>
      <c r="S530" s="60"/>
    </row>
    <row r="531" spans="1:20" ht="15" customHeight="1" x14ac:dyDescent="0.3">
      <c r="A531" s="68">
        <v>46254</v>
      </c>
      <c r="B531" s="32">
        <f t="shared" si="138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5"/>
        <v/>
      </c>
      <c r="K531" s="34" t="str">
        <f t="shared" si="136"/>
        <v/>
      </c>
      <c r="L531" s="33"/>
      <c r="M531" s="33"/>
      <c r="N531" s="33"/>
      <c r="O531" s="29"/>
      <c r="P531" s="29"/>
      <c r="Q531" s="35" t="str">
        <f t="shared" ca="1" si="137"/>
        <v/>
      </c>
      <c r="R531" s="27"/>
      <c r="S531" s="60"/>
    </row>
    <row r="532" spans="1:20" ht="15" customHeight="1" x14ac:dyDescent="0.3">
      <c r="A532" s="67">
        <v>46254</v>
      </c>
      <c r="B532" s="25">
        <f t="shared" si="138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5"/>
        <v/>
      </c>
      <c r="K532" s="28" t="str">
        <f t="shared" si="136"/>
        <v/>
      </c>
      <c r="L532" s="26"/>
      <c r="M532" s="26"/>
      <c r="N532" s="26"/>
      <c r="O532" s="29"/>
      <c r="P532" s="29"/>
      <c r="Q532" s="30" t="str">
        <f t="shared" ca="1" si="137"/>
        <v/>
      </c>
      <c r="R532" s="27"/>
      <c r="S532" s="60"/>
    </row>
    <row r="533" spans="1:20" ht="15" customHeight="1" x14ac:dyDescent="0.3">
      <c r="A533" s="68">
        <v>46254</v>
      </c>
      <c r="B533" s="32">
        <f t="shared" si="138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5"/>
        <v/>
      </c>
      <c r="K533" s="34" t="str">
        <f t="shared" si="136"/>
        <v/>
      </c>
      <c r="L533" s="33"/>
      <c r="M533" s="33"/>
      <c r="N533" s="33"/>
      <c r="O533" s="29"/>
      <c r="P533" s="29"/>
      <c r="Q533" s="35" t="str">
        <f t="shared" ca="1" si="137"/>
        <v/>
      </c>
      <c r="R533" s="27"/>
      <c r="S533" s="60"/>
    </row>
    <row r="534" spans="1:20" ht="15" customHeight="1" x14ac:dyDescent="0.3">
      <c r="A534" s="67">
        <v>46254</v>
      </c>
      <c r="B534" s="25">
        <f t="shared" si="138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5"/>
        <v/>
      </c>
      <c r="K534" s="28" t="str">
        <f t="shared" si="136"/>
        <v/>
      </c>
      <c r="L534" s="26"/>
      <c r="M534" s="26"/>
      <c r="N534" s="26"/>
      <c r="O534" s="29"/>
      <c r="P534" s="29"/>
      <c r="Q534" s="30" t="str">
        <f t="shared" ca="1" si="137"/>
        <v/>
      </c>
      <c r="R534" s="27"/>
      <c r="S534" s="60"/>
    </row>
    <row r="535" spans="1:20" ht="15" customHeight="1" x14ac:dyDescent="0.3">
      <c r="A535" s="68">
        <v>46254</v>
      </c>
      <c r="B535" s="32">
        <f t="shared" si="138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5"/>
        <v/>
      </c>
      <c r="K535" s="34" t="str">
        <f t="shared" si="136"/>
        <v/>
      </c>
      <c r="L535" s="33"/>
      <c r="M535" s="33"/>
      <c r="N535" s="33"/>
      <c r="O535" s="29"/>
      <c r="P535" s="29"/>
      <c r="Q535" s="35" t="str">
        <f t="shared" ca="1" si="137"/>
        <v/>
      </c>
      <c r="R535" s="27"/>
      <c r="S535" s="60"/>
    </row>
    <row r="536" spans="1:20" ht="15" customHeight="1" x14ac:dyDescent="0.3">
      <c r="A536" s="67">
        <v>46254</v>
      </c>
      <c r="B536" s="25">
        <f t="shared" si="138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5"/>
        <v/>
      </c>
      <c r="K536" s="28" t="str">
        <f t="shared" si="136"/>
        <v/>
      </c>
      <c r="L536" s="26"/>
      <c r="M536" s="26"/>
      <c r="N536" s="26"/>
      <c r="O536" s="29"/>
      <c r="P536" s="29"/>
      <c r="Q536" s="30" t="str">
        <f t="shared" ca="1" si="137"/>
        <v/>
      </c>
      <c r="R536" s="27"/>
      <c r="S536" s="60"/>
    </row>
    <row r="537" spans="1:20" ht="15" customHeight="1" x14ac:dyDescent="0.3">
      <c r="A537" s="68">
        <v>46254</v>
      </c>
      <c r="B537" s="32">
        <f t="shared" si="138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5"/>
        <v/>
      </c>
      <c r="K537" s="34" t="str">
        <f t="shared" si="136"/>
        <v/>
      </c>
      <c r="L537" s="33"/>
      <c r="M537" s="33"/>
      <c r="N537" s="33"/>
      <c r="O537" s="29"/>
      <c r="P537" s="29"/>
      <c r="Q537" s="35" t="str">
        <f t="shared" ca="1" si="137"/>
        <v/>
      </c>
      <c r="R537" s="27"/>
      <c r="S537" s="60"/>
    </row>
    <row r="538" spans="1:20" ht="15" customHeight="1" x14ac:dyDescent="0.3">
      <c r="A538" s="67">
        <v>46254</v>
      </c>
      <c r="B538" s="25">
        <f t="shared" si="138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5"/>
        <v/>
      </c>
      <c r="K538" s="28" t="str">
        <f t="shared" si="136"/>
        <v/>
      </c>
      <c r="L538" s="26"/>
      <c r="M538" s="26"/>
      <c r="N538" s="26"/>
      <c r="O538" s="29"/>
      <c r="P538" s="29"/>
      <c r="Q538" s="30" t="str">
        <f t="shared" ca="1" si="137"/>
        <v/>
      </c>
      <c r="R538" s="27"/>
      <c r="S538" s="60"/>
    </row>
    <row r="539" spans="1:20" ht="15" customHeight="1" thickBot="1" x14ac:dyDescent="0.35">
      <c r="A539" s="68">
        <v>46254</v>
      </c>
      <c r="B539" s="32">
        <f t="shared" si="138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5"/>
        <v/>
      </c>
      <c r="K539" s="34" t="str">
        <f t="shared" si="136"/>
        <v/>
      </c>
      <c r="L539" s="33"/>
      <c r="M539" s="33"/>
      <c r="N539" s="33"/>
      <c r="O539" s="29"/>
      <c r="P539" s="29"/>
      <c r="Q539" s="35" t="str">
        <f t="shared" ca="1" si="137"/>
        <v/>
      </c>
      <c r="R539" s="27"/>
      <c r="S539" s="60"/>
    </row>
    <row r="540" spans="1:20" ht="15.75" customHeight="1" thickBot="1" x14ac:dyDescent="0.35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 x14ac:dyDescent="0.3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 x14ac:dyDescent="0.3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9">IFERROR(IF($H542="","",$H542*$F542*$I542),"")</f>
        <v/>
      </c>
      <c r="K542" s="28" t="str">
        <f t="shared" ref="K542:K553" si="140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1">IFERROR(IF(O542="","",IF(P542="",MOD(NOW()-O542,1),IF(P542&gt;=O542,P542-O542,P542+1-O542))),"")</f>
        <v/>
      </c>
      <c r="R542" s="27"/>
      <c r="S542" s="60"/>
    </row>
    <row r="543" spans="1:20" ht="15" customHeight="1" x14ac:dyDescent="0.3">
      <c r="A543" s="68">
        <v>46255</v>
      </c>
      <c r="B543" s="32">
        <f t="shared" ref="B543:B553" si="142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9"/>
        <v/>
      </c>
      <c r="K543" s="34" t="str">
        <f t="shared" si="140"/>
        <v/>
      </c>
      <c r="L543" s="33"/>
      <c r="M543" s="33"/>
      <c r="N543" s="33"/>
      <c r="O543" s="29"/>
      <c r="P543" s="29"/>
      <c r="Q543" s="35" t="str">
        <f t="shared" ca="1" si="141"/>
        <v/>
      </c>
      <c r="R543" s="27"/>
      <c r="S543" s="60"/>
    </row>
    <row r="544" spans="1:20" ht="15" customHeight="1" x14ac:dyDescent="0.3">
      <c r="A544" s="67">
        <v>46255</v>
      </c>
      <c r="B544" s="25">
        <f t="shared" si="142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9"/>
        <v/>
      </c>
      <c r="K544" s="28" t="str">
        <f t="shared" si="140"/>
        <v/>
      </c>
      <c r="L544" s="26"/>
      <c r="M544" s="26"/>
      <c r="N544" s="26"/>
      <c r="O544" s="29"/>
      <c r="P544" s="29"/>
      <c r="Q544" s="30" t="str">
        <f t="shared" ca="1" si="141"/>
        <v/>
      </c>
      <c r="R544" s="27"/>
      <c r="S544" s="60"/>
    </row>
    <row r="545" spans="1:20" ht="15" customHeight="1" x14ac:dyDescent="0.3">
      <c r="A545" s="68">
        <v>46255</v>
      </c>
      <c r="B545" s="32">
        <f t="shared" si="142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9"/>
        <v/>
      </c>
      <c r="K545" s="34" t="str">
        <f t="shared" si="140"/>
        <v/>
      </c>
      <c r="L545" s="33"/>
      <c r="M545" s="33"/>
      <c r="N545" s="33"/>
      <c r="O545" s="29"/>
      <c r="P545" s="29"/>
      <c r="Q545" s="35" t="str">
        <f t="shared" ca="1" si="141"/>
        <v/>
      </c>
      <c r="R545" s="27"/>
      <c r="S545" s="60"/>
    </row>
    <row r="546" spans="1:20" ht="15" customHeight="1" x14ac:dyDescent="0.3">
      <c r="A546" s="67">
        <v>46255</v>
      </c>
      <c r="B546" s="25">
        <f t="shared" si="142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9"/>
        <v/>
      </c>
      <c r="K546" s="28" t="str">
        <f t="shared" si="140"/>
        <v/>
      </c>
      <c r="L546" s="26"/>
      <c r="M546" s="26"/>
      <c r="N546" s="26"/>
      <c r="O546" s="29"/>
      <c r="P546" s="29"/>
      <c r="Q546" s="30" t="str">
        <f t="shared" ca="1" si="141"/>
        <v/>
      </c>
      <c r="R546" s="27"/>
      <c r="S546" s="60"/>
    </row>
    <row r="547" spans="1:20" ht="15" customHeight="1" x14ac:dyDescent="0.3">
      <c r="A547" s="68">
        <v>46255</v>
      </c>
      <c r="B547" s="32">
        <f t="shared" si="142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9"/>
        <v/>
      </c>
      <c r="K547" s="34" t="str">
        <f t="shared" si="140"/>
        <v/>
      </c>
      <c r="L547" s="33"/>
      <c r="M547" s="33"/>
      <c r="N547" s="33"/>
      <c r="O547" s="29"/>
      <c r="P547" s="29"/>
      <c r="Q547" s="35" t="str">
        <f t="shared" ca="1" si="141"/>
        <v/>
      </c>
      <c r="R547" s="27"/>
      <c r="S547" s="60"/>
    </row>
    <row r="548" spans="1:20" ht="15" customHeight="1" x14ac:dyDescent="0.3">
      <c r="A548" s="67">
        <v>46255</v>
      </c>
      <c r="B548" s="25">
        <f t="shared" si="142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9"/>
        <v/>
      </c>
      <c r="K548" s="28" t="str">
        <f t="shared" si="140"/>
        <v/>
      </c>
      <c r="L548" s="26"/>
      <c r="M548" s="26"/>
      <c r="N548" s="26"/>
      <c r="O548" s="29"/>
      <c r="P548" s="29"/>
      <c r="Q548" s="30" t="str">
        <f t="shared" ca="1" si="141"/>
        <v/>
      </c>
      <c r="R548" s="27"/>
      <c r="S548" s="60"/>
    </row>
    <row r="549" spans="1:20" ht="15" customHeight="1" x14ac:dyDescent="0.3">
      <c r="A549" s="68">
        <v>46255</v>
      </c>
      <c r="B549" s="32">
        <f t="shared" si="142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9"/>
        <v/>
      </c>
      <c r="K549" s="34" t="str">
        <f t="shared" si="140"/>
        <v/>
      </c>
      <c r="L549" s="33"/>
      <c r="M549" s="33"/>
      <c r="N549" s="33"/>
      <c r="O549" s="29"/>
      <c r="P549" s="29"/>
      <c r="Q549" s="35" t="str">
        <f t="shared" ca="1" si="141"/>
        <v/>
      </c>
      <c r="R549" s="27"/>
      <c r="S549" s="60"/>
    </row>
    <row r="550" spans="1:20" ht="15" customHeight="1" x14ac:dyDescent="0.3">
      <c r="A550" s="67">
        <v>46255</v>
      </c>
      <c r="B550" s="25">
        <f t="shared" si="142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9"/>
        <v/>
      </c>
      <c r="K550" s="28" t="str">
        <f t="shared" si="140"/>
        <v/>
      </c>
      <c r="L550" s="26"/>
      <c r="M550" s="26"/>
      <c r="N550" s="26"/>
      <c r="O550" s="29"/>
      <c r="P550" s="29"/>
      <c r="Q550" s="30" t="str">
        <f t="shared" ca="1" si="141"/>
        <v/>
      </c>
      <c r="R550" s="27"/>
      <c r="S550" s="60"/>
    </row>
    <row r="551" spans="1:20" ht="15" customHeight="1" x14ac:dyDescent="0.3">
      <c r="A551" s="68">
        <v>46255</v>
      </c>
      <c r="B551" s="32">
        <f t="shared" si="142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9"/>
        <v/>
      </c>
      <c r="K551" s="34" t="str">
        <f t="shared" si="140"/>
        <v/>
      </c>
      <c r="L551" s="33"/>
      <c r="M551" s="33"/>
      <c r="N551" s="33"/>
      <c r="O551" s="29"/>
      <c r="P551" s="29"/>
      <c r="Q551" s="35" t="str">
        <f t="shared" ca="1" si="141"/>
        <v/>
      </c>
      <c r="R551" s="27"/>
      <c r="S551" s="60"/>
    </row>
    <row r="552" spans="1:20" ht="15" customHeight="1" x14ac:dyDescent="0.3">
      <c r="A552" s="67">
        <v>46255</v>
      </c>
      <c r="B552" s="25">
        <f t="shared" si="142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9"/>
        <v/>
      </c>
      <c r="K552" s="28" t="str">
        <f t="shared" si="140"/>
        <v/>
      </c>
      <c r="L552" s="26"/>
      <c r="M552" s="26"/>
      <c r="N552" s="26"/>
      <c r="O552" s="29"/>
      <c r="P552" s="29"/>
      <c r="Q552" s="30" t="str">
        <f t="shared" ca="1" si="141"/>
        <v/>
      </c>
      <c r="R552" s="27"/>
      <c r="S552" s="60"/>
    </row>
    <row r="553" spans="1:20" ht="15" customHeight="1" thickBot="1" x14ac:dyDescent="0.35">
      <c r="A553" s="68">
        <v>46255</v>
      </c>
      <c r="B553" s="32">
        <f t="shared" si="142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9"/>
        <v/>
      </c>
      <c r="K553" s="34" t="str">
        <f t="shared" si="140"/>
        <v/>
      </c>
      <c r="L553" s="33"/>
      <c r="M553" s="33"/>
      <c r="N553" s="33"/>
      <c r="O553" s="29"/>
      <c r="P553" s="29"/>
      <c r="Q553" s="35" t="str">
        <f t="shared" ca="1" si="141"/>
        <v/>
      </c>
      <c r="R553" s="27"/>
      <c r="S553" s="60"/>
    </row>
    <row r="554" spans="1:20" ht="15.75" customHeight="1" thickBot="1" x14ac:dyDescent="0.35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 x14ac:dyDescent="0.3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3">IFERROR(IF($H555="","",$H555*$F555*$I555),"")</f>
        <v/>
      </c>
      <c r="K555" s="34" t="str">
        <f t="shared" ref="K555:K566" si="144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 x14ac:dyDescent="0.3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3"/>
        <v/>
      </c>
      <c r="K556" s="28" t="str">
        <f t="shared" si="144"/>
        <v/>
      </c>
      <c r="L556" s="26"/>
      <c r="M556" s="26"/>
      <c r="N556" s="26"/>
      <c r="O556" s="29"/>
      <c r="P556" s="29"/>
      <c r="Q556" s="30" t="str">
        <f t="shared" ref="Q556:Q566" ca="1" si="146">IFERROR(IF(O556="","",IF(P556="",MOD(NOW()-O556,1),IF(P556&gt;=O556,P556-O556,P556+1-O556))),"")</f>
        <v/>
      </c>
      <c r="R556" s="27"/>
      <c r="S556" s="60"/>
    </row>
    <row r="557" spans="1:20" ht="15" customHeight="1" x14ac:dyDescent="0.3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3"/>
        <v/>
      </c>
      <c r="K557" s="34" t="str">
        <f t="shared" si="144"/>
        <v/>
      </c>
      <c r="L557" s="33"/>
      <c r="M557" s="33"/>
      <c r="N557" s="33"/>
      <c r="O557" s="29"/>
      <c r="P557" s="29"/>
      <c r="Q557" s="35" t="str">
        <f t="shared" ca="1" si="146"/>
        <v/>
      </c>
      <c r="R557" s="27"/>
      <c r="S557" s="60"/>
    </row>
    <row r="558" spans="1:20" ht="15" customHeight="1" x14ac:dyDescent="0.3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3"/>
        <v/>
      </c>
      <c r="K558" s="28" t="str">
        <f t="shared" si="144"/>
        <v/>
      </c>
      <c r="L558" s="26"/>
      <c r="M558" s="26"/>
      <c r="N558" s="26"/>
      <c r="O558" s="29"/>
      <c r="P558" s="29"/>
      <c r="Q558" s="30" t="str">
        <f t="shared" ca="1" si="146"/>
        <v/>
      </c>
      <c r="R558" s="27"/>
      <c r="S558" s="60"/>
    </row>
    <row r="559" spans="1:20" ht="15" customHeight="1" x14ac:dyDescent="0.3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3"/>
        <v/>
      </c>
      <c r="K559" s="34" t="str">
        <f t="shared" si="144"/>
        <v/>
      </c>
      <c r="L559" s="33"/>
      <c r="M559" s="33"/>
      <c r="N559" s="33"/>
      <c r="O559" s="29"/>
      <c r="P559" s="29"/>
      <c r="Q559" s="35" t="str">
        <f t="shared" ca="1" si="146"/>
        <v/>
      </c>
      <c r="R559" s="27"/>
      <c r="S559" s="60"/>
    </row>
    <row r="560" spans="1:20" ht="15" customHeight="1" x14ac:dyDescent="0.3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3"/>
        <v/>
      </c>
      <c r="K560" s="28" t="str">
        <f t="shared" si="144"/>
        <v/>
      </c>
      <c r="L560" s="26"/>
      <c r="M560" s="26"/>
      <c r="N560" s="26"/>
      <c r="O560" s="29"/>
      <c r="P560" s="29"/>
      <c r="Q560" s="30" t="str">
        <f t="shared" ca="1" si="146"/>
        <v/>
      </c>
      <c r="R560" s="27"/>
      <c r="S560" s="60"/>
    </row>
    <row r="561" spans="1:20" ht="15" customHeight="1" x14ac:dyDescent="0.3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3"/>
        <v/>
      </c>
      <c r="K561" s="34" t="str">
        <f t="shared" si="144"/>
        <v/>
      </c>
      <c r="L561" s="33"/>
      <c r="M561" s="33"/>
      <c r="N561" s="33"/>
      <c r="O561" s="29"/>
      <c r="P561" s="29"/>
      <c r="Q561" s="35" t="str">
        <f t="shared" ca="1" si="146"/>
        <v/>
      </c>
      <c r="R561" s="27"/>
      <c r="S561" s="60"/>
    </row>
    <row r="562" spans="1:20" ht="15" customHeight="1" x14ac:dyDescent="0.3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3"/>
        <v/>
      </c>
      <c r="K562" s="28" t="str">
        <f t="shared" si="144"/>
        <v/>
      </c>
      <c r="L562" s="26"/>
      <c r="M562" s="26"/>
      <c r="N562" s="26"/>
      <c r="O562" s="29"/>
      <c r="P562" s="29"/>
      <c r="Q562" s="30" t="str">
        <f t="shared" ca="1" si="146"/>
        <v/>
      </c>
      <c r="R562" s="27"/>
      <c r="S562" s="60"/>
    </row>
    <row r="563" spans="1:20" ht="15" customHeight="1" x14ac:dyDescent="0.3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3"/>
        <v/>
      </c>
      <c r="K563" s="34" t="str">
        <f t="shared" si="144"/>
        <v/>
      </c>
      <c r="L563" s="33"/>
      <c r="M563" s="33"/>
      <c r="N563" s="33"/>
      <c r="O563" s="29"/>
      <c r="P563" s="29"/>
      <c r="Q563" s="35" t="str">
        <f t="shared" ca="1" si="146"/>
        <v/>
      </c>
      <c r="R563" s="27"/>
      <c r="S563" s="60"/>
    </row>
    <row r="564" spans="1:20" ht="15" customHeight="1" x14ac:dyDescent="0.3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3"/>
        <v/>
      </c>
      <c r="K564" s="28" t="str">
        <f t="shared" si="144"/>
        <v/>
      </c>
      <c r="L564" s="26"/>
      <c r="M564" s="26"/>
      <c r="N564" s="26"/>
      <c r="O564" s="29"/>
      <c r="P564" s="29"/>
      <c r="Q564" s="30" t="str">
        <f t="shared" ca="1" si="146"/>
        <v/>
      </c>
      <c r="R564" s="27"/>
      <c r="S564" s="60"/>
    </row>
    <row r="565" spans="1:20" ht="15" customHeight="1" x14ac:dyDescent="0.3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3"/>
        <v/>
      </c>
      <c r="K565" s="34" t="str">
        <f t="shared" si="144"/>
        <v/>
      </c>
      <c r="L565" s="33"/>
      <c r="M565" s="33"/>
      <c r="N565" s="33"/>
      <c r="O565" s="29"/>
      <c r="P565" s="29"/>
      <c r="Q565" s="35" t="str">
        <f t="shared" ca="1" si="146"/>
        <v/>
      </c>
      <c r="R565" s="27"/>
      <c r="S565" s="60"/>
    </row>
    <row r="566" spans="1:20" ht="15" customHeight="1" thickBot="1" x14ac:dyDescent="0.35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3"/>
        <v/>
      </c>
      <c r="K566" s="28" t="str">
        <f t="shared" si="144"/>
        <v/>
      </c>
      <c r="L566" s="26"/>
      <c r="M566" s="26"/>
      <c r="N566" s="26"/>
      <c r="O566" s="29"/>
      <c r="P566" s="29"/>
      <c r="Q566" s="30" t="str">
        <f t="shared" ca="1" si="146"/>
        <v/>
      </c>
      <c r="R566" s="27"/>
      <c r="S566" s="60"/>
    </row>
    <row r="567" spans="1:20" ht="15.75" customHeight="1" thickBot="1" x14ac:dyDescent="0.35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 x14ac:dyDescent="0.3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 x14ac:dyDescent="0.3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7">IFERROR(IF($H569="","",$H569*$F569*$I569),"")</f>
        <v/>
      </c>
      <c r="K569" s="34" t="str">
        <f t="shared" ref="K569:K580" si="148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9">IFERROR(IF(O569="","",IF(P569="",MOD(NOW()-O569,1),IF(P569&gt;=O569,P569-O569,P569+1-O569))),"")</f>
        <v/>
      </c>
      <c r="R569" s="27"/>
      <c r="S569" s="60"/>
    </row>
    <row r="570" spans="1:20" ht="15" customHeight="1" x14ac:dyDescent="0.3">
      <c r="A570" s="67">
        <v>46256</v>
      </c>
      <c r="B570" s="25">
        <f t="shared" ref="B570:B580" si="150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7"/>
        <v/>
      </c>
      <c r="K570" s="34" t="str">
        <f t="shared" si="148"/>
        <v/>
      </c>
      <c r="L570" s="26"/>
      <c r="M570" s="26"/>
      <c r="N570" s="26"/>
      <c r="O570" s="29"/>
      <c r="P570" s="29"/>
      <c r="Q570" s="30" t="str">
        <f t="shared" ca="1" si="149"/>
        <v/>
      </c>
      <c r="R570" s="27"/>
      <c r="S570" s="60"/>
    </row>
    <row r="571" spans="1:20" ht="15" customHeight="1" x14ac:dyDescent="0.3">
      <c r="A571" s="68">
        <v>46256</v>
      </c>
      <c r="B571" s="32">
        <f t="shared" si="150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7"/>
        <v/>
      </c>
      <c r="K571" s="34" t="str">
        <f t="shared" si="148"/>
        <v/>
      </c>
      <c r="L571" s="33"/>
      <c r="M571" s="33"/>
      <c r="N571" s="33"/>
      <c r="O571" s="29"/>
      <c r="P571" s="29"/>
      <c r="Q571" s="35" t="str">
        <f t="shared" ca="1" si="149"/>
        <v/>
      </c>
      <c r="R571" s="27"/>
      <c r="S571" s="60"/>
    </row>
    <row r="572" spans="1:20" ht="15" customHeight="1" x14ac:dyDescent="0.3">
      <c r="A572" s="67">
        <v>46256</v>
      </c>
      <c r="B572" s="25">
        <f t="shared" si="150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7"/>
        <v/>
      </c>
      <c r="K572" s="34" t="str">
        <f t="shared" si="148"/>
        <v/>
      </c>
      <c r="L572" s="26"/>
      <c r="M572" s="26"/>
      <c r="N572" s="26"/>
      <c r="O572" s="29"/>
      <c r="P572" s="29"/>
      <c r="Q572" s="30" t="str">
        <f t="shared" ca="1" si="149"/>
        <v/>
      </c>
      <c r="R572" s="27"/>
      <c r="S572" s="60"/>
    </row>
    <row r="573" spans="1:20" ht="15" customHeight="1" x14ac:dyDescent="0.3">
      <c r="A573" s="68">
        <v>46256</v>
      </c>
      <c r="B573" s="32">
        <f t="shared" si="150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7"/>
        <v/>
      </c>
      <c r="K573" s="34" t="str">
        <f t="shared" si="148"/>
        <v/>
      </c>
      <c r="L573" s="33"/>
      <c r="M573" s="33"/>
      <c r="N573" s="33"/>
      <c r="O573" s="29"/>
      <c r="P573" s="29"/>
      <c r="Q573" s="35" t="str">
        <f t="shared" ca="1" si="149"/>
        <v/>
      </c>
      <c r="R573" s="27"/>
      <c r="S573" s="60"/>
    </row>
    <row r="574" spans="1:20" ht="15" customHeight="1" x14ac:dyDescent="0.3">
      <c r="A574" s="67">
        <v>46256</v>
      </c>
      <c r="B574" s="25">
        <f t="shared" si="150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7"/>
        <v/>
      </c>
      <c r="K574" s="34" t="str">
        <f t="shared" si="148"/>
        <v/>
      </c>
      <c r="L574" s="26"/>
      <c r="M574" s="26"/>
      <c r="N574" s="26"/>
      <c r="O574" s="29"/>
      <c r="P574" s="29"/>
      <c r="Q574" s="30" t="str">
        <f t="shared" ca="1" si="149"/>
        <v/>
      </c>
      <c r="R574" s="27"/>
      <c r="S574" s="60"/>
    </row>
    <row r="575" spans="1:20" ht="15" customHeight="1" x14ac:dyDescent="0.3">
      <c r="A575" s="68">
        <v>46256</v>
      </c>
      <c r="B575" s="32">
        <f t="shared" si="150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7"/>
        <v/>
      </c>
      <c r="K575" s="34" t="str">
        <f t="shared" si="148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 x14ac:dyDescent="0.3">
      <c r="A576" s="67">
        <v>46256</v>
      </c>
      <c r="B576" s="25">
        <f t="shared" si="150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7"/>
        <v/>
      </c>
      <c r="K576" s="34" t="str">
        <f t="shared" si="148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 x14ac:dyDescent="0.3">
      <c r="A577" s="68">
        <v>46256</v>
      </c>
      <c r="B577" s="32">
        <f t="shared" si="150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7"/>
        <v/>
      </c>
      <c r="K577" s="34" t="str">
        <f t="shared" si="148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 x14ac:dyDescent="0.3">
      <c r="A578" s="67">
        <v>46256</v>
      </c>
      <c r="B578" s="25">
        <f t="shared" si="150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7"/>
        <v/>
      </c>
      <c r="K578" s="34" t="str">
        <f t="shared" si="148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 x14ac:dyDescent="0.3">
      <c r="A579" s="68">
        <v>46256</v>
      </c>
      <c r="B579" s="32">
        <f t="shared" si="150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7"/>
        <v/>
      </c>
      <c r="K579" s="34" t="str">
        <f t="shared" si="148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 x14ac:dyDescent="0.35">
      <c r="A580" s="67">
        <v>46256</v>
      </c>
      <c r="B580" s="25">
        <f t="shared" si="150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7"/>
        <v/>
      </c>
      <c r="K580" s="34" t="str">
        <f t="shared" si="148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 x14ac:dyDescent="0.35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 x14ac:dyDescent="0.3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1">IFERROR(IF($H582="","",$H582*$F582*$I582),"")</f>
        <v/>
      </c>
      <c r="K582" s="28" t="str">
        <f t="shared" ref="K582:K593" si="152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3">IFERROR(IF(O582="","",IF(P582="",MOD(NOW()-O582,1),IF(P582&gt;=O582,P582-O582,P582+1-O582))),"")</f>
        <v/>
      </c>
      <c r="R582" s="27"/>
      <c r="S582" s="60"/>
    </row>
    <row r="583" spans="1:20" ht="15" customHeight="1" x14ac:dyDescent="0.3">
      <c r="A583" s="68">
        <v>46256</v>
      </c>
      <c r="B583" s="32">
        <f t="shared" ref="B583:B593" si="154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1"/>
        <v/>
      </c>
      <c r="K583" s="34" t="str">
        <f t="shared" si="152"/>
        <v/>
      </c>
      <c r="L583" s="33"/>
      <c r="M583" s="33"/>
      <c r="N583" s="33"/>
      <c r="O583" s="29"/>
      <c r="P583" s="29"/>
      <c r="Q583" s="35" t="str">
        <f t="shared" ca="1" si="153"/>
        <v/>
      </c>
      <c r="R583" s="27"/>
      <c r="S583" s="60"/>
    </row>
    <row r="584" spans="1:20" ht="15" customHeight="1" x14ac:dyDescent="0.3">
      <c r="A584" s="67">
        <v>46256</v>
      </c>
      <c r="B584" s="25">
        <f t="shared" si="154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1"/>
        <v/>
      </c>
      <c r="K584" s="28" t="str">
        <f t="shared" si="152"/>
        <v/>
      </c>
      <c r="L584" s="26"/>
      <c r="M584" s="26"/>
      <c r="N584" s="26"/>
      <c r="O584" s="29"/>
      <c r="P584" s="29"/>
      <c r="Q584" s="30" t="str">
        <f t="shared" ca="1" si="153"/>
        <v/>
      </c>
      <c r="R584" s="27"/>
      <c r="S584" s="60"/>
    </row>
    <row r="585" spans="1:20" ht="15" customHeight="1" x14ac:dyDescent="0.3">
      <c r="A585" s="68">
        <v>46256</v>
      </c>
      <c r="B585" s="32">
        <f t="shared" si="154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1"/>
        <v/>
      </c>
      <c r="K585" s="34" t="str">
        <f t="shared" si="152"/>
        <v/>
      </c>
      <c r="L585" s="33"/>
      <c r="M585" s="33"/>
      <c r="N585" s="33"/>
      <c r="O585" s="29"/>
      <c r="P585" s="29"/>
      <c r="Q585" s="35" t="str">
        <f t="shared" ca="1" si="153"/>
        <v/>
      </c>
      <c r="R585" s="27"/>
      <c r="S585" s="60"/>
    </row>
    <row r="586" spans="1:20" ht="15" customHeight="1" x14ac:dyDescent="0.3">
      <c r="A586" s="67">
        <v>46256</v>
      </c>
      <c r="B586" s="25">
        <f t="shared" si="154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1"/>
        <v/>
      </c>
      <c r="K586" s="28" t="str">
        <f t="shared" si="152"/>
        <v/>
      </c>
      <c r="L586" s="26"/>
      <c r="M586" s="26"/>
      <c r="N586" s="26"/>
      <c r="O586" s="29"/>
      <c r="P586" s="29"/>
      <c r="Q586" s="30" t="str">
        <f t="shared" ca="1" si="153"/>
        <v/>
      </c>
      <c r="R586" s="27"/>
      <c r="S586" s="60"/>
    </row>
    <row r="587" spans="1:20" ht="15" customHeight="1" x14ac:dyDescent="0.3">
      <c r="A587" s="68">
        <v>46256</v>
      </c>
      <c r="B587" s="32">
        <f t="shared" si="154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1"/>
        <v/>
      </c>
      <c r="K587" s="34" t="str">
        <f t="shared" si="152"/>
        <v/>
      </c>
      <c r="L587" s="33"/>
      <c r="M587" s="33"/>
      <c r="N587" s="33"/>
      <c r="O587" s="29"/>
      <c r="P587" s="29"/>
      <c r="Q587" s="35" t="str">
        <f t="shared" ca="1" si="153"/>
        <v/>
      </c>
      <c r="R587" s="27"/>
      <c r="S587" s="60"/>
    </row>
    <row r="588" spans="1:20" ht="15" customHeight="1" x14ac:dyDescent="0.3">
      <c r="A588" s="67">
        <v>46256</v>
      </c>
      <c r="B588" s="25">
        <f t="shared" si="154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1"/>
        <v/>
      </c>
      <c r="K588" s="28" t="str">
        <f t="shared" si="152"/>
        <v/>
      </c>
      <c r="L588" s="26"/>
      <c r="M588" s="26"/>
      <c r="N588" s="26"/>
      <c r="O588" s="29"/>
      <c r="P588" s="29"/>
      <c r="Q588" s="30" t="str">
        <f t="shared" ca="1" si="153"/>
        <v/>
      </c>
      <c r="R588" s="27"/>
      <c r="S588" s="60"/>
    </row>
    <row r="589" spans="1:20" ht="15" customHeight="1" x14ac:dyDescent="0.3">
      <c r="A589" s="68">
        <v>46256</v>
      </c>
      <c r="B589" s="32">
        <f t="shared" si="154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1"/>
        <v/>
      </c>
      <c r="K589" s="34" t="str">
        <f t="shared" si="152"/>
        <v/>
      </c>
      <c r="L589" s="33"/>
      <c r="M589" s="33"/>
      <c r="N589" s="33"/>
      <c r="O589" s="29"/>
      <c r="P589" s="29"/>
      <c r="Q589" s="35" t="str">
        <f t="shared" ca="1" si="153"/>
        <v/>
      </c>
      <c r="R589" s="27"/>
      <c r="S589" s="60"/>
    </row>
    <row r="590" spans="1:20" ht="15" customHeight="1" x14ac:dyDescent="0.3">
      <c r="A590" s="67">
        <v>46256</v>
      </c>
      <c r="B590" s="25">
        <f t="shared" si="154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1"/>
        <v/>
      </c>
      <c r="K590" s="28" t="str">
        <f t="shared" si="152"/>
        <v/>
      </c>
      <c r="L590" s="26"/>
      <c r="M590" s="26"/>
      <c r="N590" s="26"/>
      <c r="O590" s="29"/>
      <c r="P590" s="29"/>
      <c r="Q590" s="30" t="str">
        <f t="shared" ca="1" si="153"/>
        <v/>
      </c>
      <c r="R590" s="27"/>
      <c r="S590" s="60"/>
    </row>
    <row r="591" spans="1:20" ht="15" customHeight="1" x14ac:dyDescent="0.3">
      <c r="A591" s="68">
        <v>46256</v>
      </c>
      <c r="B591" s="32">
        <f t="shared" si="154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1"/>
        <v/>
      </c>
      <c r="K591" s="34" t="str">
        <f t="shared" si="152"/>
        <v/>
      </c>
      <c r="L591" s="33"/>
      <c r="M591" s="33"/>
      <c r="N591" s="33"/>
      <c r="O591" s="29"/>
      <c r="P591" s="29"/>
      <c r="Q591" s="35" t="str">
        <f t="shared" ca="1" si="153"/>
        <v/>
      </c>
      <c r="R591" s="27"/>
      <c r="S591" s="60"/>
    </row>
    <row r="592" spans="1:20" ht="15" customHeight="1" x14ac:dyDescent="0.3">
      <c r="A592" s="67">
        <v>46256</v>
      </c>
      <c r="B592" s="25">
        <f t="shared" si="154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1"/>
        <v/>
      </c>
      <c r="K592" s="28" t="str">
        <f t="shared" si="152"/>
        <v/>
      </c>
      <c r="L592" s="26"/>
      <c r="M592" s="26"/>
      <c r="N592" s="26"/>
      <c r="O592" s="29"/>
      <c r="P592" s="29"/>
      <c r="Q592" s="30" t="str">
        <f t="shared" ca="1" si="153"/>
        <v/>
      </c>
      <c r="R592" s="27"/>
      <c r="S592" s="60"/>
    </row>
    <row r="593" spans="1:20" ht="15" customHeight="1" thickBot="1" x14ac:dyDescent="0.35">
      <c r="A593" s="68">
        <v>46256</v>
      </c>
      <c r="B593" s="32">
        <f t="shared" si="154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1"/>
        <v/>
      </c>
      <c r="K593" s="34" t="str">
        <f t="shared" si="152"/>
        <v/>
      </c>
      <c r="L593" s="33"/>
      <c r="M593" s="33"/>
      <c r="N593" s="33"/>
      <c r="O593" s="29"/>
      <c r="P593" s="29"/>
      <c r="Q593" s="35" t="str">
        <f t="shared" ca="1" si="153"/>
        <v/>
      </c>
      <c r="R593" s="27"/>
      <c r="S593" s="60"/>
    </row>
    <row r="594" spans="1:20" ht="15.75" customHeight="1" thickBot="1" x14ac:dyDescent="0.35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 x14ac:dyDescent="0.3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 x14ac:dyDescent="0.3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5">IFERROR(IF($H596="","",$H596*$F596*$I596),"")</f>
        <v/>
      </c>
      <c r="K596" s="28" t="str">
        <f t="shared" ref="K596:K607" si="156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7">IFERROR(IF(O596="","",IF(P596="",MOD(NOW()-O596,1),IF(P596&gt;=O596,P596-O596,P596+1-O596))),"")</f>
        <v/>
      </c>
      <c r="R596" s="27"/>
      <c r="S596" s="60"/>
    </row>
    <row r="597" spans="1:20" ht="15" customHeight="1" x14ac:dyDescent="0.3">
      <c r="A597" s="68">
        <v>46257</v>
      </c>
      <c r="B597" s="32">
        <f t="shared" ref="B597:B607" si="158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5"/>
        <v/>
      </c>
      <c r="K597" s="34" t="str">
        <f t="shared" si="156"/>
        <v/>
      </c>
      <c r="L597" s="33"/>
      <c r="M597" s="33"/>
      <c r="N597" s="33"/>
      <c r="O597" s="29"/>
      <c r="P597" s="29"/>
      <c r="Q597" s="35" t="str">
        <f t="shared" ca="1" si="157"/>
        <v/>
      </c>
      <c r="R597" s="27"/>
      <c r="S597" s="60"/>
    </row>
    <row r="598" spans="1:20" ht="15" customHeight="1" x14ac:dyDescent="0.3">
      <c r="A598" s="67">
        <v>46257</v>
      </c>
      <c r="B598" s="25">
        <f t="shared" si="158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5"/>
        <v/>
      </c>
      <c r="K598" s="28" t="str">
        <f t="shared" si="156"/>
        <v/>
      </c>
      <c r="L598" s="26"/>
      <c r="M598" s="26"/>
      <c r="N598" s="26"/>
      <c r="O598" s="29"/>
      <c r="P598" s="29"/>
      <c r="Q598" s="30" t="str">
        <f t="shared" ca="1" si="157"/>
        <v/>
      </c>
      <c r="R598" s="27"/>
      <c r="S598" s="60"/>
    </row>
    <row r="599" spans="1:20" ht="15" customHeight="1" x14ac:dyDescent="0.3">
      <c r="A599" s="68">
        <v>46257</v>
      </c>
      <c r="B599" s="32">
        <f t="shared" si="158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5"/>
        <v/>
      </c>
      <c r="K599" s="34" t="str">
        <f t="shared" si="156"/>
        <v/>
      </c>
      <c r="L599" s="33"/>
      <c r="M599" s="33"/>
      <c r="N599" s="33"/>
      <c r="O599" s="29"/>
      <c r="P599" s="29"/>
      <c r="Q599" s="35" t="str">
        <f t="shared" ca="1" si="157"/>
        <v/>
      </c>
      <c r="R599" s="27"/>
      <c r="S599" s="60"/>
    </row>
    <row r="600" spans="1:20" ht="15" customHeight="1" x14ac:dyDescent="0.3">
      <c r="A600" s="67">
        <v>46257</v>
      </c>
      <c r="B600" s="25">
        <f t="shared" si="158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5"/>
        <v/>
      </c>
      <c r="K600" s="28" t="str">
        <f t="shared" si="156"/>
        <v/>
      </c>
      <c r="L600" s="26"/>
      <c r="M600" s="26"/>
      <c r="N600" s="26"/>
      <c r="O600" s="29"/>
      <c r="P600" s="29"/>
      <c r="Q600" s="30" t="str">
        <f t="shared" ca="1" si="157"/>
        <v/>
      </c>
      <c r="R600" s="27"/>
      <c r="S600" s="60"/>
    </row>
    <row r="601" spans="1:20" ht="15" customHeight="1" x14ac:dyDescent="0.3">
      <c r="A601" s="68">
        <v>46257</v>
      </c>
      <c r="B601" s="32">
        <f t="shared" si="158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5"/>
        <v/>
      </c>
      <c r="K601" s="34" t="str">
        <f t="shared" si="156"/>
        <v/>
      </c>
      <c r="L601" s="33"/>
      <c r="M601" s="33"/>
      <c r="N601" s="33"/>
      <c r="O601" s="29"/>
      <c r="P601" s="29"/>
      <c r="Q601" s="35" t="str">
        <f t="shared" ca="1" si="157"/>
        <v/>
      </c>
      <c r="R601" s="27"/>
      <c r="S601" s="60"/>
    </row>
    <row r="602" spans="1:20" ht="15" customHeight="1" x14ac:dyDescent="0.3">
      <c r="A602" s="67">
        <v>46257</v>
      </c>
      <c r="B602" s="25">
        <f t="shared" si="158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5"/>
        <v/>
      </c>
      <c r="K602" s="28" t="str">
        <f t="shared" si="156"/>
        <v/>
      </c>
      <c r="L602" s="26"/>
      <c r="M602" s="26"/>
      <c r="N602" s="26"/>
      <c r="O602" s="29"/>
      <c r="P602" s="29"/>
      <c r="Q602" s="30" t="str">
        <f t="shared" ca="1" si="157"/>
        <v/>
      </c>
      <c r="R602" s="27"/>
      <c r="S602" s="60"/>
    </row>
    <row r="603" spans="1:20" ht="15" customHeight="1" x14ac:dyDescent="0.3">
      <c r="A603" s="68">
        <v>46257</v>
      </c>
      <c r="B603" s="32">
        <f t="shared" si="158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5"/>
        <v/>
      </c>
      <c r="K603" s="34" t="str">
        <f t="shared" si="156"/>
        <v/>
      </c>
      <c r="L603" s="33"/>
      <c r="M603" s="33"/>
      <c r="N603" s="33"/>
      <c r="O603" s="29"/>
      <c r="P603" s="29"/>
      <c r="Q603" s="35" t="str">
        <f t="shared" ca="1" si="157"/>
        <v/>
      </c>
      <c r="R603" s="27"/>
      <c r="S603" s="60"/>
    </row>
    <row r="604" spans="1:20" ht="15" customHeight="1" x14ac:dyDescent="0.3">
      <c r="A604" s="67">
        <v>46257</v>
      </c>
      <c r="B604" s="25">
        <f t="shared" si="158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5"/>
        <v/>
      </c>
      <c r="K604" s="28" t="str">
        <f t="shared" si="156"/>
        <v/>
      </c>
      <c r="L604" s="26"/>
      <c r="M604" s="26"/>
      <c r="N604" s="26"/>
      <c r="O604" s="29"/>
      <c r="P604" s="29"/>
      <c r="Q604" s="30" t="str">
        <f t="shared" ca="1" si="157"/>
        <v/>
      </c>
      <c r="R604" s="27"/>
      <c r="S604" s="60"/>
    </row>
    <row r="605" spans="1:20" ht="15" customHeight="1" x14ac:dyDescent="0.3">
      <c r="A605" s="68">
        <v>46257</v>
      </c>
      <c r="B605" s="32">
        <f t="shared" si="158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5"/>
        <v/>
      </c>
      <c r="K605" s="34" t="str">
        <f t="shared" si="156"/>
        <v/>
      </c>
      <c r="L605" s="33"/>
      <c r="M605" s="33"/>
      <c r="N605" s="33"/>
      <c r="O605" s="29"/>
      <c r="P605" s="29"/>
      <c r="Q605" s="35" t="str">
        <f t="shared" ca="1" si="157"/>
        <v/>
      </c>
      <c r="R605" s="27"/>
      <c r="S605" s="60"/>
    </row>
    <row r="606" spans="1:20" ht="15" customHeight="1" x14ac:dyDescent="0.3">
      <c r="A606" s="67">
        <v>46257</v>
      </c>
      <c r="B606" s="25">
        <f t="shared" si="158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5"/>
        <v/>
      </c>
      <c r="K606" s="28" t="str">
        <f t="shared" si="156"/>
        <v/>
      </c>
      <c r="L606" s="26"/>
      <c r="M606" s="26"/>
      <c r="N606" s="26"/>
      <c r="O606" s="29"/>
      <c r="P606" s="29"/>
      <c r="Q606" s="30" t="str">
        <f t="shared" ca="1" si="157"/>
        <v/>
      </c>
      <c r="R606" s="27"/>
      <c r="S606" s="60"/>
    </row>
    <row r="607" spans="1:20" ht="15" customHeight="1" thickBot="1" x14ac:dyDescent="0.35">
      <c r="A607" s="68">
        <v>46257</v>
      </c>
      <c r="B607" s="32">
        <f t="shared" si="158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5"/>
        <v/>
      </c>
      <c r="K607" s="34" t="str">
        <f t="shared" si="156"/>
        <v/>
      </c>
      <c r="L607" s="33"/>
      <c r="M607" s="33"/>
      <c r="N607" s="33"/>
      <c r="O607" s="29"/>
      <c r="P607" s="29"/>
      <c r="Q607" s="35" t="str">
        <f t="shared" ca="1" si="157"/>
        <v/>
      </c>
      <c r="R607" s="27"/>
      <c r="S607" s="60"/>
    </row>
    <row r="608" spans="1:20" ht="15.75" customHeight="1" thickBot="1" x14ac:dyDescent="0.35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 x14ac:dyDescent="0.3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9">IFERROR(IF($H609="","",$H609*$F609*$I609),"")</f>
        <v/>
      </c>
      <c r="K609" s="34" t="str">
        <f t="shared" ref="K609:K614" si="160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1">IFERROR(IF(O609="","",IF(P609="",MOD(NOW()-O609,1),IF(P609&gt;=O609,P609-O609,P609+1-O609))),"")</f>
        <v/>
      </c>
      <c r="R609" s="27"/>
      <c r="S609" s="60"/>
    </row>
    <row r="610" spans="1:20" ht="15" customHeight="1" x14ac:dyDescent="0.3">
      <c r="A610" s="67">
        <v>46257</v>
      </c>
      <c r="B610" s="25">
        <f t="shared" ref="B610:B620" si="162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9"/>
        <v/>
      </c>
      <c r="K610" s="28" t="str">
        <f t="shared" si="160"/>
        <v/>
      </c>
      <c r="L610" s="26"/>
      <c r="M610" s="26"/>
      <c r="N610" s="26"/>
      <c r="O610" s="29"/>
      <c r="P610" s="29"/>
      <c r="Q610" s="30" t="str">
        <f t="shared" ca="1" si="161"/>
        <v/>
      </c>
      <c r="R610" s="27"/>
      <c r="S610" s="60"/>
    </row>
    <row r="611" spans="1:20" ht="15" customHeight="1" x14ac:dyDescent="0.3">
      <c r="A611" s="68">
        <v>46257</v>
      </c>
      <c r="B611" s="32">
        <f t="shared" si="162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9"/>
        <v/>
      </c>
      <c r="K611" s="34" t="str">
        <f t="shared" si="160"/>
        <v/>
      </c>
      <c r="L611" s="33"/>
      <c r="M611" s="33"/>
      <c r="N611" s="33"/>
      <c r="O611" s="29"/>
      <c r="P611" s="29"/>
      <c r="Q611" s="35" t="str">
        <f t="shared" ca="1" si="161"/>
        <v/>
      </c>
      <c r="R611" s="27"/>
      <c r="S611" s="60"/>
    </row>
    <row r="612" spans="1:20" ht="15" customHeight="1" x14ac:dyDescent="0.3">
      <c r="A612" s="67">
        <v>46257</v>
      </c>
      <c r="B612" s="25">
        <f t="shared" si="162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9"/>
        <v/>
      </c>
      <c r="K612" s="28" t="str">
        <f t="shared" si="160"/>
        <v/>
      </c>
      <c r="L612" s="26"/>
      <c r="M612" s="26"/>
      <c r="N612" s="26"/>
      <c r="O612" s="29"/>
      <c r="P612" s="29"/>
      <c r="Q612" s="30" t="str">
        <f t="shared" ca="1" si="161"/>
        <v/>
      </c>
      <c r="R612" s="27"/>
      <c r="S612" s="60"/>
    </row>
    <row r="613" spans="1:20" ht="15" customHeight="1" x14ac:dyDescent="0.3">
      <c r="A613" s="68">
        <v>46257</v>
      </c>
      <c r="B613" s="32">
        <f t="shared" si="162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9"/>
        <v/>
      </c>
      <c r="K613" s="34" t="str">
        <f t="shared" si="160"/>
        <v/>
      </c>
      <c r="L613" s="33"/>
      <c r="M613" s="33"/>
      <c r="N613" s="33"/>
      <c r="O613" s="29"/>
      <c r="P613" s="29"/>
      <c r="Q613" s="35" t="str">
        <f t="shared" ca="1" si="161"/>
        <v/>
      </c>
      <c r="R613" s="27"/>
      <c r="S613" s="60"/>
    </row>
    <row r="614" spans="1:20" ht="15" customHeight="1" x14ac:dyDescent="0.3">
      <c r="A614" s="67">
        <v>46257</v>
      </c>
      <c r="B614" s="25">
        <f t="shared" si="162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9"/>
        <v/>
      </c>
      <c r="K614" s="28" t="str">
        <f t="shared" si="160"/>
        <v/>
      </c>
      <c r="L614" s="26"/>
      <c r="M614" s="26"/>
      <c r="N614" s="26"/>
      <c r="O614" s="29"/>
      <c r="P614" s="29"/>
      <c r="Q614" s="30" t="str">
        <f t="shared" ca="1" si="161"/>
        <v/>
      </c>
      <c r="R614" s="27"/>
      <c r="S614" s="60"/>
    </row>
    <row r="615" spans="1:20" ht="15" customHeight="1" x14ac:dyDescent="0.3">
      <c r="A615" s="68">
        <v>46257</v>
      </c>
      <c r="B615" s="32">
        <f t="shared" si="162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9"/>
        <v/>
      </c>
      <c r="K615" s="34"/>
      <c r="L615" s="33"/>
      <c r="M615" s="33"/>
      <c r="N615" s="33"/>
      <c r="O615" s="29"/>
      <c r="P615" s="29"/>
      <c r="Q615" s="35" t="str">
        <f t="shared" ca="1" si="161"/>
        <v/>
      </c>
      <c r="R615" s="27"/>
      <c r="S615" s="60"/>
    </row>
    <row r="616" spans="1:20" ht="15" customHeight="1" x14ac:dyDescent="0.3">
      <c r="A616" s="67">
        <v>46257</v>
      </c>
      <c r="B616" s="25">
        <f t="shared" si="162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9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1"/>
        <v/>
      </c>
      <c r="R616" s="27"/>
      <c r="S616" s="60"/>
    </row>
    <row r="617" spans="1:20" ht="15" customHeight="1" x14ac:dyDescent="0.3">
      <c r="A617" s="68">
        <v>46257</v>
      </c>
      <c r="B617" s="32">
        <f t="shared" si="162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9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1"/>
        <v/>
      </c>
      <c r="R617" s="27"/>
      <c r="S617" s="60"/>
    </row>
    <row r="618" spans="1:20" ht="15" customHeight="1" x14ac:dyDescent="0.3">
      <c r="A618" s="67">
        <v>46257</v>
      </c>
      <c r="B618" s="25">
        <f t="shared" si="162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9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1"/>
        <v/>
      </c>
      <c r="R618" s="27"/>
      <c r="S618" s="60"/>
    </row>
    <row r="619" spans="1:20" ht="15" customHeight="1" x14ac:dyDescent="0.3">
      <c r="A619" s="68">
        <v>46257</v>
      </c>
      <c r="B619" s="32">
        <f t="shared" si="162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9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1"/>
        <v/>
      </c>
      <c r="R619" s="27"/>
      <c r="S619" s="60"/>
    </row>
    <row r="620" spans="1:20" ht="15" customHeight="1" thickBot="1" x14ac:dyDescent="0.35">
      <c r="A620" s="67">
        <v>46257</v>
      </c>
      <c r="B620" s="25">
        <f t="shared" si="162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9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1"/>
        <v/>
      </c>
      <c r="R620" s="27"/>
      <c r="S620" s="60"/>
    </row>
    <row r="621" spans="1:20" ht="15.75" customHeight="1" thickBot="1" x14ac:dyDescent="0.35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 x14ac:dyDescent="0.3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 x14ac:dyDescent="0.3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3">IFERROR(IF($H623="","",$H623*$F623*$I623),"")</f>
        <v/>
      </c>
      <c r="K623" s="34" t="str">
        <f t="shared" ref="K623:K634" si="164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5">IFERROR(IF(O623="","",IF(P623="",MOD(NOW()-O623,1),IF(P623&gt;=O623,P623-O623,P623+1-O623))),"")</f>
        <v/>
      </c>
      <c r="R623" s="27"/>
      <c r="S623" s="60"/>
    </row>
    <row r="624" spans="1:20" ht="15" customHeight="1" x14ac:dyDescent="0.3">
      <c r="A624" s="67">
        <v>46258</v>
      </c>
      <c r="B624" s="25">
        <f t="shared" ref="B624:B634" si="166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3"/>
        <v/>
      </c>
      <c r="K624" s="28" t="str">
        <f t="shared" si="164"/>
        <v/>
      </c>
      <c r="L624" s="26"/>
      <c r="M624" s="26"/>
      <c r="N624" s="26"/>
      <c r="O624" s="29"/>
      <c r="P624" s="29"/>
      <c r="Q624" s="30" t="str">
        <f t="shared" ca="1" si="165"/>
        <v/>
      </c>
      <c r="R624" s="27"/>
      <c r="S624" s="60"/>
    </row>
    <row r="625" spans="1:20" ht="15" customHeight="1" x14ac:dyDescent="0.3">
      <c r="A625" s="68">
        <v>46258</v>
      </c>
      <c r="B625" s="32">
        <f t="shared" si="166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3"/>
        <v/>
      </c>
      <c r="K625" s="34" t="str">
        <f t="shared" si="164"/>
        <v/>
      </c>
      <c r="L625" s="33"/>
      <c r="M625" s="33"/>
      <c r="N625" s="33"/>
      <c r="O625" s="29"/>
      <c r="P625" s="29"/>
      <c r="Q625" s="35" t="str">
        <f t="shared" ca="1" si="165"/>
        <v/>
      </c>
      <c r="R625" s="27"/>
      <c r="S625" s="60"/>
    </row>
    <row r="626" spans="1:20" ht="15" customHeight="1" x14ac:dyDescent="0.3">
      <c r="A626" s="67">
        <v>46258</v>
      </c>
      <c r="B626" s="25">
        <f t="shared" si="166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3"/>
        <v/>
      </c>
      <c r="K626" s="28" t="str">
        <f t="shared" si="164"/>
        <v/>
      </c>
      <c r="L626" s="26"/>
      <c r="M626" s="26"/>
      <c r="N626" s="26"/>
      <c r="O626" s="29"/>
      <c r="P626" s="29"/>
      <c r="Q626" s="30" t="str">
        <f t="shared" ca="1" si="165"/>
        <v/>
      </c>
      <c r="R626" s="27"/>
      <c r="S626" s="60"/>
    </row>
    <row r="627" spans="1:20" ht="15" customHeight="1" x14ac:dyDescent="0.3">
      <c r="A627" s="68">
        <v>46258</v>
      </c>
      <c r="B627" s="32">
        <f t="shared" si="166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3"/>
        <v/>
      </c>
      <c r="K627" s="34" t="str">
        <f t="shared" si="164"/>
        <v/>
      </c>
      <c r="L627" s="33"/>
      <c r="M627" s="33"/>
      <c r="N627" s="33"/>
      <c r="O627" s="29"/>
      <c r="P627" s="29"/>
      <c r="Q627" s="35" t="str">
        <f t="shared" ca="1" si="165"/>
        <v/>
      </c>
      <c r="R627" s="27"/>
      <c r="S627" s="60"/>
    </row>
    <row r="628" spans="1:20" ht="15" customHeight="1" x14ac:dyDescent="0.3">
      <c r="A628" s="67">
        <v>46258</v>
      </c>
      <c r="B628" s="25">
        <f t="shared" si="166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3"/>
        <v/>
      </c>
      <c r="K628" s="28" t="str">
        <f t="shared" si="164"/>
        <v/>
      </c>
      <c r="L628" s="26"/>
      <c r="M628" s="26"/>
      <c r="N628" s="26"/>
      <c r="O628" s="29"/>
      <c r="P628" s="29"/>
      <c r="Q628" s="30" t="str">
        <f t="shared" ca="1" si="165"/>
        <v/>
      </c>
      <c r="R628" s="27"/>
      <c r="S628" s="60"/>
    </row>
    <row r="629" spans="1:20" ht="15" customHeight="1" x14ac:dyDescent="0.3">
      <c r="A629" s="68">
        <v>46258</v>
      </c>
      <c r="B629" s="32">
        <f t="shared" si="166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3"/>
        <v/>
      </c>
      <c r="K629" s="34" t="str">
        <f t="shared" si="164"/>
        <v/>
      </c>
      <c r="L629" s="33"/>
      <c r="M629" s="33"/>
      <c r="N629" s="33"/>
      <c r="O629" s="29"/>
      <c r="P629" s="29"/>
      <c r="Q629" s="35" t="str">
        <f t="shared" ca="1" si="165"/>
        <v/>
      </c>
      <c r="R629" s="27"/>
      <c r="S629" s="60"/>
    </row>
    <row r="630" spans="1:20" ht="15" customHeight="1" x14ac:dyDescent="0.3">
      <c r="A630" s="67">
        <v>46258</v>
      </c>
      <c r="B630" s="25">
        <f t="shared" si="166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3"/>
        <v/>
      </c>
      <c r="K630" s="28" t="str">
        <f t="shared" si="164"/>
        <v/>
      </c>
      <c r="L630" s="26"/>
      <c r="M630" s="26"/>
      <c r="N630" s="26"/>
      <c r="O630" s="29"/>
      <c r="P630" s="29"/>
      <c r="Q630" s="30" t="str">
        <f t="shared" ca="1" si="165"/>
        <v/>
      </c>
      <c r="R630" s="27"/>
      <c r="S630" s="60"/>
    </row>
    <row r="631" spans="1:20" ht="15" customHeight="1" x14ac:dyDescent="0.3">
      <c r="A631" s="68">
        <v>46258</v>
      </c>
      <c r="B631" s="32">
        <f t="shared" si="166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3"/>
        <v/>
      </c>
      <c r="K631" s="34" t="str">
        <f t="shared" si="164"/>
        <v/>
      </c>
      <c r="L631" s="33"/>
      <c r="M631" s="33"/>
      <c r="N631" s="33"/>
      <c r="O631" s="29"/>
      <c r="P631" s="29"/>
      <c r="Q631" s="35" t="str">
        <f t="shared" ca="1" si="165"/>
        <v/>
      </c>
      <c r="R631" s="27"/>
      <c r="S631" s="60"/>
    </row>
    <row r="632" spans="1:20" ht="15" customHeight="1" x14ac:dyDescent="0.3">
      <c r="A632" s="67">
        <v>46258</v>
      </c>
      <c r="B632" s="25">
        <f t="shared" si="166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3"/>
        <v/>
      </c>
      <c r="K632" s="28" t="str">
        <f t="shared" si="164"/>
        <v/>
      </c>
      <c r="L632" s="26"/>
      <c r="M632" s="26"/>
      <c r="N632" s="26"/>
      <c r="O632" s="29"/>
      <c r="P632" s="29"/>
      <c r="Q632" s="30" t="str">
        <f t="shared" ca="1" si="165"/>
        <v/>
      </c>
      <c r="R632" s="27"/>
      <c r="S632" s="60"/>
    </row>
    <row r="633" spans="1:20" ht="15" customHeight="1" x14ac:dyDescent="0.3">
      <c r="A633" s="68">
        <v>46258</v>
      </c>
      <c r="B633" s="32">
        <f t="shared" si="166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3"/>
        <v/>
      </c>
      <c r="K633" s="34" t="str">
        <f t="shared" si="164"/>
        <v/>
      </c>
      <c r="L633" s="33"/>
      <c r="M633" s="33"/>
      <c r="N633" s="33"/>
      <c r="O633" s="29"/>
      <c r="P633" s="29"/>
      <c r="Q633" s="35" t="str">
        <f t="shared" ca="1" si="165"/>
        <v/>
      </c>
      <c r="R633" s="27"/>
      <c r="S633" s="60"/>
    </row>
    <row r="634" spans="1:20" ht="15" customHeight="1" thickBot="1" x14ac:dyDescent="0.35">
      <c r="A634" s="67">
        <v>46258</v>
      </c>
      <c r="B634" s="25">
        <f t="shared" si="166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3"/>
        <v/>
      </c>
      <c r="K634" s="28" t="str">
        <f t="shared" si="164"/>
        <v/>
      </c>
      <c r="L634" s="26"/>
      <c r="M634" s="26"/>
      <c r="N634" s="26"/>
      <c r="O634" s="29"/>
      <c r="P634" s="29"/>
      <c r="Q634" s="30" t="str">
        <f t="shared" ca="1" si="165"/>
        <v/>
      </c>
      <c r="R634" s="27"/>
      <c r="S634" s="60"/>
    </row>
    <row r="635" spans="1:20" ht="15.75" customHeight="1" thickBot="1" x14ac:dyDescent="0.35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 x14ac:dyDescent="0.3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7">IFERROR(IF($H636="","",$H636*$F636*$I636),"")</f>
        <v/>
      </c>
      <c r="K636" s="28" t="str">
        <f t="shared" ref="K636:K647" si="168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9">IFERROR(IF(O636="","",IF(P636="",MOD(NOW()-O636,1),IF(P636&gt;=O636,P636-O636,P636+1-O636))),"")</f>
        <v/>
      </c>
      <c r="R636" s="27"/>
      <c r="S636" s="60"/>
    </row>
    <row r="637" spans="1:20" ht="15" customHeight="1" x14ac:dyDescent="0.3">
      <c r="A637" s="68">
        <v>46258</v>
      </c>
      <c r="B637" s="32">
        <f t="shared" ref="B637:B647" si="170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7"/>
        <v/>
      </c>
      <c r="K637" s="34" t="str">
        <f t="shared" si="168"/>
        <v/>
      </c>
      <c r="L637" s="33"/>
      <c r="M637" s="33"/>
      <c r="N637" s="33"/>
      <c r="O637" s="29"/>
      <c r="P637" s="29"/>
      <c r="Q637" s="35" t="str">
        <f t="shared" ca="1" si="169"/>
        <v/>
      </c>
      <c r="R637" s="27"/>
      <c r="S637" s="60"/>
    </row>
    <row r="638" spans="1:20" ht="15" customHeight="1" x14ac:dyDescent="0.3">
      <c r="A638" s="67">
        <v>46258</v>
      </c>
      <c r="B638" s="25">
        <f t="shared" si="170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7"/>
        <v/>
      </c>
      <c r="K638" s="28" t="str">
        <f t="shared" si="168"/>
        <v/>
      </c>
      <c r="L638" s="26"/>
      <c r="M638" s="26"/>
      <c r="N638" s="26"/>
      <c r="O638" s="29"/>
      <c r="P638" s="29"/>
      <c r="Q638" s="30" t="str">
        <f t="shared" ca="1" si="169"/>
        <v/>
      </c>
      <c r="R638" s="27"/>
      <c r="S638" s="60"/>
    </row>
    <row r="639" spans="1:20" ht="15" customHeight="1" x14ac:dyDescent="0.3">
      <c r="A639" s="68">
        <v>46258</v>
      </c>
      <c r="B639" s="32">
        <f t="shared" si="170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7"/>
        <v/>
      </c>
      <c r="K639" s="34" t="str">
        <f t="shared" si="168"/>
        <v/>
      </c>
      <c r="L639" s="33"/>
      <c r="M639" s="33"/>
      <c r="N639" s="33"/>
      <c r="O639" s="29"/>
      <c r="P639" s="29"/>
      <c r="Q639" s="35" t="str">
        <f t="shared" ca="1" si="169"/>
        <v/>
      </c>
      <c r="R639" s="27"/>
      <c r="S639" s="60"/>
    </row>
    <row r="640" spans="1:20" ht="15" customHeight="1" x14ac:dyDescent="0.3">
      <c r="A640" s="67">
        <v>46258</v>
      </c>
      <c r="B640" s="25">
        <f t="shared" si="170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7"/>
        <v/>
      </c>
      <c r="K640" s="28" t="str">
        <f t="shared" si="168"/>
        <v/>
      </c>
      <c r="L640" s="26"/>
      <c r="M640" s="26"/>
      <c r="N640" s="26"/>
      <c r="O640" s="29"/>
      <c r="P640" s="29"/>
      <c r="Q640" s="30" t="str">
        <f t="shared" ca="1" si="169"/>
        <v/>
      </c>
      <c r="R640" s="27"/>
      <c r="S640" s="60"/>
    </row>
    <row r="641" spans="1:20" ht="15" customHeight="1" x14ac:dyDescent="0.3">
      <c r="A641" s="68">
        <v>46258</v>
      </c>
      <c r="B641" s="32">
        <f t="shared" si="170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7"/>
        <v/>
      </c>
      <c r="K641" s="34" t="str">
        <f t="shared" si="168"/>
        <v/>
      </c>
      <c r="L641" s="33"/>
      <c r="M641" s="33"/>
      <c r="N641" s="33"/>
      <c r="O641" s="29"/>
      <c r="P641" s="29"/>
      <c r="Q641" s="35" t="str">
        <f t="shared" ca="1" si="169"/>
        <v/>
      </c>
      <c r="R641" s="27"/>
      <c r="S641" s="60"/>
    </row>
    <row r="642" spans="1:20" ht="15" customHeight="1" x14ac:dyDescent="0.3">
      <c r="A642" s="67">
        <v>46258</v>
      </c>
      <c r="B642" s="25">
        <f t="shared" si="170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7"/>
        <v/>
      </c>
      <c r="K642" s="28" t="str">
        <f t="shared" si="168"/>
        <v/>
      </c>
      <c r="L642" s="26"/>
      <c r="M642" s="26"/>
      <c r="N642" s="26"/>
      <c r="O642" s="29"/>
      <c r="P642" s="29"/>
      <c r="Q642" s="30" t="str">
        <f t="shared" ca="1" si="169"/>
        <v/>
      </c>
      <c r="R642" s="27"/>
      <c r="S642" s="60"/>
    </row>
    <row r="643" spans="1:20" ht="15" customHeight="1" x14ac:dyDescent="0.3">
      <c r="A643" s="68">
        <v>46258</v>
      </c>
      <c r="B643" s="32">
        <f t="shared" si="170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7"/>
        <v/>
      </c>
      <c r="K643" s="34" t="str">
        <f t="shared" si="168"/>
        <v/>
      </c>
      <c r="L643" s="33"/>
      <c r="M643" s="33"/>
      <c r="N643" s="33"/>
      <c r="O643" s="29"/>
      <c r="P643" s="29"/>
      <c r="Q643" s="35" t="str">
        <f t="shared" ca="1" si="169"/>
        <v/>
      </c>
      <c r="R643" s="27"/>
      <c r="S643" s="60"/>
    </row>
    <row r="644" spans="1:20" ht="15" customHeight="1" x14ac:dyDescent="0.3">
      <c r="A644" s="67">
        <v>46258</v>
      </c>
      <c r="B644" s="25">
        <f t="shared" si="170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7"/>
        <v/>
      </c>
      <c r="K644" s="28" t="str">
        <f t="shared" si="168"/>
        <v/>
      </c>
      <c r="L644" s="26"/>
      <c r="M644" s="26"/>
      <c r="N644" s="26"/>
      <c r="O644" s="29"/>
      <c r="P644" s="29"/>
      <c r="Q644" s="30" t="str">
        <f t="shared" ca="1" si="169"/>
        <v/>
      </c>
      <c r="R644" s="27"/>
      <c r="S644" s="60"/>
    </row>
    <row r="645" spans="1:20" ht="15" customHeight="1" x14ac:dyDescent="0.3">
      <c r="A645" s="68">
        <v>46258</v>
      </c>
      <c r="B645" s="32">
        <f t="shared" si="170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7"/>
        <v/>
      </c>
      <c r="K645" s="34" t="str">
        <f t="shared" si="168"/>
        <v/>
      </c>
      <c r="L645" s="33"/>
      <c r="M645" s="33"/>
      <c r="N645" s="33"/>
      <c r="O645" s="29"/>
      <c r="P645" s="29"/>
      <c r="Q645" s="35" t="str">
        <f t="shared" ca="1" si="169"/>
        <v/>
      </c>
      <c r="R645" s="27"/>
      <c r="S645" s="60"/>
    </row>
    <row r="646" spans="1:20" ht="15" customHeight="1" x14ac:dyDescent="0.3">
      <c r="A646" s="67">
        <v>46258</v>
      </c>
      <c r="B646" s="25">
        <f t="shared" si="170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7"/>
        <v/>
      </c>
      <c r="K646" s="28" t="str">
        <f t="shared" si="168"/>
        <v/>
      </c>
      <c r="L646" s="26"/>
      <c r="M646" s="26"/>
      <c r="N646" s="26"/>
      <c r="O646" s="29"/>
      <c r="P646" s="29"/>
      <c r="Q646" s="30" t="str">
        <f t="shared" ca="1" si="169"/>
        <v/>
      </c>
      <c r="R646" s="27"/>
      <c r="S646" s="60"/>
    </row>
    <row r="647" spans="1:20" ht="15" customHeight="1" thickBot="1" x14ac:dyDescent="0.35">
      <c r="A647" s="68">
        <v>46258</v>
      </c>
      <c r="B647" s="32">
        <f t="shared" si="170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7"/>
        <v/>
      </c>
      <c r="K647" s="34" t="str">
        <f t="shared" si="168"/>
        <v/>
      </c>
      <c r="L647" s="33"/>
      <c r="M647" s="33"/>
      <c r="N647" s="33"/>
      <c r="O647" s="29"/>
      <c r="P647" s="29"/>
      <c r="Q647" s="35" t="str">
        <f t="shared" ca="1" si="169"/>
        <v/>
      </c>
      <c r="R647" s="27"/>
      <c r="S647" s="60"/>
    </row>
    <row r="648" spans="1:20" ht="15.75" customHeight="1" thickBot="1" x14ac:dyDescent="0.35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 x14ac:dyDescent="0.3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 x14ac:dyDescent="0.3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1">IFERROR(IF($H650="","",$H650*$F650*$I650),"")</f>
        <v/>
      </c>
      <c r="K650" s="28" t="str">
        <f t="shared" ref="K650:K661" si="172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3">IFERROR(IF(O650="","",IF(P650="",MOD(NOW()-O650,1),IF(P650&gt;=O650,P650-O650,P650+1-O650))),"")</f>
        <v/>
      </c>
      <c r="R650" s="27"/>
      <c r="S650" s="60"/>
    </row>
    <row r="651" spans="1:20" ht="15" customHeight="1" x14ac:dyDescent="0.3">
      <c r="A651" s="68">
        <v>46259</v>
      </c>
      <c r="B651" s="32">
        <f t="shared" ref="B651:B661" si="174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1"/>
        <v/>
      </c>
      <c r="K651" s="34" t="str">
        <f t="shared" si="172"/>
        <v/>
      </c>
      <c r="L651" s="33"/>
      <c r="M651" s="33"/>
      <c r="N651" s="33"/>
      <c r="O651" s="29"/>
      <c r="P651" s="29"/>
      <c r="Q651" s="35" t="str">
        <f t="shared" ca="1" si="173"/>
        <v/>
      </c>
      <c r="R651" s="27"/>
      <c r="S651" s="60"/>
    </row>
    <row r="652" spans="1:20" ht="15" customHeight="1" x14ac:dyDescent="0.3">
      <c r="A652" s="67">
        <v>46259</v>
      </c>
      <c r="B652" s="25">
        <f t="shared" si="174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1"/>
        <v/>
      </c>
      <c r="K652" s="34" t="str">
        <f t="shared" si="172"/>
        <v/>
      </c>
      <c r="L652" s="26"/>
      <c r="M652" s="26"/>
      <c r="N652" s="26"/>
      <c r="O652" s="29"/>
      <c r="P652" s="29"/>
      <c r="Q652" s="30" t="str">
        <f t="shared" ca="1" si="173"/>
        <v/>
      </c>
      <c r="R652" s="27"/>
      <c r="S652" s="60"/>
    </row>
    <row r="653" spans="1:20" ht="15" customHeight="1" x14ac:dyDescent="0.3">
      <c r="A653" s="68">
        <v>46259</v>
      </c>
      <c r="B653" s="32">
        <f t="shared" si="174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1"/>
        <v/>
      </c>
      <c r="K653" s="34" t="str">
        <f t="shared" si="172"/>
        <v/>
      </c>
      <c r="L653" s="33"/>
      <c r="M653" s="33"/>
      <c r="N653" s="33"/>
      <c r="O653" s="29"/>
      <c r="P653" s="29"/>
      <c r="Q653" s="35" t="str">
        <f t="shared" ca="1" si="173"/>
        <v/>
      </c>
      <c r="R653" s="27"/>
      <c r="S653" s="60"/>
    </row>
    <row r="654" spans="1:20" ht="15" customHeight="1" x14ac:dyDescent="0.3">
      <c r="A654" s="67">
        <v>46259</v>
      </c>
      <c r="B654" s="25">
        <f t="shared" si="174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1"/>
        <v/>
      </c>
      <c r="K654" s="28" t="str">
        <f t="shared" si="172"/>
        <v/>
      </c>
      <c r="L654" s="26"/>
      <c r="M654" s="26"/>
      <c r="N654" s="26"/>
      <c r="O654" s="29"/>
      <c r="P654" s="29"/>
      <c r="Q654" s="30" t="str">
        <f t="shared" ca="1" si="173"/>
        <v/>
      </c>
      <c r="R654" s="27"/>
      <c r="S654" s="60"/>
    </row>
    <row r="655" spans="1:20" ht="15" customHeight="1" x14ac:dyDescent="0.3">
      <c r="A655" s="68">
        <v>46259</v>
      </c>
      <c r="B655" s="32">
        <f t="shared" si="174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1"/>
        <v/>
      </c>
      <c r="K655" s="34" t="str">
        <f t="shared" si="172"/>
        <v/>
      </c>
      <c r="L655" s="33"/>
      <c r="M655" s="33"/>
      <c r="N655" s="33"/>
      <c r="O655" s="29"/>
      <c r="P655" s="29"/>
      <c r="Q655" s="35" t="str">
        <f t="shared" ca="1" si="173"/>
        <v/>
      </c>
      <c r="R655" s="27"/>
      <c r="S655" s="60"/>
    </row>
    <row r="656" spans="1:20" ht="15" customHeight="1" x14ac:dyDescent="0.3">
      <c r="A656" s="67">
        <v>46259</v>
      </c>
      <c r="B656" s="25">
        <f t="shared" si="174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1"/>
        <v/>
      </c>
      <c r="K656" s="28" t="str">
        <f t="shared" si="172"/>
        <v/>
      </c>
      <c r="L656" s="26"/>
      <c r="M656" s="26"/>
      <c r="N656" s="26"/>
      <c r="O656" s="29"/>
      <c r="P656" s="29"/>
      <c r="Q656" s="30" t="str">
        <f t="shared" ca="1" si="173"/>
        <v/>
      </c>
      <c r="R656" s="27"/>
      <c r="S656" s="60"/>
    </row>
    <row r="657" spans="1:20" ht="15" customHeight="1" x14ac:dyDescent="0.3">
      <c r="A657" s="68">
        <v>46259</v>
      </c>
      <c r="B657" s="32">
        <f t="shared" si="174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1"/>
        <v/>
      </c>
      <c r="K657" s="34" t="str">
        <f t="shared" si="172"/>
        <v/>
      </c>
      <c r="L657" s="33"/>
      <c r="M657" s="33"/>
      <c r="N657" s="33"/>
      <c r="O657" s="29"/>
      <c r="P657" s="29"/>
      <c r="Q657" s="35" t="str">
        <f t="shared" ca="1" si="173"/>
        <v/>
      </c>
      <c r="R657" s="27"/>
      <c r="S657" s="60"/>
    </row>
    <row r="658" spans="1:20" ht="15" customHeight="1" x14ac:dyDescent="0.3">
      <c r="A658" s="67">
        <v>46259</v>
      </c>
      <c r="B658" s="25">
        <f t="shared" si="174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1"/>
        <v/>
      </c>
      <c r="K658" s="28" t="str">
        <f t="shared" si="172"/>
        <v/>
      </c>
      <c r="L658" s="26"/>
      <c r="M658" s="26"/>
      <c r="N658" s="26"/>
      <c r="O658" s="29"/>
      <c r="P658" s="29"/>
      <c r="Q658" s="30" t="str">
        <f t="shared" ca="1" si="173"/>
        <v/>
      </c>
      <c r="R658" s="27"/>
      <c r="S658" s="60"/>
    </row>
    <row r="659" spans="1:20" ht="15" customHeight="1" x14ac:dyDescent="0.3">
      <c r="A659" s="68">
        <v>46259</v>
      </c>
      <c r="B659" s="32">
        <f t="shared" si="174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1"/>
        <v/>
      </c>
      <c r="K659" s="34" t="str">
        <f t="shared" si="172"/>
        <v/>
      </c>
      <c r="L659" s="33"/>
      <c r="M659" s="33"/>
      <c r="N659" s="33"/>
      <c r="O659" s="29"/>
      <c r="P659" s="29"/>
      <c r="Q659" s="35" t="str">
        <f t="shared" ca="1" si="173"/>
        <v/>
      </c>
      <c r="R659" s="27"/>
      <c r="S659" s="60"/>
    </row>
    <row r="660" spans="1:20" ht="15" customHeight="1" x14ac:dyDescent="0.3">
      <c r="A660" s="67">
        <v>46259</v>
      </c>
      <c r="B660" s="25">
        <f t="shared" si="174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1"/>
        <v/>
      </c>
      <c r="K660" s="28" t="str">
        <f t="shared" si="172"/>
        <v/>
      </c>
      <c r="L660" s="26"/>
      <c r="M660" s="26"/>
      <c r="N660" s="26"/>
      <c r="O660" s="29"/>
      <c r="P660" s="29"/>
      <c r="Q660" s="30" t="str">
        <f t="shared" ca="1" si="173"/>
        <v/>
      </c>
      <c r="R660" s="27"/>
      <c r="S660" s="60"/>
    </row>
    <row r="661" spans="1:20" ht="15" customHeight="1" thickBot="1" x14ac:dyDescent="0.35">
      <c r="A661" s="68">
        <v>46259</v>
      </c>
      <c r="B661" s="32">
        <f t="shared" si="174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1"/>
        <v/>
      </c>
      <c r="K661" s="34" t="str">
        <f t="shared" si="172"/>
        <v/>
      </c>
      <c r="L661" s="33"/>
      <c r="M661" s="33"/>
      <c r="N661" s="33"/>
      <c r="O661" s="29"/>
      <c r="P661" s="29"/>
      <c r="Q661" s="35" t="str">
        <f t="shared" ca="1" si="173"/>
        <v/>
      </c>
      <c r="R661" s="27"/>
      <c r="S661" s="60"/>
    </row>
    <row r="662" spans="1:20" ht="15.75" customHeight="1" thickBot="1" x14ac:dyDescent="0.35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 x14ac:dyDescent="0.3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5">IFERROR(IF($H663="","",$H663*$F663*$I663),"")</f>
        <v/>
      </c>
      <c r="K663" s="34" t="str">
        <f t="shared" ref="K663:K674" si="176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7">IFERROR(IF(O663="","",IF(P663="",MOD(NOW()-O663,1),IF(P663&gt;=O663,P663-O663,P663+1-O663))),"")</f>
        <v/>
      </c>
      <c r="R663" s="27"/>
      <c r="S663" s="60"/>
    </row>
    <row r="664" spans="1:20" ht="15" customHeight="1" x14ac:dyDescent="0.3">
      <c r="A664" s="67">
        <v>46259</v>
      </c>
      <c r="B664" s="25">
        <f t="shared" ref="B664:B674" si="178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5"/>
        <v/>
      </c>
      <c r="K664" s="28" t="str">
        <f t="shared" si="176"/>
        <v/>
      </c>
      <c r="L664" s="26"/>
      <c r="M664" s="26"/>
      <c r="N664" s="26"/>
      <c r="O664" s="29"/>
      <c r="P664" s="29"/>
      <c r="Q664" s="30" t="str">
        <f t="shared" ca="1" si="177"/>
        <v/>
      </c>
      <c r="R664" s="27"/>
      <c r="S664" s="60"/>
    </row>
    <row r="665" spans="1:20" ht="15" customHeight="1" x14ac:dyDescent="0.3">
      <c r="A665" s="68">
        <v>46259</v>
      </c>
      <c r="B665" s="32">
        <f t="shared" si="178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5"/>
        <v/>
      </c>
      <c r="K665" s="34" t="str">
        <f t="shared" si="176"/>
        <v/>
      </c>
      <c r="L665" s="33"/>
      <c r="M665" s="33"/>
      <c r="N665" s="33"/>
      <c r="O665" s="29"/>
      <c r="P665" s="29"/>
      <c r="Q665" s="35" t="str">
        <f t="shared" ca="1" si="177"/>
        <v/>
      </c>
      <c r="R665" s="27"/>
      <c r="S665" s="60"/>
    </row>
    <row r="666" spans="1:20" ht="15" customHeight="1" x14ac:dyDescent="0.3">
      <c r="A666" s="67">
        <v>46259</v>
      </c>
      <c r="B666" s="25">
        <f t="shared" si="178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5"/>
        <v/>
      </c>
      <c r="K666" s="28" t="str">
        <f t="shared" si="176"/>
        <v/>
      </c>
      <c r="L666" s="26"/>
      <c r="M666" s="26"/>
      <c r="N666" s="26"/>
      <c r="O666" s="29"/>
      <c r="P666" s="29"/>
      <c r="Q666" s="30" t="str">
        <f t="shared" ca="1" si="177"/>
        <v/>
      </c>
      <c r="R666" s="27"/>
      <c r="S666" s="60"/>
    </row>
    <row r="667" spans="1:20" ht="15" customHeight="1" x14ac:dyDescent="0.3">
      <c r="A667" s="68">
        <v>46259</v>
      </c>
      <c r="B667" s="32">
        <f t="shared" si="178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5"/>
        <v/>
      </c>
      <c r="K667" s="34" t="str">
        <f t="shared" si="176"/>
        <v/>
      </c>
      <c r="L667" s="33"/>
      <c r="M667" s="33"/>
      <c r="N667" s="33"/>
      <c r="O667" s="29"/>
      <c r="P667" s="29"/>
      <c r="Q667" s="35" t="str">
        <f t="shared" ca="1" si="177"/>
        <v/>
      </c>
      <c r="R667" s="27"/>
      <c r="S667" s="60"/>
    </row>
    <row r="668" spans="1:20" ht="15" customHeight="1" x14ac:dyDescent="0.3">
      <c r="A668" s="67">
        <v>46259</v>
      </c>
      <c r="B668" s="25">
        <f t="shared" si="178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5"/>
        <v/>
      </c>
      <c r="K668" s="28" t="str">
        <f t="shared" si="176"/>
        <v/>
      </c>
      <c r="L668" s="26"/>
      <c r="M668" s="26"/>
      <c r="N668" s="26"/>
      <c r="O668" s="29"/>
      <c r="P668" s="29"/>
      <c r="Q668" s="30" t="str">
        <f t="shared" ca="1" si="177"/>
        <v/>
      </c>
      <c r="R668" s="27"/>
      <c r="S668" s="60"/>
    </row>
    <row r="669" spans="1:20" ht="15" customHeight="1" x14ac:dyDescent="0.3">
      <c r="A669" s="68">
        <v>46259</v>
      </c>
      <c r="B669" s="32">
        <f t="shared" si="178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5"/>
        <v/>
      </c>
      <c r="K669" s="34" t="str">
        <f t="shared" si="176"/>
        <v/>
      </c>
      <c r="L669" s="33"/>
      <c r="M669" s="33"/>
      <c r="N669" s="33"/>
      <c r="O669" s="29"/>
      <c r="P669" s="29"/>
      <c r="Q669" s="35" t="str">
        <f t="shared" ca="1" si="177"/>
        <v/>
      </c>
      <c r="R669" s="27"/>
      <c r="S669" s="60"/>
    </row>
    <row r="670" spans="1:20" ht="15" customHeight="1" x14ac:dyDescent="0.3">
      <c r="A670" s="67">
        <v>46259</v>
      </c>
      <c r="B670" s="25">
        <f t="shared" si="178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5"/>
        <v/>
      </c>
      <c r="K670" s="28" t="str">
        <f t="shared" si="176"/>
        <v/>
      </c>
      <c r="L670" s="26"/>
      <c r="M670" s="26"/>
      <c r="N670" s="26"/>
      <c r="O670" s="29"/>
      <c r="P670" s="29"/>
      <c r="Q670" s="30" t="str">
        <f t="shared" ca="1" si="177"/>
        <v/>
      </c>
      <c r="R670" s="27"/>
      <c r="S670" s="60"/>
    </row>
    <row r="671" spans="1:20" ht="15" customHeight="1" x14ac:dyDescent="0.3">
      <c r="A671" s="68">
        <v>46259</v>
      </c>
      <c r="B671" s="32">
        <f t="shared" si="178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5"/>
        <v/>
      </c>
      <c r="K671" s="34" t="str">
        <f t="shared" si="176"/>
        <v/>
      </c>
      <c r="L671" s="33"/>
      <c r="M671" s="33"/>
      <c r="N671" s="33"/>
      <c r="O671" s="29"/>
      <c r="P671" s="29"/>
      <c r="Q671" s="35" t="str">
        <f t="shared" ca="1" si="177"/>
        <v/>
      </c>
      <c r="R671" s="27"/>
      <c r="S671" s="60"/>
    </row>
    <row r="672" spans="1:20" ht="15" customHeight="1" x14ac:dyDescent="0.3">
      <c r="A672" s="67">
        <v>46259</v>
      </c>
      <c r="B672" s="25">
        <f t="shared" si="178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5"/>
        <v/>
      </c>
      <c r="K672" s="28" t="str">
        <f t="shared" si="176"/>
        <v/>
      </c>
      <c r="L672" s="26"/>
      <c r="M672" s="26"/>
      <c r="N672" s="26"/>
      <c r="O672" s="29"/>
      <c r="P672" s="29"/>
      <c r="Q672" s="30" t="str">
        <f t="shared" ca="1" si="177"/>
        <v/>
      </c>
      <c r="R672" s="27"/>
      <c r="S672" s="60"/>
    </row>
    <row r="673" spans="1:20" ht="15" customHeight="1" x14ac:dyDescent="0.3">
      <c r="A673" s="68">
        <v>46259</v>
      </c>
      <c r="B673" s="32">
        <f t="shared" si="178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5"/>
        <v/>
      </c>
      <c r="K673" s="34" t="str">
        <f t="shared" si="176"/>
        <v/>
      </c>
      <c r="L673" s="33"/>
      <c r="M673" s="33"/>
      <c r="N673" s="33"/>
      <c r="O673" s="29"/>
      <c r="P673" s="29"/>
      <c r="Q673" s="35" t="str">
        <f t="shared" ca="1" si="177"/>
        <v/>
      </c>
      <c r="R673" s="27"/>
      <c r="S673" s="60"/>
    </row>
    <row r="674" spans="1:20" ht="15" customHeight="1" thickBot="1" x14ac:dyDescent="0.35">
      <c r="A674" s="67">
        <v>46259</v>
      </c>
      <c r="B674" s="25">
        <f t="shared" si="178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5"/>
        <v/>
      </c>
      <c r="K674" s="28" t="str">
        <f t="shared" si="176"/>
        <v/>
      </c>
      <c r="L674" s="26"/>
      <c r="M674" s="26"/>
      <c r="N674" s="26"/>
      <c r="O674" s="29"/>
      <c r="P674" s="29"/>
      <c r="Q674" s="30" t="str">
        <f t="shared" ca="1" si="177"/>
        <v/>
      </c>
      <c r="R674" s="27"/>
      <c r="S674" s="60"/>
    </row>
    <row r="675" spans="1:20" ht="15.75" customHeight="1" thickBot="1" x14ac:dyDescent="0.35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 x14ac:dyDescent="0.3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 x14ac:dyDescent="0.3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9">IFERROR(IF($H677="","",$H677*$F677*$I677),"")</f>
        <v/>
      </c>
      <c r="K677" s="34" t="str">
        <f t="shared" ref="K677:K688" si="180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1">IFERROR(IF(O677="","",IF(P677="",MOD(NOW()-O677,1),IF(P677&gt;=O677,P677-O677,P677+1-O677))),"")</f>
        <v/>
      </c>
      <c r="R677" s="27"/>
      <c r="S677" s="60"/>
    </row>
    <row r="678" spans="1:20" ht="15" customHeight="1" x14ac:dyDescent="0.3">
      <c r="A678" s="67">
        <v>46260</v>
      </c>
      <c r="B678" s="25">
        <f t="shared" ref="B678:B688" si="182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9"/>
        <v/>
      </c>
      <c r="K678" s="28" t="str">
        <f t="shared" si="180"/>
        <v/>
      </c>
      <c r="L678" s="26"/>
      <c r="M678" s="26"/>
      <c r="N678" s="26"/>
      <c r="O678" s="29"/>
      <c r="P678" s="29"/>
      <c r="Q678" s="30" t="str">
        <f t="shared" ca="1" si="181"/>
        <v/>
      </c>
      <c r="R678" s="27"/>
      <c r="S678" s="60"/>
    </row>
    <row r="679" spans="1:20" ht="15" customHeight="1" x14ac:dyDescent="0.3">
      <c r="A679" s="68">
        <v>46260</v>
      </c>
      <c r="B679" s="32">
        <f t="shared" si="182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9"/>
        <v/>
      </c>
      <c r="K679" s="34" t="str">
        <f t="shared" si="180"/>
        <v/>
      </c>
      <c r="L679" s="33"/>
      <c r="M679" s="33"/>
      <c r="N679" s="33"/>
      <c r="O679" s="29"/>
      <c r="P679" s="29"/>
      <c r="Q679" s="35" t="str">
        <f t="shared" ca="1" si="181"/>
        <v/>
      </c>
      <c r="R679" s="27"/>
      <c r="S679" s="60"/>
    </row>
    <row r="680" spans="1:20" ht="15" customHeight="1" x14ac:dyDescent="0.3">
      <c r="A680" s="67">
        <v>46260</v>
      </c>
      <c r="B680" s="25">
        <f t="shared" si="182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9"/>
        <v/>
      </c>
      <c r="K680" s="28" t="str">
        <f t="shared" si="180"/>
        <v/>
      </c>
      <c r="L680" s="26"/>
      <c r="M680" s="26"/>
      <c r="N680" s="26"/>
      <c r="O680" s="29"/>
      <c r="P680" s="29"/>
      <c r="Q680" s="30" t="str">
        <f t="shared" ca="1" si="181"/>
        <v/>
      </c>
      <c r="R680" s="27"/>
      <c r="S680" s="60"/>
    </row>
    <row r="681" spans="1:20" ht="15" customHeight="1" x14ac:dyDescent="0.3">
      <c r="A681" s="68">
        <v>46260</v>
      </c>
      <c r="B681" s="32">
        <f t="shared" si="182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9"/>
        <v/>
      </c>
      <c r="K681" s="34" t="str">
        <f t="shared" si="180"/>
        <v/>
      </c>
      <c r="L681" s="33"/>
      <c r="M681" s="33"/>
      <c r="N681" s="33"/>
      <c r="O681" s="29"/>
      <c r="P681" s="29"/>
      <c r="Q681" s="35" t="str">
        <f t="shared" ca="1" si="181"/>
        <v/>
      </c>
      <c r="R681" s="27"/>
      <c r="S681" s="60"/>
    </row>
    <row r="682" spans="1:20" ht="15" customHeight="1" x14ac:dyDescent="0.3">
      <c r="A682" s="67">
        <v>46260</v>
      </c>
      <c r="B682" s="25">
        <f t="shared" si="182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9"/>
        <v/>
      </c>
      <c r="K682" s="28" t="str">
        <f t="shared" si="180"/>
        <v/>
      </c>
      <c r="L682" s="26"/>
      <c r="M682" s="26"/>
      <c r="N682" s="26"/>
      <c r="O682" s="29"/>
      <c r="P682" s="29"/>
      <c r="Q682" s="30" t="str">
        <f t="shared" ca="1" si="181"/>
        <v/>
      </c>
      <c r="R682" s="27"/>
      <c r="S682" s="60"/>
    </row>
    <row r="683" spans="1:20" ht="15" customHeight="1" x14ac:dyDescent="0.3">
      <c r="A683" s="68">
        <v>46260</v>
      </c>
      <c r="B683" s="32">
        <f t="shared" si="182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9"/>
        <v/>
      </c>
      <c r="K683" s="34" t="str">
        <f t="shared" si="180"/>
        <v/>
      </c>
      <c r="L683" s="33"/>
      <c r="M683" s="33"/>
      <c r="N683" s="33"/>
      <c r="O683" s="29"/>
      <c r="P683" s="29"/>
      <c r="Q683" s="35" t="str">
        <f t="shared" ca="1" si="181"/>
        <v/>
      </c>
      <c r="R683" s="27"/>
      <c r="S683" s="60"/>
    </row>
    <row r="684" spans="1:20" ht="15" customHeight="1" x14ac:dyDescent="0.3">
      <c r="A684" s="67">
        <v>46260</v>
      </c>
      <c r="B684" s="25">
        <f t="shared" si="182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9"/>
        <v/>
      </c>
      <c r="K684" s="28" t="str">
        <f t="shared" si="180"/>
        <v/>
      </c>
      <c r="L684" s="26"/>
      <c r="M684" s="26"/>
      <c r="N684" s="26"/>
      <c r="O684" s="29"/>
      <c r="P684" s="29"/>
      <c r="Q684" s="30" t="str">
        <f t="shared" ca="1" si="181"/>
        <v/>
      </c>
      <c r="R684" s="27"/>
      <c r="S684" s="60"/>
    </row>
    <row r="685" spans="1:20" ht="15" customHeight="1" x14ac:dyDescent="0.3">
      <c r="A685" s="68">
        <v>46260</v>
      </c>
      <c r="B685" s="32">
        <f t="shared" si="182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9"/>
        <v/>
      </c>
      <c r="K685" s="34" t="str">
        <f t="shared" si="180"/>
        <v/>
      </c>
      <c r="L685" s="33"/>
      <c r="M685" s="33"/>
      <c r="N685" s="33"/>
      <c r="O685" s="29"/>
      <c r="P685" s="29"/>
      <c r="Q685" s="35" t="str">
        <f t="shared" ca="1" si="181"/>
        <v/>
      </c>
      <c r="R685" s="27"/>
      <c r="S685" s="60"/>
    </row>
    <row r="686" spans="1:20" ht="15" customHeight="1" x14ac:dyDescent="0.3">
      <c r="A686" s="67">
        <v>46260</v>
      </c>
      <c r="B686" s="25">
        <f t="shared" si="182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9"/>
        <v/>
      </c>
      <c r="K686" s="28" t="str">
        <f t="shared" si="180"/>
        <v/>
      </c>
      <c r="L686" s="26"/>
      <c r="M686" s="26"/>
      <c r="N686" s="26"/>
      <c r="O686" s="29"/>
      <c r="P686" s="29"/>
      <c r="Q686" s="30" t="str">
        <f t="shared" ca="1" si="181"/>
        <v/>
      </c>
      <c r="R686" s="27"/>
      <c r="S686" s="60"/>
    </row>
    <row r="687" spans="1:20" ht="15" customHeight="1" x14ac:dyDescent="0.3">
      <c r="A687" s="68">
        <v>46260</v>
      </c>
      <c r="B687" s="32">
        <f t="shared" si="182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9"/>
        <v/>
      </c>
      <c r="K687" s="34" t="str">
        <f t="shared" si="180"/>
        <v/>
      </c>
      <c r="L687" s="33"/>
      <c r="M687" s="33"/>
      <c r="N687" s="33"/>
      <c r="O687" s="29"/>
      <c r="P687" s="29"/>
      <c r="Q687" s="35" t="str">
        <f t="shared" ca="1" si="181"/>
        <v/>
      </c>
      <c r="R687" s="27"/>
      <c r="S687" s="60"/>
    </row>
    <row r="688" spans="1:20" ht="15" customHeight="1" thickBot="1" x14ac:dyDescent="0.35">
      <c r="A688" s="67">
        <v>46260</v>
      </c>
      <c r="B688" s="25">
        <f t="shared" si="182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9"/>
        <v/>
      </c>
      <c r="K688" s="28" t="str">
        <f t="shared" si="180"/>
        <v/>
      </c>
      <c r="L688" s="26"/>
      <c r="M688" s="26"/>
      <c r="N688" s="26"/>
      <c r="O688" s="29"/>
      <c r="P688" s="29"/>
      <c r="Q688" s="30" t="str">
        <f t="shared" ca="1" si="181"/>
        <v/>
      </c>
      <c r="R688" s="27"/>
      <c r="S688" s="60"/>
    </row>
    <row r="689" spans="1:20" ht="15.75" customHeight="1" thickBot="1" x14ac:dyDescent="0.35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 x14ac:dyDescent="0.3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3">IFERROR(IF($H690="","",$H690*$F690*$I690),"")</f>
        <v/>
      </c>
      <c r="K690" s="28" t="str">
        <f t="shared" ref="K690:K701" si="184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5">IFERROR(IF(O690="","",IF(P690="",MOD(NOW()-O690,1),IF(P690&gt;=O690,P690-O690,P690+1-O690))),"")</f>
        <v/>
      </c>
      <c r="R690" s="27"/>
      <c r="S690" s="60"/>
    </row>
    <row r="691" spans="1:20" ht="15" customHeight="1" x14ac:dyDescent="0.3">
      <c r="A691" s="68">
        <v>46260</v>
      </c>
      <c r="B691" s="32">
        <f t="shared" ref="B691:B701" si="186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3"/>
        <v/>
      </c>
      <c r="K691" s="34" t="str">
        <f t="shared" si="184"/>
        <v/>
      </c>
      <c r="L691" s="33"/>
      <c r="M691" s="33"/>
      <c r="N691" s="33"/>
      <c r="O691" s="29"/>
      <c r="P691" s="29"/>
      <c r="Q691" s="35" t="str">
        <f t="shared" ca="1" si="185"/>
        <v/>
      </c>
      <c r="R691" s="27"/>
      <c r="S691" s="60"/>
    </row>
    <row r="692" spans="1:20" ht="15" customHeight="1" x14ac:dyDescent="0.3">
      <c r="A692" s="67">
        <v>46260</v>
      </c>
      <c r="B692" s="25">
        <f t="shared" si="186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3"/>
        <v/>
      </c>
      <c r="K692" s="28" t="str">
        <f t="shared" si="184"/>
        <v/>
      </c>
      <c r="L692" s="26"/>
      <c r="M692" s="26"/>
      <c r="N692" s="26"/>
      <c r="O692" s="29"/>
      <c r="P692" s="29"/>
      <c r="Q692" s="30" t="str">
        <f t="shared" ca="1" si="185"/>
        <v/>
      </c>
      <c r="R692" s="27"/>
      <c r="S692" s="60"/>
    </row>
    <row r="693" spans="1:20" ht="15" customHeight="1" x14ac:dyDescent="0.3">
      <c r="A693" s="68">
        <v>46260</v>
      </c>
      <c r="B693" s="32">
        <f t="shared" si="186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3"/>
        <v/>
      </c>
      <c r="K693" s="34" t="str">
        <f t="shared" si="184"/>
        <v/>
      </c>
      <c r="L693" s="33"/>
      <c r="M693" s="33"/>
      <c r="N693" s="33"/>
      <c r="O693" s="29"/>
      <c r="P693" s="29"/>
      <c r="Q693" s="35" t="str">
        <f t="shared" ca="1" si="185"/>
        <v/>
      </c>
      <c r="R693" s="27"/>
      <c r="S693" s="60"/>
    </row>
    <row r="694" spans="1:20" ht="15" customHeight="1" x14ac:dyDescent="0.3">
      <c r="A694" s="67">
        <v>46260</v>
      </c>
      <c r="B694" s="25">
        <f t="shared" si="186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3"/>
        <v/>
      </c>
      <c r="K694" s="28" t="str">
        <f t="shared" si="184"/>
        <v/>
      </c>
      <c r="L694" s="26"/>
      <c r="M694" s="26"/>
      <c r="N694" s="26"/>
      <c r="O694" s="29"/>
      <c r="P694" s="29"/>
      <c r="Q694" s="30" t="str">
        <f t="shared" ca="1" si="185"/>
        <v/>
      </c>
      <c r="R694" s="27"/>
      <c r="S694" s="60"/>
    </row>
    <row r="695" spans="1:20" ht="15" customHeight="1" x14ac:dyDescent="0.3">
      <c r="A695" s="68">
        <v>46260</v>
      </c>
      <c r="B695" s="32">
        <f t="shared" si="186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3"/>
        <v/>
      </c>
      <c r="K695" s="34" t="str">
        <f t="shared" si="184"/>
        <v/>
      </c>
      <c r="L695" s="33"/>
      <c r="M695" s="33"/>
      <c r="N695" s="33"/>
      <c r="O695" s="29"/>
      <c r="P695" s="29"/>
      <c r="Q695" s="35" t="str">
        <f t="shared" ca="1" si="185"/>
        <v/>
      </c>
      <c r="R695" s="27"/>
      <c r="S695" s="60"/>
    </row>
    <row r="696" spans="1:20" ht="15" customHeight="1" x14ac:dyDescent="0.3">
      <c r="A696" s="67">
        <v>46260</v>
      </c>
      <c r="B696" s="25">
        <f t="shared" si="186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3"/>
        <v/>
      </c>
      <c r="K696" s="28" t="str">
        <f t="shared" si="184"/>
        <v/>
      </c>
      <c r="L696" s="26"/>
      <c r="M696" s="26"/>
      <c r="N696" s="26"/>
      <c r="O696" s="29"/>
      <c r="P696" s="29"/>
      <c r="Q696" s="30" t="str">
        <f t="shared" ca="1" si="185"/>
        <v/>
      </c>
      <c r="R696" s="27"/>
      <c r="S696" s="60"/>
    </row>
    <row r="697" spans="1:20" ht="15" customHeight="1" x14ac:dyDescent="0.3">
      <c r="A697" s="68">
        <v>46260</v>
      </c>
      <c r="B697" s="32">
        <f t="shared" si="186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3"/>
        <v/>
      </c>
      <c r="K697" s="34" t="str">
        <f t="shared" si="184"/>
        <v/>
      </c>
      <c r="L697" s="33"/>
      <c r="M697" s="33"/>
      <c r="N697" s="33"/>
      <c r="O697" s="29"/>
      <c r="P697" s="29"/>
      <c r="Q697" s="35" t="str">
        <f t="shared" ca="1" si="185"/>
        <v/>
      </c>
      <c r="R697" s="27"/>
      <c r="S697" s="60"/>
    </row>
    <row r="698" spans="1:20" ht="15" customHeight="1" x14ac:dyDescent="0.3">
      <c r="A698" s="67">
        <v>46260</v>
      </c>
      <c r="B698" s="25">
        <f t="shared" si="186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3"/>
        <v/>
      </c>
      <c r="K698" s="28" t="str">
        <f t="shared" si="184"/>
        <v/>
      </c>
      <c r="L698" s="26"/>
      <c r="M698" s="26"/>
      <c r="N698" s="26"/>
      <c r="O698" s="29"/>
      <c r="P698" s="29"/>
      <c r="Q698" s="30" t="str">
        <f t="shared" ca="1" si="185"/>
        <v/>
      </c>
      <c r="R698" s="27"/>
      <c r="S698" s="60"/>
    </row>
    <row r="699" spans="1:20" ht="15" customHeight="1" x14ac:dyDescent="0.3">
      <c r="A699" s="68">
        <v>46260</v>
      </c>
      <c r="B699" s="32">
        <f t="shared" si="186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3"/>
        <v/>
      </c>
      <c r="K699" s="34" t="str">
        <f t="shared" si="184"/>
        <v/>
      </c>
      <c r="L699" s="33"/>
      <c r="M699" s="33"/>
      <c r="N699" s="33"/>
      <c r="O699" s="29"/>
      <c r="P699" s="29"/>
      <c r="Q699" s="35" t="str">
        <f t="shared" ca="1" si="185"/>
        <v/>
      </c>
      <c r="R699" s="27"/>
      <c r="S699" s="60"/>
    </row>
    <row r="700" spans="1:20" ht="15" customHeight="1" x14ac:dyDescent="0.3">
      <c r="A700" s="67">
        <v>46260</v>
      </c>
      <c r="B700" s="25">
        <f t="shared" si="186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3"/>
        <v/>
      </c>
      <c r="K700" s="28" t="str">
        <f t="shared" si="184"/>
        <v/>
      </c>
      <c r="L700" s="26"/>
      <c r="M700" s="26"/>
      <c r="N700" s="26"/>
      <c r="O700" s="29"/>
      <c r="P700" s="29"/>
      <c r="Q700" s="30" t="str">
        <f t="shared" ca="1" si="185"/>
        <v/>
      </c>
      <c r="R700" s="27"/>
      <c r="S700" s="60"/>
    </row>
    <row r="701" spans="1:20" ht="15" customHeight="1" thickBot="1" x14ac:dyDescent="0.35">
      <c r="A701" s="68">
        <v>46260</v>
      </c>
      <c r="B701" s="32">
        <f t="shared" si="186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3"/>
        <v/>
      </c>
      <c r="K701" s="34" t="str">
        <f t="shared" si="184"/>
        <v/>
      </c>
      <c r="L701" s="33"/>
      <c r="M701" s="33"/>
      <c r="N701" s="33"/>
      <c r="O701" s="29"/>
      <c r="P701" s="29"/>
      <c r="Q701" s="35" t="str">
        <f t="shared" ca="1" si="185"/>
        <v/>
      </c>
      <c r="R701" s="27"/>
      <c r="S701" s="60"/>
    </row>
    <row r="702" spans="1:20" ht="15.75" customHeight="1" thickBot="1" x14ac:dyDescent="0.35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 x14ac:dyDescent="0.3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 x14ac:dyDescent="0.3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7">IFERROR(IF($H704="","",$H704*$F704*$I704),"")</f>
        <v/>
      </c>
      <c r="K704" s="28" t="str">
        <f t="shared" ref="K704:K715" si="188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9">IFERROR(IF(O704="","",IF(P704="",MOD(NOW()-O704,1),IF(P704&gt;=O704,P704-O704,P704+1-O704))),"")</f>
        <v/>
      </c>
      <c r="R704" s="27"/>
      <c r="S704" s="60"/>
    </row>
    <row r="705" spans="1:20" ht="15" customHeight="1" x14ac:dyDescent="0.3">
      <c r="A705" s="68">
        <v>46261</v>
      </c>
      <c r="B705" s="32">
        <f t="shared" ref="B705:B715" si="190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7"/>
        <v/>
      </c>
      <c r="K705" s="34" t="str">
        <f t="shared" si="188"/>
        <v/>
      </c>
      <c r="L705" s="33"/>
      <c r="M705" s="33"/>
      <c r="N705" s="33"/>
      <c r="O705" s="29"/>
      <c r="P705" s="29"/>
      <c r="Q705" s="35" t="str">
        <f t="shared" ca="1" si="189"/>
        <v/>
      </c>
      <c r="R705" s="27"/>
      <c r="S705" s="60"/>
    </row>
    <row r="706" spans="1:20" ht="15" customHeight="1" x14ac:dyDescent="0.3">
      <c r="A706" s="67">
        <v>46261</v>
      </c>
      <c r="B706" s="25">
        <f t="shared" si="190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7"/>
        <v/>
      </c>
      <c r="K706" s="28" t="str">
        <f t="shared" si="188"/>
        <v/>
      </c>
      <c r="L706" s="26"/>
      <c r="M706" s="26"/>
      <c r="N706" s="26"/>
      <c r="O706" s="29"/>
      <c r="P706" s="29"/>
      <c r="Q706" s="30" t="str">
        <f t="shared" ca="1" si="189"/>
        <v/>
      </c>
      <c r="R706" s="27"/>
      <c r="S706" s="60"/>
    </row>
    <row r="707" spans="1:20" ht="15" customHeight="1" x14ac:dyDescent="0.3">
      <c r="A707" s="68">
        <v>46261</v>
      </c>
      <c r="B707" s="32">
        <f t="shared" si="190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7"/>
        <v/>
      </c>
      <c r="K707" s="34" t="str">
        <f t="shared" si="188"/>
        <v/>
      </c>
      <c r="L707" s="33"/>
      <c r="M707" s="33"/>
      <c r="N707" s="33"/>
      <c r="O707" s="29"/>
      <c r="P707" s="29"/>
      <c r="Q707" s="35" t="str">
        <f t="shared" ca="1" si="189"/>
        <v/>
      </c>
      <c r="R707" s="27"/>
      <c r="S707" s="60"/>
    </row>
    <row r="708" spans="1:20" ht="15" customHeight="1" x14ac:dyDescent="0.3">
      <c r="A708" s="67">
        <v>46261</v>
      </c>
      <c r="B708" s="25">
        <f t="shared" si="190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7"/>
        <v/>
      </c>
      <c r="K708" s="28" t="str">
        <f t="shared" si="188"/>
        <v/>
      </c>
      <c r="L708" s="26"/>
      <c r="M708" s="26"/>
      <c r="N708" s="26"/>
      <c r="O708" s="29"/>
      <c r="P708" s="29"/>
      <c r="Q708" s="30" t="str">
        <f t="shared" ca="1" si="189"/>
        <v/>
      </c>
      <c r="R708" s="27"/>
      <c r="S708" s="60"/>
    </row>
    <row r="709" spans="1:20" ht="15" customHeight="1" x14ac:dyDescent="0.3">
      <c r="A709" s="68">
        <v>46261</v>
      </c>
      <c r="B709" s="32">
        <f t="shared" si="190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7"/>
        <v/>
      </c>
      <c r="K709" s="34" t="str">
        <f t="shared" si="188"/>
        <v/>
      </c>
      <c r="L709" s="33"/>
      <c r="M709" s="33"/>
      <c r="N709" s="33"/>
      <c r="O709" s="29"/>
      <c r="P709" s="29"/>
      <c r="Q709" s="35" t="str">
        <f t="shared" ca="1" si="189"/>
        <v/>
      </c>
      <c r="R709" s="27"/>
      <c r="S709" s="60"/>
    </row>
    <row r="710" spans="1:20" ht="15" customHeight="1" x14ac:dyDescent="0.3">
      <c r="A710" s="67">
        <v>46261</v>
      </c>
      <c r="B710" s="25">
        <f t="shared" si="190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7"/>
        <v/>
      </c>
      <c r="K710" s="28" t="str">
        <f t="shared" si="188"/>
        <v/>
      </c>
      <c r="L710" s="26"/>
      <c r="M710" s="26"/>
      <c r="N710" s="26"/>
      <c r="O710" s="29"/>
      <c r="P710" s="29"/>
      <c r="Q710" s="30" t="str">
        <f t="shared" ca="1" si="189"/>
        <v/>
      </c>
      <c r="R710" s="27"/>
      <c r="S710" s="60"/>
    </row>
    <row r="711" spans="1:20" ht="15" customHeight="1" x14ac:dyDescent="0.3">
      <c r="A711" s="68">
        <v>46261</v>
      </c>
      <c r="B711" s="32">
        <f t="shared" si="190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7"/>
        <v/>
      </c>
      <c r="K711" s="34" t="str">
        <f t="shared" si="188"/>
        <v/>
      </c>
      <c r="L711" s="33"/>
      <c r="M711" s="33"/>
      <c r="N711" s="33"/>
      <c r="O711" s="29"/>
      <c r="P711" s="29"/>
      <c r="Q711" s="35" t="str">
        <f t="shared" ca="1" si="189"/>
        <v/>
      </c>
      <c r="R711" s="27"/>
      <c r="S711" s="60"/>
    </row>
    <row r="712" spans="1:20" ht="15" customHeight="1" x14ac:dyDescent="0.3">
      <c r="A712" s="67">
        <v>46261</v>
      </c>
      <c r="B712" s="25">
        <f t="shared" si="190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7"/>
        <v/>
      </c>
      <c r="K712" s="28" t="str">
        <f t="shared" si="188"/>
        <v/>
      </c>
      <c r="L712" s="26"/>
      <c r="M712" s="26"/>
      <c r="N712" s="26"/>
      <c r="O712" s="29"/>
      <c r="P712" s="29"/>
      <c r="Q712" s="30" t="str">
        <f t="shared" ca="1" si="189"/>
        <v/>
      </c>
      <c r="R712" s="27"/>
      <c r="S712" s="60"/>
    </row>
    <row r="713" spans="1:20" ht="15" customHeight="1" x14ac:dyDescent="0.3">
      <c r="A713" s="68">
        <v>46261</v>
      </c>
      <c r="B713" s="32">
        <f t="shared" si="190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7"/>
        <v/>
      </c>
      <c r="K713" s="34" t="str">
        <f t="shared" si="188"/>
        <v/>
      </c>
      <c r="L713" s="33"/>
      <c r="M713" s="33"/>
      <c r="N713" s="33"/>
      <c r="O713" s="29"/>
      <c r="P713" s="29"/>
      <c r="Q713" s="35" t="str">
        <f t="shared" ca="1" si="189"/>
        <v/>
      </c>
      <c r="R713" s="27"/>
      <c r="S713" s="60"/>
    </row>
    <row r="714" spans="1:20" ht="15" customHeight="1" x14ac:dyDescent="0.3">
      <c r="A714" s="67">
        <v>46261</v>
      </c>
      <c r="B714" s="25">
        <f t="shared" si="190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7"/>
        <v/>
      </c>
      <c r="K714" s="28" t="str">
        <f t="shared" si="188"/>
        <v/>
      </c>
      <c r="L714" s="26"/>
      <c r="M714" s="26"/>
      <c r="N714" s="26"/>
      <c r="O714" s="29"/>
      <c r="P714" s="29"/>
      <c r="Q714" s="30" t="str">
        <f t="shared" ca="1" si="189"/>
        <v/>
      </c>
      <c r="R714" s="27"/>
      <c r="S714" s="60"/>
    </row>
    <row r="715" spans="1:20" ht="15" customHeight="1" thickBot="1" x14ac:dyDescent="0.35">
      <c r="A715" s="68">
        <v>46261</v>
      </c>
      <c r="B715" s="32">
        <f t="shared" si="190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7"/>
        <v/>
      </c>
      <c r="K715" s="34" t="str">
        <f t="shared" si="188"/>
        <v/>
      </c>
      <c r="L715" s="33"/>
      <c r="M715" s="33"/>
      <c r="N715" s="33"/>
      <c r="O715" s="29"/>
      <c r="P715" s="29"/>
      <c r="Q715" s="35" t="str">
        <f t="shared" ca="1" si="189"/>
        <v/>
      </c>
      <c r="R715" s="27"/>
      <c r="S715" s="60"/>
    </row>
    <row r="716" spans="1:20" ht="15.75" customHeight="1" thickBot="1" x14ac:dyDescent="0.35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 x14ac:dyDescent="0.3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1">IFERROR(IF($H717="","",$H717*$F717*$I717),"")</f>
        <v/>
      </c>
      <c r="K717" s="34" t="str">
        <f t="shared" ref="K717:K728" si="192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3">IFERROR(IF(O717="","",IF(P717="",MOD(NOW()-O717,1),IF(P717&gt;=O717,P717-O717,P717+1-O717))),"")</f>
        <v/>
      </c>
      <c r="R717" s="27"/>
      <c r="S717" s="60"/>
    </row>
    <row r="718" spans="1:20" ht="15" customHeight="1" x14ac:dyDescent="0.3">
      <c r="A718" s="67">
        <v>46261</v>
      </c>
      <c r="B718" s="25">
        <f t="shared" ref="B718:B728" si="194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1"/>
        <v/>
      </c>
      <c r="K718" s="28" t="str">
        <f t="shared" si="192"/>
        <v/>
      </c>
      <c r="L718" s="26"/>
      <c r="M718" s="26"/>
      <c r="N718" s="26"/>
      <c r="O718" s="29"/>
      <c r="P718" s="29"/>
      <c r="Q718" s="30" t="str">
        <f t="shared" ca="1" si="193"/>
        <v/>
      </c>
      <c r="R718" s="27"/>
      <c r="S718" s="60"/>
    </row>
    <row r="719" spans="1:20" ht="15" customHeight="1" x14ac:dyDescent="0.3">
      <c r="A719" s="68">
        <v>46261</v>
      </c>
      <c r="B719" s="32">
        <f t="shared" si="194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1"/>
        <v/>
      </c>
      <c r="K719" s="34" t="str">
        <f t="shared" si="192"/>
        <v/>
      </c>
      <c r="L719" s="33"/>
      <c r="M719" s="33"/>
      <c r="N719" s="33"/>
      <c r="O719" s="29"/>
      <c r="P719" s="29"/>
      <c r="Q719" s="35" t="str">
        <f t="shared" ca="1" si="193"/>
        <v/>
      </c>
      <c r="R719" s="27"/>
      <c r="S719" s="60"/>
    </row>
    <row r="720" spans="1:20" ht="15" customHeight="1" x14ac:dyDescent="0.3">
      <c r="A720" s="67">
        <v>46261</v>
      </c>
      <c r="B720" s="25">
        <f t="shared" si="194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1"/>
        <v/>
      </c>
      <c r="K720" s="28" t="str">
        <f t="shared" si="192"/>
        <v/>
      </c>
      <c r="L720" s="26"/>
      <c r="M720" s="26"/>
      <c r="N720" s="26"/>
      <c r="O720" s="29"/>
      <c r="P720" s="29"/>
      <c r="Q720" s="30" t="str">
        <f t="shared" ca="1" si="193"/>
        <v/>
      </c>
      <c r="R720" s="27"/>
      <c r="S720" s="60"/>
    </row>
    <row r="721" spans="1:20" ht="15" customHeight="1" x14ac:dyDescent="0.3">
      <c r="A721" s="68">
        <v>46261</v>
      </c>
      <c r="B721" s="32">
        <f t="shared" si="194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1"/>
        <v/>
      </c>
      <c r="K721" s="34" t="str">
        <f t="shared" si="192"/>
        <v/>
      </c>
      <c r="L721" s="33"/>
      <c r="M721" s="33"/>
      <c r="N721" s="33"/>
      <c r="O721" s="29"/>
      <c r="P721" s="29"/>
      <c r="Q721" s="35" t="str">
        <f t="shared" ca="1" si="193"/>
        <v/>
      </c>
      <c r="R721" s="27"/>
      <c r="S721" s="60"/>
    </row>
    <row r="722" spans="1:20" ht="15" customHeight="1" x14ac:dyDescent="0.3">
      <c r="A722" s="67">
        <v>46261</v>
      </c>
      <c r="B722" s="25">
        <f t="shared" si="194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1"/>
        <v/>
      </c>
      <c r="K722" s="28" t="str">
        <f t="shared" si="192"/>
        <v/>
      </c>
      <c r="L722" s="26"/>
      <c r="M722" s="26"/>
      <c r="N722" s="26"/>
      <c r="O722" s="29"/>
      <c r="P722" s="29"/>
      <c r="Q722" s="30" t="str">
        <f t="shared" ca="1" si="193"/>
        <v/>
      </c>
      <c r="R722" s="27"/>
      <c r="S722" s="60"/>
    </row>
    <row r="723" spans="1:20" ht="15" customHeight="1" x14ac:dyDescent="0.3">
      <c r="A723" s="68">
        <v>46261</v>
      </c>
      <c r="B723" s="32">
        <f t="shared" si="194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1"/>
        <v/>
      </c>
      <c r="K723" s="34" t="str">
        <f t="shared" si="192"/>
        <v/>
      </c>
      <c r="L723" s="33"/>
      <c r="M723" s="33"/>
      <c r="N723" s="33"/>
      <c r="O723" s="29"/>
      <c r="P723" s="29"/>
      <c r="Q723" s="35" t="str">
        <f t="shared" ca="1" si="193"/>
        <v/>
      </c>
      <c r="R723" s="27"/>
      <c r="S723" s="60"/>
    </row>
    <row r="724" spans="1:20" ht="15" customHeight="1" x14ac:dyDescent="0.3">
      <c r="A724" s="67">
        <v>46261</v>
      </c>
      <c r="B724" s="25">
        <f t="shared" si="194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1"/>
        <v/>
      </c>
      <c r="K724" s="28" t="str">
        <f t="shared" si="192"/>
        <v/>
      </c>
      <c r="L724" s="26"/>
      <c r="M724" s="26"/>
      <c r="N724" s="26"/>
      <c r="O724" s="29"/>
      <c r="P724" s="29"/>
      <c r="Q724" s="30" t="str">
        <f t="shared" ca="1" si="193"/>
        <v/>
      </c>
      <c r="R724" s="27"/>
      <c r="S724" s="60"/>
    </row>
    <row r="725" spans="1:20" ht="15" customHeight="1" x14ac:dyDescent="0.3">
      <c r="A725" s="68">
        <v>46261</v>
      </c>
      <c r="B725" s="32">
        <f t="shared" si="194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1"/>
        <v/>
      </c>
      <c r="K725" s="34" t="str">
        <f t="shared" si="192"/>
        <v/>
      </c>
      <c r="L725" s="33"/>
      <c r="M725" s="33"/>
      <c r="N725" s="33"/>
      <c r="O725" s="29"/>
      <c r="P725" s="29"/>
      <c r="Q725" s="35" t="str">
        <f t="shared" ca="1" si="193"/>
        <v/>
      </c>
      <c r="R725" s="27"/>
      <c r="S725" s="60"/>
    </row>
    <row r="726" spans="1:20" ht="15" customHeight="1" x14ac:dyDescent="0.3">
      <c r="A726" s="67">
        <v>46261</v>
      </c>
      <c r="B726" s="25">
        <f t="shared" si="194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1"/>
        <v/>
      </c>
      <c r="K726" s="28" t="str">
        <f t="shared" si="192"/>
        <v/>
      </c>
      <c r="L726" s="26"/>
      <c r="M726" s="26"/>
      <c r="N726" s="26"/>
      <c r="O726" s="29"/>
      <c r="P726" s="29"/>
      <c r="Q726" s="30" t="str">
        <f t="shared" ca="1" si="193"/>
        <v/>
      </c>
      <c r="R726" s="27"/>
      <c r="S726" s="60"/>
    </row>
    <row r="727" spans="1:20" ht="15" customHeight="1" x14ac:dyDescent="0.3">
      <c r="A727" s="68">
        <v>46261</v>
      </c>
      <c r="B727" s="32">
        <f t="shared" si="194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1"/>
        <v/>
      </c>
      <c r="K727" s="34" t="str">
        <f t="shared" si="192"/>
        <v/>
      </c>
      <c r="L727" s="33"/>
      <c r="M727" s="33"/>
      <c r="N727" s="33"/>
      <c r="O727" s="29"/>
      <c r="P727" s="29"/>
      <c r="Q727" s="35" t="str">
        <f t="shared" ca="1" si="193"/>
        <v/>
      </c>
      <c r="R727" s="27"/>
      <c r="S727" s="60"/>
    </row>
    <row r="728" spans="1:20" ht="15" customHeight="1" thickBot="1" x14ac:dyDescent="0.35">
      <c r="A728" s="67">
        <v>46261</v>
      </c>
      <c r="B728" s="25">
        <f t="shared" si="194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1"/>
        <v/>
      </c>
      <c r="K728" s="28" t="str">
        <f t="shared" si="192"/>
        <v/>
      </c>
      <c r="L728" s="26"/>
      <c r="M728" s="26"/>
      <c r="N728" s="26"/>
      <c r="O728" s="29"/>
      <c r="P728" s="29"/>
      <c r="Q728" s="30" t="str">
        <f t="shared" ca="1" si="193"/>
        <v/>
      </c>
      <c r="R728" s="27"/>
      <c r="S728" s="60"/>
    </row>
    <row r="729" spans="1:20" ht="15.75" customHeight="1" thickBot="1" x14ac:dyDescent="0.35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 x14ac:dyDescent="0.3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 x14ac:dyDescent="0.3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5">IFERROR(IF($H731="","",$H731*$F731*$I731),"")</f>
        <v/>
      </c>
      <c r="K731" s="34" t="str">
        <f t="shared" ref="K731:K742" si="196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7">IFERROR(IF(O731="","",IF(P731="",MOD(NOW()-O731,1),IF(P731&gt;=O731,P731-O731,P731+1-O731))),"")</f>
        <v/>
      </c>
      <c r="R731" s="27"/>
      <c r="S731" s="60"/>
    </row>
    <row r="732" spans="1:20" ht="15" customHeight="1" x14ac:dyDescent="0.3">
      <c r="A732" s="67">
        <v>46262</v>
      </c>
      <c r="B732" s="25">
        <f t="shared" ref="B732:B742" si="198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5"/>
        <v/>
      </c>
      <c r="K732" s="28" t="str">
        <f t="shared" si="196"/>
        <v/>
      </c>
      <c r="L732" s="26"/>
      <c r="M732" s="26"/>
      <c r="N732" s="26"/>
      <c r="O732" s="29"/>
      <c r="P732" s="29"/>
      <c r="Q732" s="30" t="str">
        <f t="shared" ca="1" si="197"/>
        <v/>
      </c>
      <c r="R732" s="27"/>
      <c r="S732" s="60"/>
    </row>
    <row r="733" spans="1:20" ht="15" customHeight="1" x14ac:dyDescent="0.3">
      <c r="A733" s="68">
        <v>46262</v>
      </c>
      <c r="B733" s="32">
        <f t="shared" si="198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5"/>
        <v/>
      </c>
      <c r="K733" s="34" t="str">
        <f t="shared" si="196"/>
        <v/>
      </c>
      <c r="L733" s="33"/>
      <c r="M733" s="33"/>
      <c r="N733" s="33"/>
      <c r="O733" s="29"/>
      <c r="P733" s="29"/>
      <c r="Q733" s="35" t="str">
        <f t="shared" ca="1" si="197"/>
        <v/>
      </c>
      <c r="R733" s="27"/>
      <c r="S733" s="60"/>
    </row>
    <row r="734" spans="1:20" ht="15" customHeight="1" x14ac:dyDescent="0.3">
      <c r="A734" s="67">
        <v>46262</v>
      </c>
      <c r="B734" s="25">
        <f t="shared" si="198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5"/>
        <v/>
      </c>
      <c r="K734" s="28" t="str">
        <f t="shared" si="196"/>
        <v/>
      </c>
      <c r="L734" s="26"/>
      <c r="M734" s="26"/>
      <c r="N734" s="26"/>
      <c r="O734" s="29"/>
      <c r="P734" s="29"/>
      <c r="Q734" s="30" t="str">
        <f t="shared" ca="1" si="197"/>
        <v/>
      </c>
      <c r="R734" s="27"/>
      <c r="S734" s="60"/>
    </row>
    <row r="735" spans="1:20" ht="15" customHeight="1" x14ac:dyDescent="0.3">
      <c r="A735" s="68">
        <v>46262</v>
      </c>
      <c r="B735" s="32">
        <f t="shared" si="198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5"/>
        <v/>
      </c>
      <c r="K735" s="34" t="str">
        <f t="shared" si="196"/>
        <v/>
      </c>
      <c r="L735" s="33"/>
      <c r="M735" s="33"/>
      <c r="N735" s="33"/>
      <c r="O735" s="29"/>
      <c r="P735" s="29"/>
      <c r="Q735" s="35" t="str">
        <f t="shared" ca="1" si="197"/>
        <v/>
      </c>
      <c r="R735" s="27"/>
      <c r="S735" s="60"/>
    </row>
    <row r="736" spans="1:20" ht="15" customHeight="1" x14ac:dyDescent="0.3">
      <c r="A736" s="67">
        <v>46262</v>
      </c>
      <c r="B736" s="25">
        <f t="shared" si="198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5"/>
        <v/>
      </c>
      <c r="K736" s="28" t="str">
        <f t="shared" si="196"/>
        <v/>
      </c>
      <c r="L736" s="26"/>
      <c r="M736" s="26"/>
      <c r="N736" s="26"/>
      <c r="O736" s="29"/>
      <c r="P736" s="29"/>
      <c r="Q736" s="30" t="str">
        <f t="shared" ca="1" si="197"/>
        <v/>
      </c>
      <c r="R736" s="27"/>
      <c r="S736" s="60"/>
    </row>
    <row r="737" spans="1:20" ht="15" customHeight="1" x14ac:dyDescent="0.3">
      <c r="A737" s="68">
        <v>46262</v>
      </c>
      <c r="B737" s="32">
        <f t="shared" si="198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5"/>
        <v/>
      </c>
      <c r="K737" s="34" t="str">
        <f t="shared" si="196"/>
        <v/>
      </c>
      <c r="L737" s="33"/>
      <c r="M737" s="33"/>
      <c r="N737" s="33"/>
      <c r="O737" s="29"/>
      <c r="P737" s="29"/>
      <c r="Q737" s="35" t="str">
        <f t="shared" ca="1" si="197"/>
        <v/>
      </c>
      <c r="R737" s="27"/>
      <c r="S737" s="60"/>
    </row>
    <row r="738" spans="1:20" ht="15" customHeight="1" x14ac:dyDescent="0.3">
      <c r="A738" s="67">
        <v>46262</v>
      </c>
      <c r="B738" s="25">
        <f t="shared" si="198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5"/>
        <v/>
      </c>
      <c r="K738" s="28" t="str">
        <f t="shared" si="196"/>
        <v/>
      </c>
      <c r="L738" s="26"/>
      <c r="M738" s="26"/>
      <c r="N738" s="26"/>
      <c r="O738" s="29"/>
      <c r="P738" s="29"/>
      <c r="Q738" s="30" t="str">
        <f t="shared" ca="1" si="197"/>
        <v/>
      </c>
      <c r="R738" s="27"/>
      <c r="S738" s="60"/>
    </row>
    <row r="739" spans="1:20" ht="15" customHeight="1" x14ac:dyDescent="0.3">
      <c r="A739" s="68">
        <v>46262</v>
      </c>
      <c r="B739" s="32">
        <f t="shared" si="198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5"/>
        <v/>
      </c>
      <c r="K739" s="34" t="str">
        <f t="shared" si="196"/>
        <v/>
      </c>
      <c r="L739" s="33"/>
      <c r="M739" s="33"/>
      <c r="N739" s="33"/>
      <c r="O739" s="29"/>
      <c r="P739" s="29"/>
      <c r="Q739" s="35" t="str">
        <f t="shared" ca="1" si="197"/>
        <v/>
      </c>
      <c r="R739" s="27"/>
      <c r="S739" s="60"/>
    </row>
    <row r="740" spans="1:20" ht="15" customHeight="1" x14ac:dyDescent="0.3">
      <c r="A740" s="67">
        <v>46262</v>
      </c>
      <c r="B740" s="25">
        <f t="shared" si="198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5"/>
        <v/>
      </c>
      <c r="K740" s="28" t="str">
        <f t="shared" si="196"/>
        <v/>
      </c>
      <c r="L740" s="26"/>
      <c r="M740" s="26"/>
      <c r="N740" s="26"/>
      <c r="O740" s="29"/>
      <c r="P740" s="29"/>
      <c r="Q740" s="30" t="str">
        <f t="shared" ca="1" si="197"/>
        <v/>
      </c>
      <c r="R740" s="27"/>
      <c r="S740" s="60"/>
    </row>
    <row r="741" spans="1:20" ht="15" customHeight="1" x14ac:dyDescent="0.3">
      <c r="A741" s="68">
        <v>46262</v>
      </c>
      <c r="B741" s="32">
        <f t="shared" si="198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5"/>
        <v/>
      </c>
      <c r="K741" s="34" t="str">
        <f t="shared" si="196"/>
        <v/>
      </c>
      <c r="L741" s="33"/>
      <c r="M741" s="33"/>
      <c r="N741" s="33"/>
      <c r="O741" s="29"/>
      <c r="P741" s="29"/>
      <c r="Q741" s="35" t="str">
        <f t="shared" ca="1" si="197"/>
        <v/>
      </c>
      <c r="R741" s="27"/>
      <c r="S741" s="60"/>
    </row>
    <row r="742" spans="1:20" ht="15" customHeight="1" thickBot="1" x14ac:dyDescent="0.35">
      <c r="A742" s="67">
        <v>46262</v>
      </c>
      <c r="B742" s="25">
        <f t="shared" si="198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5"/>
        <v/>
      </c>
      <c r="K742" s="28" t="str">
        <f t="shared" si="196"/>
        <v/>
      </c>
      <c r="L742" s="26"/>
      <c r="M742" s="26"/>
      <c r="N742" s="26"/>
      <c r="O742" s="29"/>
      <c r="P742" s="29"/>
      <c r="Q742" s="30" t="str">
        <f t="shared" ca="1" si="197"/>
        <v/>
      </c>
      <c r="R742" s="27"/>
      <c r="S742" s="60"/>
    </row>
    <row r="743" spans="1:20" ht="15.75" customHeight="1" thickBot="1" x14ac:dyDescent="0.35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 x14ac:dyDescent="0.3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9">IFERROR(IF($H744="","",$H744*$F744*$I744),"")</f>
        <v/>
      </c>
      <c r="K744" s="28" t="str">
        <f t="shared" ref="K744:K755" si="200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1">IFERROR(IF(O744="","",IF(P744="",MOD(NOW()-O744,1),IF(P744&gt;=O744,P744-O744,P744+1-O744))),"")</f>
        <v/>
      </c>
      <c r="R744" s="27"/>
      <c r="S744" s="60"/>
    </row>
    <row r="745" spans="1:20" ht="15" customHeight="1" x14ac:dyDescent="0.3">
      <c r="A745" s="68">
        <v>46262</v>
      </c>
      <c r="B745" s="32">
        <f t="shared" ref="B745:B755" si="202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9"/>
        <v/>
      </c>
      <c r="K745" s="34" t="str">
        <f t="shared" si="200"/>
        <v/>
      </c>
      <c r="L745" s="33"/>
      <c r="M745" s="33"/>
      <c r="N745" s="33"/>
      <c r="O745" s="29"/>
      <c r="P745" s="29"/>
      <c r="Q745" s="35" t="str">
        <f t="shared" ca="1" si="201"/>
        <v/>
      </c>
      <c r="R745" s="27"/>
      <c r="S745" s="60"/>
    </row>
    <row r="746" spans="1:20" ht="15" customHeight="1" x14ac:dyDescent="0.3">
      <c r="A746" s="67">
        <v>46262</v>
      </c>
      <c r="B746" s="25">
        <f t="shared" si="202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9"/>
        <v/>
      </c>
      <c r="K746" s="28" t="str">
        <f t="shared" si="200"/>
        <v/>
      </c>
      <c r="L746" s="26"/>
      <c r="M746" s="26"/>
      <c r="N746" s="26"/>
      <c r="O746" s="29"/>
      <c r="P746" s="29"/>
      <c r="Q746" s="30" t="str">
        <f t="shared" ca="1" si="201"/>
        <v/>
      </c>
      <c r="R746" s="27"/>
      <c r="S746" s="60"/>
    </row>
    <row r="747" spans="1:20" ht="15" customHeight="1" x14ac:dyDescent="0.3">
      <c r="A747" s="68">
        <v>46262</v>
      </c>
      <c r="B747" s="32">
        <f t="shared" si="202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9"/>
        <v/>
      </c>
      <c r="K747" s="34" t="str">
        <f t="shared" si="200"/>
        <v/>
      </c>
      <c r="L747" s="33"/>
      <c r="M747" s="33"/>
      <c r="N747" s="33"/>
      <c r="O747" s="29"/>
      <c r="P747" s="29"/>
      <c r="Q747" s="35" t="str">
        <f t="shared" ca="1" si="201"/>
        <v/>
      </c>
      <c r="R747" s="27"/>
      <c r="S747" s="60"/>
    </row>
    <row r="748" spans="1:20" ht="15" customHeight="1" x14ac:dyDescent="0.3">
      <c r="A748" s="67">
        <v>46262</v>
      </c>
      <c r="B748" s="25">
        <f t="shared" si="202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9"/>
        <v/>
      </c>
      <c r="K748" s="28" t="str">
        <f t="shared" si="200"/>
        <v/>
      </c>
      <c r="L748" s="26"/>
      <c r="M748" s="26"/>
      <c r="N748" s="26"/>
      <c r="O748" s="29"/>
      <c r="P748" s="29"/>
      <c r="Q748" s="30" t="str">
        <f t="shared" ca="1" si="201"/>
        <v/>
      </c>
      <c r="R748" s="27"/>
      <c r="S748" s="60"/>
    </row>
    <row r="749" spans="1:20" ht="15" customHeight="1" x14ac:dyDescent="0.3">
      <c r="A749" s="68">
        <v>46262</v>
      </c>
      <c r="B749" s="32">
        <f t="shared" si="202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9"/>
        <v/>
      </c>
      <c r="K749" s="34" t="str">
        <f t="shared" si="200"/>
        <v/>
      </c>
      <c r="L749" s="33"/>
      <c r="M749" s="33"/>
      <c r="N749" s="33"/>
      <c r="O749" s="29"/>
      <c r="P749" s="29"/>
      <c r="Q749" s="35" t="str">
        <f t="shared" ca="1" si="201"/>
        <v/>
      </c>
      <c r="R749" s="27"/>
      <c r="S749" s="60"/>
    </row>
    <row r="750" spans="1:20" ht="15" customHeight="1" x14ac:dyDescent="0.3">
      <c r="A750" s="67">
        <v>46262</v>
      </c>
      <c r="B750" s="25">
        <f t="shared" si="202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9"/>
        <v/>
      </c>
      <c r="K750" s="28" t="str">
        <f t="shared" si="200"/>
        <v/>
      </c>
      <c r="L750" s="26"/>
      <c r="M750" s="26"/>
      <c r="N750" s="26"/>
      <c r="O750" s="29"/>
      <c r="P750" s="29"/>
      <c r="Q750" s="30" t="str">
        <f t="shared" ca="1" si="201"/>
        <v/>
      </c>
      <c r="R750" s="27"/>
      <c r="S750" s="60"/>
    </row>
    <row r="751" spans="1:20" ht="15" customHeight="1" x14ac:dyDescent="0.3">
      <c r="A751" s="68">
        <v>46262</v>
      </c>
      <c r="B751" s="32">
        <f t="shared" si="202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9"/>
        <v/>
      </c>
      <c r="K751" s="34" t="str">
        <f t="shared" si="200"/>
        <v/>
      </c>
      <c r="L751" s="33"/>
      <c r="M751" s="33"/>
      <c r="N751" s="33"/>
      <c r="O751" s="29"/>
      <c r="P751" s="29"/>
      <c r="Q751" s="35" t="str">
        <f t="shared" ca="1" si="201"/>
        <v/>
      </c>
      <c r="R751" s="27"/>
      <c r="S751" s="60"/>
    </row>
    <row r="752" spans="1:20" ht="15" customHeight="1" x14ac:dyDescent="0.3">
      <c r="A752" s="67">
        <v>46262</v>
      </c>
      <c r="B752" s="25">
        <f t="shared" si="202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9"/>
        <v/>
      </c>
      <c r="K752" s="28" t="str">
        <f t="shared" si="200"/>
        <v/>
      </c>
      <c r="L752" s="26"/>
      <c r="M752" s="26"/>
      <c r="N752" s="26"/>
      <c r="O752" s="29"/>
      <c r="P752" s="29"/>
      <c r="Q752" s="30" t="str">
        <f t="shared" ca="1" si="201"/>
        <v/>
      </c>
      <c r="R752" s="27"/>
      <c r="S752" s="60"/>
    </row>
    <row r="753" spans="1:20" ht="15" customHeight="1" x14ac:dyDescent="0.3">
      <c r="A753" s="68">
        <v>46262</v>
      </c>
      <c r="B753" s="32">
        <f t="shared" si="202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9"/>
        <v/>
      </c>
      <c r="K753" s="34" t="str">
        <f t="shared" si="200"/>
        <v/>
      </c>
      <c r="L753" s="33"/>
      <c r="M753" s="33"/>
      <c r="N753" s="33"/>
      <c r="O753" s="29"/>
      <c r="P753" s="29"/>
      <c r="Q753" s="35" t="str">
        <f t="shared" ca="1" si="201"/>
        <v/>
      </c>
      <c r="R753" s="27"/>
      <c r="S753" s="60"/>
    </row>
    <row r="754" spans="1:20" ht="15" customHeight="1" x14ac:dyDescent="0.3">
      <c r="A754" s="67">
        <v>46262</v>
      </c>
      <c r="B754" s="25">
        <f t="shared" si="202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9"/>
        <v/>
      </c>
      <c r="K754" s="28" t="str">
        <f t="shared" si="200"/>
        <v/>
      </c>
      <c r="L754" s="26"/>
      <c r="M754" s="26"/>
      <c r="N754" s="26"/>
      <c r="O754" s="29"/>
      <c r="P754" s="29"/>
      <c r="Q754" s="30" t="str">
        <f t="shared" ca="1" si="201"/>
        <v/>
      </c>
      <c r="R754" s="27"/>
      <c r="S754" s="60"/>
    </row>
    <row r="755" spans="1:20" ht="15" customHeight="1" thickBot="1" x14ac:dyDescent="0.35">
      <c r="A755" s="68">
        <v>46262</v>
      </c>
      <c r="B755" s="32">
        <f t="shared" si="202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9"/>
        <v/>
      </c>
      <c r="K755" s="34" t="str">
        <f t="shared" si="200"/>
        <v/>
      </c>
      <c r="L755" s="33"/>
      <c r="M755" s="33"/>
      <c r="N755" s="33"/>
      <c r="O755" s="29"/>
      <c r="P755" s="29"/>
      <c r="Q755" s="35" t="str">
        <f t="shared" ca="1" si="201"/>
        <v/>
      </c>
      <c r="R755" s="27"/>
      <c r="S755" s="60"/>
    </row>
    <row r="756" spans="1:20" ht="15.75" customHeight="1" thickBot="1" x14ac:dyDescent="0.35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 x14ac:dyDescent="0.3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 x14ac:dyDescent="0.3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3">IFERROR(IF($H758="","",$H758*$F758*$I758),"")</f>
        <v/>
      </c>
      <c r="K758" s="28" t="str">
        <f t="shared" ref="K758:K769" si="204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5">IFERROR(IF(O758="","",IF(P758="",MOD(NOW()-O758,1),IF(P758&gt;=O758,P758-O758,P758+1-O758))),"")</f>
        <v/>
      </c>
      <c r="R758" s="27"/>
      <c r="S758" s="60"/>
    </row>
    <row r="759" spans="1:20" ht="15" customHeight="1" x14ac:dyDescent="0.3">
      <c r="A759" s="68">
        <v>46263</v>
      </c>
      <c r="B759" s="32">
        <f t="shared" ref="B759:B769" si="206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3"/>
        <v/>
      </c>
      <c r="K759" s="34" t="str">
        <f t="shared" si="204"/>
        <v/>
      </c>
      <c r="L759" s="33"/>
      <c r="M759" s="33"/>
      <c r="N759" s="33"/>
      <c r="O759" s="29"/>
      <c r="P759" s="29"/>
      <c r="Q759" s="35" t="str">
        <f t="shared" ca="1" si="205"/>
        <v/>
      </c>
      <c r="R759" s="27"/>
      <c r="S759" s="60"/>
    </row>
    <row r="760" spans="1:20" ht="15" customHeight="1" x14ac:dyDescent="0.3">
      <c r="A760" s="67">
        <v>46263</v>
      </c>
      <c r="B760" s="25">
        <f t="shared" si="206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3"/>
        <v/>
      </c>
      <c r="K760" s="28" t="str">
        <f t="shared" si="204"/>
        <v/>
      </c>
      <c r="L760" s="26"/>
      <c r="M760" s="26"/>
      <c r="N760" s="26"/>
      <c r="O760" s="29"/>
      <c r="P760" s="29"/>
      <c r="Q760" s="30" t="str">
        <f t="shared" ca="1" si="205"/>
        <v/>
      </c>
      <c r="R760" s="27"/>
      <c r="S760" s="60"/>
    </row>
    <row r="761" spans="1:20" ht="15" customHeight="1" x14ac:dyDescent="0.3">
      <c r="A761" s="68">
        <v>46263</v>
      </c>
      <c r="B761" s="32">
        <f t="shared" si="206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3"/>
        <v/>
      </c>
      <c r="K761" s="34" t="str">
        <f t="shared" si="204"/>
        <v/>
      </c>
      <c r="L761" s="33"/>
      <c r="M761" s="33"/>
      <c r="N761" s="33"/>
      <c r="O761" s="29"/>
      <c r="P761" s="29"/>
      <c r="Q761" s="35" t="str">
        <f t="shared" ca="1" si="205"/>
        <v/>
      </c>
      <c r="R761" s="27"/>
      <c r="S761" s="60"/>
    </row>
    <row r="762" spans="1:20" ht="15" customHeight="1" x14ac:dyDescent="0.3">
      <c r="A762" s="67">
        <v>46263</v>
      </c>
      <c r="B762" s="25">
        <f t="shared" si="206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3"/>
        <v/>
      </c>
      <c r="K762" s="28" t="str">
        <f t="shared" si="204"/>
        <v/>
      </c>
      <c r="L762" s="26"/>
      <c r="M762" s="26"/>
      <c r="N762" s="26"/>
      <c r="O762" s="29"/>
      <c r="P762" s="29"/>
      <c r="Q762" s="30" t="str">
        <f t="shared" ca="1" si="205"/>
        <v/>
      </c>
      <c r="R762" s="27"/>
      <c r="S762" s="60"/>
    </row>
    <row r="763" spans="1:20" ht="15" customHeight="1" x14ac:dyDescent="0.3">
      <c r="A763" s="68">
        <v>46263</v>
      </c>
      <c r="B763" s="32">
        <f t="shared" si="206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3"/>
        <v/>
      </c>
      <c r="K763" s="34" t="str">
        <f t="shared" si="204"/>
        <v/>
      </c>
      <c r="L763" s="33"/>
      <c r="M763" s="33"/>
      <c r="N763" s="33"/>
      <c r="O763" s="29"/>
      <c r="P763" s="29"/>
      <c r="Q763" s="35" t="str">
        <f t="shared" ca="1" si="205"/>
        <v/>
      </c>
      <c r="R763" s="27"/>
      <c r="S763" s="60"/>
    </row>
    <row r="764" spans="1:20" ht="15" customHeight="1" x14ac:dyDescent="0.3">
      <c r="A764" s="67">
        <v>46263</v>
      </c>
      <c r="B764" s="25">
        <f t="shared" si="206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3"/>
        <v/>
      </c>
      <c r="K764" s="28" t="str">
        <f t="shared" si="204"/>
        <v/>
      </c>
      <c r="L764" s="26"/>
      <c r="M764" s="26"/>
      <c r="N764" s="26"/>
      <c r="O764" s="29"/>
      <c r="P764" s="29"/>
      <c r="Q764" s="30" t="str">
        <f t="shared" ca="1" si="205"/>
        <v/>
      </c>
      <c r="R764" s="27"/>
      <c r="S764" s="60"/>
    </row>
    <row r="765" spans="1:20" ht="15" customHeight="1" x14ac:dyDescent="0.3">
      <c r="A765" s="68">
        <v>46263</v>
      </c>
      <c r="B765" s="32">
        <f t="shared" si="206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3"/>
        <v/>
      </c>
      <c r="K765" s="34" t="str">
        <f t="shared" si="204"/>
        <v/>
      </c>
      <c r="L765" s="33"/>
      <c r="M765" s="33"/>
      <c r="N765" s="33"/>
      <c r="O765" s="29"/>
      <c r="P765" s="29"/>
      <c r="Q765" s="35" t="str">
        <f t="shared" ca="1" si="205"/>
        <v/>
      </c>
      <c r="R765" s="27"/>
      <c r="S765" s="60"/>
    </row>
    <row r="766" spans="1:20" ht="15" customHeight="1" x14ac:dyDescent="0.3">
      <c r="A766" s="67">
        <v>46263</v>
      </c>
      <c r="B766" s="25">
        <f t="shared" si="206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3"/>
        <v/>
      </c>
      <c r="K766" s="28" t="str">
        <f t="shared" si="204"/>
        <v/>
      </c>
      <c r="L766" s="26"/>
      <c r="M766" s="26"/>
      <c r="N766" s="26"/>
      <c r="O766" s="29"/>
      <c r="P766" s="29"/>
      <c r="Q766" s="30" t="str">
        <f t="shared" ca="1" si="205"/>
        <v/>
      </c>
      <c r="R766" s="27"/>
      <c r="S766" s="60"/>
    </row>
    <row r="767" spans="1:20" ht="15" customHeight="1" x14ac:dyDescent="0.3">
      <c r="A767" s="68">
        <v>46263</v>
      </c>
      <c r="B767" s="32">
        <f t="shared" si="206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3"/>
        <v/>
      </c>
      <c r="K767" s="34" t="str">
        <f t="shared" si="204"/>
        <v/>
      </c>
      <c r="L767" s="33"/>
      <c r="M767" s="33"/>
      <c r="N767" s="33"/>
      <c r="O767" s="29"/>
      <c r="P767" s="29"/>
      <c r="Q767" s="35" t="str">
        <f t="shared" ca="1" si="205"/>
        <v/>
      </c>
      <c r="R767" s="27"/>
      <c r="S767" s="60"/>
    </row>
    <row r="768" spans="1:20" ht="15" customHeight="1" x14ac:dyDescent="0.3">
      <c r="A768" s="67">
        <v>46263</v>
      </c>
      <c r="B768" s="25">
        <f t="shared" si="206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3"/>
        <v/>
      </c>
      <c r="K768" s="28" t="str">
        <f t="shared" si="204"/>
        <v/>
      </c>
      <c r="L768" s="26"/>
      <c r="M768" s="26"/>
      <c r="N768" s="26"/>
      <c r="O768" s="29"/>
      <c r="P768" s="29"/>
      <c r="Q768" s="30" t="str">
        <f t="shared" ca="1" si="205"/>
        <v/>
      </c>
      <c r="R768" s="27"/>
      <c r="S768" s="60"/>
    </row>
    <row r="769" spans="1:20" ht="15" customHeight="1" thickBot="1" x14ac:dyDescent="0.35">
      <c r="A769" s="68">
        <v>46263</v>
      </c>
      <c r="B769" s="32">
        <f t="shared" si="206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3"/>
        <v/>
      </c>
      <c r="K769" s="34" t="str">
        <f t="shared" si="204"/>
        <v/>
      </c>
      <c r="L769" s="33"/>
      <c r="M769" s="33"/>
      <c r="N769" s="33"/>
      <c r="O769" s="29"/>
      <c r="P769" s="29"/>
      <c r="Q769" s="35" t="str">
        <f t="shared" ca="1" si="205"/>
        <v/>
      </c>
      <c r="R769" s="27"/>
      <c r="S769" s="60"/>
    </row>
    <row r="770" spans="1:20" ht="15.75" customHeight="1" thickBot="1" x14ac:dyDescent="0.35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 x14ac:dyDescent="0.3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7">IFERROR(IF($H771="","",$H771*$F771*$I771),"")</f>
        <v/>
      </c>
      <c r="K771" s="34" t="str">
        <f t="shared" ref="K771:K782" si="208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9">IFERROR(IF(O771="","",IF(P771="",MOD(NOW()-O771,1),IF(P771&gt;=O771,P771-O771,P771+1-O771))),"")</f>
        <v/>
      </c>
      <c r="R771" s="27"/>
      <c r="S771" s="60"/>
    </row>
    <row r="772" spans="1:20" ht="15" customHeight="1" x14ac:dyDescent="0.3">
      <c r="A772" s="67">
        <v>46263</v>
      </c>
      <c r="B772" s="25">
        <f t="shared" ref="B772:B782" si="210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7"/>
        <v/>
      </c>
      <c r="K772" s="28" t="str">
        <f t="shared" si="208"/>
        <v/>
      </c>
      <c r="L772" s="26"/>
      <c r="M772" s="26"/>
      <c r="N772" s="26"/>
      <c r="O772" s="29"/>
      <c r="P772" s="29"/>
      <c r="Q772" s="30" t="str">
        <f t="shared" ca="1" si="209"/>
        <v/>
      </c>
      <c r="R772" s="27"/>
      <c r="S772" s="60"/>
    </row>
    <row r="773" spans="1:20" ht="15" customHeight="1" x14ac:dyDescent="0.3">
      <c r="A773" s="68">
        <v>46263</v>
      </c>
      <c r="B773" s="32">
        <f t="shared" si="210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7"/>
        <v/>
      </c>
      <c r="K773" s="34" t="str">
        <f t="shared" si="208"/>
        <v/>
      </c>
      <c r="L773" s="33"/>
      <c r="M773" s="33"/>
      <c r="N773" s="33"/>
      <c r="O773" s="29"/>
      <c r="P773" s="29"/>
      <c r="Q773" s="35" t="str">
        <f t="shared" ca="1" si="209"/>
        <v/>
      </c>
      <c r="R773" s="27"/>
      <c r="S773" s="60"/>
    </row>
    <row r="774" spans="1:20" ht="15" customHeight="1" x14ac:dyDescent="0.3">
      <c r="A774" s="67">
        <v>46263</v>
      </c>
      <c r="B774" s="25">
        <f t="shared" si="210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7"/>
        <v/>
      </c>
      <c r="K774" s="28" t="str">
        <f t="shared" si="208"/>
        <v/>
      </c>
      <c r="L774" s="26"/>
      <c r="M774" s="26"/>
      <c r="N774" s="26"/>
      <c r="O774" s="29"/>
      <c r="P774" s="29"/>
      <c r="Q774" s="30" t="str">
        <f t="shared" ca="1" si="209"/>
        <v/>
      </c>
      <c r="R774" s="27"/>
      <c r="S774" s="60"/>
    </row>
    <row r="775" spans="1:20" ht="15" customHeight="1" x14ac:dyDescent="0.3">
      <c r="A775" s="68">
        <v>46263</v>
      </c>
      <c r="B775" s="32">
        <f t="shared" si="210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7"/>
        <v/>
      </c>
      <c r="K775" s="34" t="str">
        <f t="shared" si="208"/>
        <v/>
      </c>
      <c r="L775" s="33"/>
      <c r="M775" s="33"/>
      <c r="N775" s="33"/>
      <c r="O775" s="29"/>
      <c r="P775" s="29"/>
      <c r="Q775" s="35" t="str">
        <f t="shared" ca="1" si="209"/>
        <v/>
      </c>
      <c r="R775" s="27"/>
      <c r="S775" s="60"/>
    </row>
    <row r="776" spans="1:20" ht="15" customHeight="1" x14ac:dyDescent="0.3">
      <c r="A776" s="67">
        <v>46263</v>
      </c>
      <c r="B776" s="25">
        <f t="shared" si="210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7"/>
        <v/>
      </c>
      <c r="K776" s="28" t="str">
        <f t="shared" si="208"/>
        <v/>
      </c>
      <c r="L776" s="26"/>
      <c r="M776" s="26"/>
      <c r="N776" s="26"/>
      <c r="O776" s="29"/>
      <c r="P776" s="29"/>
      <c r="Q776" s="30" t="str">
        <f t="shared" ca="1" si="209"/>
        <v/>
      </c>
      <c r="R776" s="27"/>
      <c r="S776" s="60"/>
    </row>
    <row r="777" spans="1:20" ht="15" customHeight="1" x14ac:dyDescent="0.3">
      <c r="A777" s="68">
        <v>46263</v>
      </c>
      <c r="B777" s="32">
        <f t="shared" si="210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7"/>
        <v/>
      </c>
      <c r="K777" s="34" t="str">
        <f t="shared" si="208"/>
        <v/>
      </c>
      <c r="L777" s="33"/>
      <c r="M777" s="33"/>
      <c r="N777" s="33"/>
      <c r="O777" s="29"/>
      <c r="P777" s="29"/>
      <c r="Q777" s="35" t="str">
        <f t="shared" ca="1" si="209"/>
        <v/>
      </c>
      <c r="R777" s="27"/>
      <c r="S777" s="60"/>
    </row>
    <row r="778" spans="1:20" ht="15" customHeight="1" x14ac:dyDescent="0.3">
      <c r="A778" s="67">
        <v>46263</v>
      </c>
      <c r="B778" s="25">
        <f t="shared" si="210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7"/>
        <v/>
      </c>
      <c r="K778" s="28" t="str">
        <f t="shared" si="208"/>
        <v/>
      </c>
      <c r="L778" s="26"/>
      <c r="M778" s="26"/>
      <c r="N778" s="26"/>
      <c r="O778" s="29"/>
      <c r="P778" s="29"/>
      <c r="Q778" s="30" t="str">
        <f t="shared" ca="1" si="209"/>
        <v/>
      </c>
      <c r="R778" s="27"/>
      <c r="S778" s="60"/>
    </row>
    <row r="779" spans="1:20" ht="15" customHeight="1" x14ac:dyDescent="0.3">
      <c r="A779" s="68">
        <v>46263</v>
      </c>
      <c r="B779" s="32">
        <f t="shared" si="210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7"/>
        <v/>
      </c>
      <c r="K779" s="34" t="str">
        <f t="shared" si="208"/>
        <v/>
      </c>
      <c r="L779" s="33"/>
      <c r="M779" s="33"/>
      <c r="N779" s="33"/>
      <c r="O779" s="29"/>
      <c r="P779" s="29"/>
      <c r="Q779" s="35" t="str">
        <f t="shared" ca="1" si="209"/>
        <v/>
      </c>
      <c r="R779" s="27"/>
      <c r="S779" s="60"/>
    </row>
    <row r="780" spans="1:20" ht="15" customHeight="1" x14ac:dyDescent="0.3">
      <c r="A780" s="67">
        <v>46263</v>
      </c>
      <c r="B780" s="25">
        <f t="shared" si="210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7"/>
        <v/>
      </c>
      <c r="K780" s="28" t="str">
        <f t="shared" si="208"/>
        <v/>
      </c>
      <c r="L780" s="26"/>
      <c r="M780" s="26"/>
      <c r="N780" s="26"/>
      <c r="O780" s="29"/>
      <c r="P780" s="29"/>
      <c r="Q780" s="30" t="str">
        <f t="shared" ca="1" si="209"/>
        <v/>
      </c>
      <c r="R780" s="27"/>
      <c r="S780" s="60"/>
    </row>
    <row r="781" spans="1:20" ht="15" customHeight="1" x14ac:dyDescent="0.3">
      <c r="A781" s="68">
        <v>46263</v>
      </c>
      <c r="B781" s="32">
        <f t="shared" si="210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7"/>
        <v/>
      </c>
      <c r="K781" s="34" t="str">
        <f t="shared" si="208"/>
        <v/>
      </c>
      <c r="L781" s="33"/>
      <c r="M781" s="33"/>
      <c r="N781" s="33"/>
      <c r="O781" s="29"/>
      <c r="P781" s="29"/>
      <c r="Q781" s="35" t="str">
        <f t="shared" ca="1" si="209"/>
        <v/>
      </c>
      <c r="R781" s="27"/>
      <c r="S781" s="60"/>
    </row>
    <row r="782" spans="1:20" ht="15" customHeight="1" thickBot="1" x14ac:dyDescent="0.35">
      <c r="A782" s="67">
        <v>46263</v>
      </c>
      <c r="B782" s="25">
        <f t="shared" si="210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7"/>
        <v/>
      </c>
      <c r="K782" s="28" t="str">
        <f t="shared" si="208"/>
        <v/>
      </c>
      <c r="L782" s="26"/>
      <c r="M782" s="26"/>
      <c r="N782" s="26"/>
      <c r="O782" s="29"/>
      <c r="P782" s="29"/>
      <c r="Q782" s="30" t="str">
        <f t="shared" ca="1" si="209"/>
        <v/>
      </c>
      <c r="R782" s="27"/>
      <c r="S782" s="60"/>
    </row>
    <row r="783" spans="1:20" ht="15.75" customHeight="1" thickBot="1" x14ac:dyDescent="0.35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 x14ac:dyDescent="0.3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 x14ac:dyDescent="0.3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1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2">IFERROR(IF(O785="","",IF(P785="",MOD(NOW()-O785,1),IF(P785&gt;=O785,P785-O785,P785+1-O785))),"")</f>
        <v/>
      </c>
      <c r="R785" s="27"/>
      <c r="S785" s="60"/>
    </row>
    <row r="786" spans="1:20" ht="15" customHeight="1" x14ac:dyDescent="0.3">
      <c r="A786" s="67">
        <v>46264</v>
      </c>
      <c r="B786" s="25">
        <f t="shared" ref="B786:B796" si="213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1"/>
        <v/>
      </c>
      <c r="K786" s="28"/>
      <c r="L786" s="26"/>
      <c r="M786" s="26"/>
      <c r="N786" s="26"/>
      <c r="O786" s="29"/>
      <c r="P786" s="29"/>
      <c r="Q786" s="30" t="str">
        <f t="shared" ca="1" si="212"/>
        <v/>
      </c>
      <c r="R786" s="27"/>
      <c r="S786" s="60"/>
    </row>
    <row r="787" spans="1:20" ht="15" customHeight="1" x14ac:dyDescent="0.3">
      <c r="A787" s="68">
        <v>46264</v>
      </c>
      <c r="B787" s="32">
        <f t="shared" si="213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1"/>
        <v/>
      </c>
      <c r="K787" s="34"/>
      <c r="L787" s="33"/>
      <c r="M787" s="33"/>
      <c r="N787" s="33"/>
      <c r="O787" s="29"/>
      <c r="P787" s="29"/>
      <c r="Q787" s="35" t="str">
        <f t="shared" ca="1" si="212"/>
        <v/>
      </c>
      <c r="R787" s="27"/>
      <c r="S787" s="60"/>
    </row>
    <row r="788" spans="1:20" ht="15" customHeight="1" x14ac:dyDescent="0.3">
      <c r="A788" s="67">
        <v>46264</v>
      </c>
      <c r="B788" s="25">
        <f t="shared" si="213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1"/>
        <v/>
      </c>
      <c r="K788" s="28"/>
      <c r="L788" s="26"/>
      <c r="M788" s="26"/>
      <c r="N788" s="26"/>
      <c r="O788" s="29"/>
      <c r="P788" s="29"/>
      <c r="Q788" s="30" t="str">
        <f t="shared" ca="1" si="212"/>
        <v/>
      </c>
      <c r="R788" s="27"/>
      <c r="S788" s="60"/>
    </row>
    <row r="789" spans="1:20" ht="15" customHeight="1" x14ac:dyDescent="0.3">
      <c r="A789" s="68">
        <v>46264</v>
      </c>
      <c r="B789" s="32">
        <f t="shared" si="213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1"/>
        <v/>
      </c>
      <c r="K789" s="34"/>
      <c r="L789" s="33"/>
      <c r="M789" s="33"/>
      <c r="N789" s="33"/>
      <c r="O789" s="29"/>
      <c r="P789" s="29"/>
      <c r="Q789" s="35" t="str">
        <f t="shared" ca="1" si="212"/>
        <v/>
      </c>
      <c r="R789" s="27"/>
      <c r="S789" s="60"/>
    </row>
    <row r="790" spans="1:20" ht="15" customHeight="1" x14ac:dyDescent="0.3">
      <c r="A790" s="67">
        <v>46264</v>
      </c>
      <c r="B790" s="25">
        <f t="shared" si="213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1"/>
        <v/>
      </c>
      <c r="K790" s="28"/>
      <c r="L790" s="26"/>
      <c r="M790" s="26"/>
      <c r="N790" s="26"/>
      <c r="O790" s="29"/>
      <c r="P790" s="29"/>
      <c r="Q790" s="30" t="str">
        <f t="shared" ca="1" si="212"/>
        <v/>
      </c>
      <c r="R790" s="27"/>
      <c r="S790" s="60"/>
    </row>
    <row r="791" spans="1:20" ht="15" customHeight="1" x14ac:dyDescent="0.3">
      <c r="A791" s="68">
        <v>46264</v>
      </c>
      <c r="B791" s="32">
        <f t="shared" si="213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1"/>
        <v/>
      </c>
      <c r="K791" s="34"/>
      <c r="L791" s="33"/>
      <c r="M791" s="33"/>
      <c r="N791" s="33"/>
      <c r="O791" s="29"/>
      <c r="P791" s="29"/>
      <c r="Q791" s="35" t="str">
        <f t="shared" ca="1" si="212"/>
        <v/>
      </c>
      <c r="R791" s="27"/>
      <c r="S791" s="60"/>
    </row>
    <row r="792" spans="1:20" ht="15" customHeight="1" x14ac:dyDescent="0.3">
      <c r="A792" s="67">
        <v>46264</v>
      </c>
      <c r="B792" s="25">
        <f t="shared" si="213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1"/>
        <v/>
      </c>
      <c r="K792" s="28"/>
      <c r="L792" s="26"/>
      <c r="M792" s="26"/>
      <c r="N792" s="26"/>
      <c r="O792" s="29"/>
      <c r="P792" s="29"/>
      <c r="Q792" s="30" t="str">
        <f t="shared" ca="1" si="212"/>
        <v/>
      </c>
      <c r="R792" s="27"/>
      <c r="S792" s="60"/>
    </row>
    <row r="793" spans="1:20" ht="15" customHeight="1" x14ac:dyDescent="0.3">
      <c r="A793" s="68">
        <v>46264</v>
      </c>
      <c r="B793" s="32">
        <f t="shared" si="213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1"/>
        <v/>
      </c>
      <c r="K793" s="34"/>
      <c r="L793" s="33"/>
      <c r="M793" s="33"/>
      <c r="N793" s="33"/>
      <c r="O793" s="29"/>
      <c r="P793" s="29"/>
      <c r="Q793" s="35" t="str">
        <f t="shared" ca="1" si="212"/>
        <v/>
      </c>
      <c r="R793" s="27"/>
      <c r="S793" s="60"/>
    </row>
    <row r="794" spans="1:20" ht="15" customHeight="1" x14ac:dyDescent="0.3">
      <c r="A794" s="67">
        <v>46264</v>
      </c>
      <c r="B794" s="25">
        <f t="shared" si="213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1"/>
        <v/>
      </c>
      <c r="K794" s="28"/>
      <c r="L794" s="26"/>
      <c r="M794" s="26"/>
      <c r="N794" s="26"/>
      <c r="O794" s="29"/>
      <c r="P794" s="29"/>
      <c r="Q794" s="30" t="str">
        <f t="shared" ca="1" si="212"/>
        <v/>
      </c>
      <c r="R794" s="27"/>
      <c r="S794" s="60"/>
    </row>
    <row r="795" spans="1:20" ht="15" customHeight="1" x14ac:dyDescent="0.3">
      <c r="A795" s="68">
        <v>46264</v>
      </c>
      <c r="B795" s="32">
        <f t="shared" si="213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1"/>
        <v/>
      </c>
      <c r="K795" s="34"/>
      <c r="L795" s="33"/>
      <c r="M795" s="33"/>
      <c r="N795" s="33"/>
      <c r="O795" s="29"/>
      <c r="P795" s="29"/>
      <c r="Q795" s="35" t="str">
        <f t="shared" ca="1" si="212"/>
        <v/>
      </c>
      <c r="R795" s="27"/>
      <c r="S795" s="60"/>
    </row>
    <row r="796" spans="1:20" ht="15" customHeight="1" thickBot="1" x14ac:dyDescent="0.35">
      <c r="A796" s="67">
        <v>46264</v>
      </c>
      <c r="B796" s="25">
        <f t="shared" si="213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1"/>
        <v/>
      </c>
      <c r="K796" s="28"/>
      <c r="L796" s="26"/>
      <c r="M796" s="26"/>
      <c r="N796" s="26"/>
      <c r="O796" s="29"/>
      <c r="P796" s="29"/>
      <c r="Q796" s="30" t="str">
        <f t="shared" ca="1" si="212"/>
        <v/>
      </c>
      <c r="R796" s="27"/>
      <c r="S796" s="60"/>
    </row>
    <row r="797" spans="1:20" ht="15.75" customHeight="1" thickBot="1" x14ac:dyDescent="0.35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 x14ac:dyDescent="0.3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4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5">IFERROR(IF(O798="","",IF(P798="",MOD(NOW()-O798,1),IF(P798&gt;=O798,P798-O798,P798+1-O798))),"")</f>
        <v/>
      </c>
      <c r="R798" s="27"/>
      <c r="S798" s="60"/>
    </row>
    <row r="799" spans="1:20" ht="15" customHeight="1" x14ac:dyDescent="0.3">
      <c r="A799" s="68">
        <v>46264</v>
      </c>
      <c r="B799" s="32">
        <f t="shared" ref="B799:B809" si="216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4"/>
        <v/>
      </c>
      <c r="K799" s="34"/>
      <c r="L799" s="33"/>
      <c r="M799" s="33"/>
      <c r="N799" s="33"/>
      <c r="O799" s="29"/>
      <c r="P799" s="29"/>
      <c r="Q799" s="35" t="str">
        <f t="shared" ca="1" si="215"/>
        <v/>
      </c>
      <c r="R799" s="27"/>
      <c r="S799" s="60"/>
    </row>
    <row r="800" spans="1:20" ht="15" customHeight="1" x14ac:dyDescent="0.3">
      <c r="A800" s="67">
        <v>46264</v>
      </c>
      <c r="B800" s="25">
        <f t="shared" si="216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4"/>
        <v/>
      </c>
      <c r="K800" s="28"/>
      <c r="L800" s="26"/>
      <c r="M800" s="26"/>
      <c r="N800" s="26"/>
      <c r="O800" s="29"/>
      <c r="P800" s="29"/>
      <c r="Q800" s="30" t="str">
        <f t="shared" ca="1" si="215"/>
        <v/>
      </c>
      <c r="R800" s="27"/>
      <c r="S800" s="60"/>
    </row>
    <row r="801" spans="1:20" ht="15" customHeight="1" x14ac:dyDescent="0.3">
      <c r="A801" s="68">
        <v>46264</v>
      </c>
      <c r="B801" s="32">
        <f t="shared" si="216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4"/>
        <v/>
      </c>
      <c r="K801" s="34" t="str">
        <f t="shared" ref="K801:K809" si="217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5"/>
        <v/>
      </c>
      <c r="R801" s="27"/>
      <c r="S801" s="60"/>
    </row>
    <row r="802" spans="1:20" ht="15" customHeight="1" x14ac:dyDescent="0.3">
      <c r="A802" s="67">
        <v>46264</v>
      </c>
      <c r="B802" s="25">
        <f t="shared" si="216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4"/>
        <v/>
      </c>
      <c r="K802" s="28" t="str">
        <f t="shared" si="217"/>
        <v/>
      </c>
      <c r="L802" s="26"/>
      <c r="M802" s="26"/>
      <c r="N802" s="26"/>
      <c r="O802" s="29"/>
      <c r="P802" s="29"/>
      <c r="Q802" s="30" t="str">
        <f t="shared" ca="1" si="215"/>
        <v/>
      </c>
      <c r="R802" s="27"/>
      <c r="S802" s="60"/>
    </row>
    <row r="803" spans="1:20" ht="15" customHeight="1" x14ac:dyDescent="0.3">
      <c r="A803" s="68">
        <v>46264</v>
      </c>
      <c r="B803" s="32">
        <f t="shared" si="216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4"/>
        <v/>
      </c>
      <c r="K803" s="34" t="str">
        <f t="shared" si="217"/>
        <v/>
      </c>
      <c r="L803" s="33"/>
      <c r="M803" s="33"/>
      <c r="N803" s="33"/>
      <c r="O803" s="29"/>
      <c r="P803" s="29"/>
      <c r="Q803" s="35" t="str">
        <f t="shared" ca="1" si="215"/>
        <v/>
      </c>
      <c r="R803" s="27"/>
      <c r="S803" s="60"/>
    </row>
    <row r="804" spans="1:20" ht="15" customHeight="1" x14ac:dyDescent="0.3">
      <c r="A804" s="67">
        <v>46264</v>
      </c>
      <c r="B804" s="25">
        <f t="shared" si="216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4"/>
        <v/>
      </c>
      <c r="K804" s="28" t="str">
        <f t="shared" si="217"/>
        <v/>
      </c>
      <c r="L804" s="26"/>
      <c r="M804" s="26"/>
      <c r="N804" s="26"/>
      <c r="O804" s="29"/>
      <c r="P804" s="29"/>
      <c r="Q804" s="30" t="str">
        <f t="shared" ca="1" si="215"/>
        <v/>
      </c>
      <c r="R804" s="27"/>
      <c r="S804" s="60"/>
    </row>
    <row r="805" spans="1:20" ht="15" customHeight="1" x14ac:dyDescent="0.3">
      <c r="A805" s="68">
        <v>46264</v>
      </c>
      <c r="B805" s="32">
        <f t="shared" si="216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4"/>
        <v/>
      </c>
      <c r="K805" s="34" t="str">
        <f t="shared" si="217"/>
        <v/>
      </c>
      <c r="L805" s="33"/>
      <c r="M805" s="33"/>
      <c r="N805" s="33"/>
      <c r="O805" s="29"/>
      <c r="P805" s="29"/>
      <c r="Q805" s="35" t="str">
        <f t="shared" ca="1" si="215"/>
        <v/>
      </c>
      <c r="R805" s="27"/>
      <c r="S805" s="60"/>
    </row>
    <row r="806" spans="1:20" ht="15" customHeight="1" x14ac:dyDescent="0.3">
      <c r="A806" s="67">
        <v>46264</v>
      </c>
      <c r="B806" s="25">
        <f t="shared" si="216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4"/>
        <v/>
      </c>
      <c r="K806" s="28" t="str">
        <f t="shared" si="217"/>
        <v/>
      </c>
      <c r="L806" s="26"/>
      <c r="M806" s="26"/>
      <c r="N806" s="26"/>
      <c r="O806" s="29"/>
      <c r="P806" s="29"/>
      <c r="Q806" s="30" t="str">
        <f t="shared" ca="1" si="215"/>
        <v/>
      </c>
      <c r="R806" s="27"/>
      <c r="S806" s="60"/>
    </row>
    <row r="807" spans="1:20" ht="15" customHeight="1" x14ac:dyDescent="0.3">
      <c r="A807" s="68">
        <v>46264</v>
      </c>
      <c r="B807" s="32">
        <f t="shared" si="216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4"/>
        <v/>
      </c>
      <c r="K807" s="34" t="str">
        <f t="shared" si="217"/>
        <v/>
      </c>
      <c r="L807" s="33"/>
      <c r="M807" s="33"/>
      <c r="N807" s="33"/>
      <c r="O807" s="29"/>
      <c r="P807" s="29"/>
      <c r="Q807" s="35" t="str">
        <f t="shared" ca="1" si="215"/>
        <v/>
      </c>
      <c r="R807" s="27"/>
      <c r="S807" s="60"/>
    </row>
    <row r="808" spans="1:20" ht="15" customHeight="1" x14ac:dyDescent="0.3">
      <c r="A808" s="67">
        <v>46264</v>
      </c>
      <c r="B808" s="25">
        <f t="shared" si="216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4"/>
        <v/>
      </c>
      <c r="K808" s="28" t="str">
        <f t="shared" si="217"/>
        <v/>
      </c>
      <c r="L808" s="26"/>
      <c r="M808" s="26"/>
      <c r="N808" s="26"/>
      <c r="O808" s="29"/>
      <c r="P808" s="29"/>
      <c r="Q808" s="30" t="str">
        <f t="shared" ca="1" si="215"/>
        <v/>
      </c>
      <c r="R808" s="27"/>
      <c r="S808" s="60"/>
    </row>
    <row r="809" spans="1:20" ht="15" customHeight="1" thickBot="1" x14ac:dyDescent="0.35">
      <c r="A809" s="68">
        <v>46264</v>
      </c>
      <c r="B809" s="32">
        <f t="shared" si="216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4"/>
        <v/>
      </c>
      <c r="K809" s="34" t="str">
        <f t="shared" si="217"/>
        <v/>
      </c>
      <c r="L809" s="33"/>
      <c r="M809" s="33"/>
      <c r="N809" s="33"/>
      <c r="O809" s="29"/>
      <c r="P809" s="29"/>
      <c r="Q809" s="35" t="str">
        <f t="shared" ca="1" si="215"/>
        <v/>
      </c>
      <c r="R809" s="27"/>
      <c r="S809" s="60"/>
    </row>
    <row r="810" spans="1:20" ht="15.75" customHeight="1" thickBot="1" x14ac:dyDescent="0.35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 x14ac:dyDescent="0.3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 x14ac:dyDescent="0.3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8">IFERROR(IF($H812="","",$H812*$F812*$I812),"")</f>
        <v/>
      </c>
      <c r="K812" s="28" t="str">
        <f t="shared" ref="K812:K823" si="219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20">IFERROR(IF(O812="","",IF(P812="",MOD(NOW()-O812,1),IF(P812&gt;=O812,P812-O812,P812+1-O812))),"")</f>
        <v/>
      </c>
      <c r="R812" s="27"/>
      <c r="S812" s="60"/>
    </row>
    <row r="813" spans="1:20" ht="15" customHeight="1" x14ac:dyDescent="0.3">
      <c r="A813" s="68">
        <v>46265</v>
      </c>
      <c r="B813" s="32">
        <f t="shared" ref="B813:B823" si="221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8"/>
        <v/>
      </c>
      <c r="K813" s="34" t="str">
        <f t="shared" si="219"/>
        <v/>
      </c>
      <c r="L813" s="26"/>
      <c r="M813" s="26"/>
      <c r="N813" s="26"/>
      <c r="O813" s="29"/>
      <c r="P813" s="29"/>
      <c r="Q813" s="35" t="str">
        <f t="shared" ca="1" si="220"/>
        <v/>
      </c>
      <c r="R813" s="27"/>
      <c r="S813" s="60"/>
    </row>
    <row r="814" spans="1:20" ht="15" customHeight="1" x14ac:dyDescent="0.3">
      <c r="A814" s="67">
        <v>46265</v>
      </c>
      <c r="B814" s="25">
        <f t="shared" si="221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8"/>
        <v/>
      </c>
      <c r="K814" s="28" t="str">
        <f t="shared" si="219"/>
        <v/>
      </c>
      <c r="L814" s="33"/>
      <c r="M814" s="33"/>
      <c r="N814" s="33"/>
      <c r="O814" s="29"/>
      <c r="P814" s="29"/>
      <c r="Q814" s="30" t="str">
        <f t="shared" ca="1" si="220"/>
        <v/>
      </c>
      <c r="R814" s="27"/>
      <c r="S814" s="60"/>
    </row>
    <row r="815" spans="1:20" ht="15" customHeight="1" x14ac:dyDescent="0.3">
      <c r="A815" s="68">
        <v>46265</v>
      </c>
      <c r="B815" s="32">
        <f t="shared" si="221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8"/>
        <v/>
      </c>
      <c r="K815" s="34" t="str">
        <f t="shared" si="219"/>
        <v/>
      </c>
      <c r="L815" s="26"/>
      <c r="M815" s="26"/>
      <c r="N815" s="26"/>
      <c r="O815" s="29"/>
      <c r="P815" s="29"/>
      <c r="Q815" s="35" t="str">
        <f t="shared" ca="1" si="220"/>
        <v/>
      </c>
      <c r="R815" s="27"/>
      <c r="S815" s="60"/>
    </row>
    <row r="816" spans="1:20" ht="15" customHeight="1" x14ac:dyDescent="0.3">
      <c r="A816" s="67">
        <v>46265</v>
      </c>
      <c r="B816" s="25">
        <f t="shared" si="221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8"/>
        <v/>
      </c>
      <c r="K816" s="28" t="str">
        <f t="shared" si="219"/>
        <v/>
      </c>
      <c r="L816" s="33"/>
      <c r="M816" s="33"/>
      <c r="N816" s="33"/>
      <c r="O816" s="29"/>
      <c r="P816" s="29"/>
      <c r="Q816" s="30" t="str">
        <f t="shared" ca="1" si="220"/>
        <v/>
      </c>
      <c r="R816" s="27"/>
      <c r="S816" s="60"/>
    </row>
    <row r="817" spans="1:20" ht="15" customHeight="1" x14ac:dyDescent="0.3">
      <c r="A817" s="68">
        <v>46265</v>
      </c>
      <c r="B817" s="32">
        <f t="shared" si="221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8"/>
        <v/>
      </c>
      <c r="K817" s="34" t="str">
        <f t="shared" si="219"/>
        <v/>
      </c>
      <c r="L817" s="26"/>
      <c r="M817" s="26"/>
      <c r="N817" s="26"/>
      <c r="O817" s="29"/>
      <c r="P817" s="29"/>
      <c r="Q817" s="35" t="str">
        <f t="shared" ca="1" si="220"/>
        <v/>
      </c>
      <c r="R817" s="27"/>
      <c r="S817" s="60"/>
    </row>
    <row r="818" spans="1:20" ht="15" customHeight="1" x14ac:dyDescent="0.3">
      <c r="A818" s="67">
        <v>46265</v>
      </c>
      <c r="B818" s="25">
        <f t="shared" si="221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8"/>
        <v/>
      </c>
      <c r="K818" s="28" t="str">
        <f t="shared" si="219"/>
        <v/>
      </c>
      <c r="L818" s="33"/>
      <c r="M818" s="33"/>
      <c r="N818" s="33"/>
      <c r="O818" s="29"/>
      <c r="P818" s="29"/>
      <c r="Q818" s="30" t="str">
        <f t="shared" ca="1" si="220"/>
        <v/>
      </c>
      <c r="R818" s="27"/>
      <c r="S818" s="60"/>
    </row>
    <row r="819" spans="1:20" ht="15" customHeight="1" x14ac:dyDescent="0.3">
      <c r="A819" s="68">
        <v>46265</v>
      </c>
      <c r="B819" s="32">
        <f t="shared" si="221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8"/>
        <v/>
      </c>
      <c r="K819" s="34" t="str">
        <f t="shared" si="219"/>
        <v/>
      </c>
      <c r="L819" s="26"/>
      <c r="M819" s="26"/>
      <c r="N819" s="26"/>
      <c r="O819" s="29"/>
      <c r="P819" s="29"/>
      <c r="Q819" s="35" t="str">
        <f t="shared" ca="1" si="220"/>
        <v/>
      </c>
      <c r="R819" s="27"/>
      <c r="S819" s="60"/>
    </row>
    <row r="820" spans="1:20" ht="15" customHeight="1" x14ac:dyDescent="0.3">
      <c r="A820" s="67">
        <v>46265</v>
      </c>
      <c r="B820" s="25">
        <f t="shared" si="221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8"/>
        <v/>
      </c>
      <c r="K820" s="28" t="str">
        <f t="shared" si="219"/>
        <v/>
      </c>
      <c r="L820" s="33"/>
      <c r="M820" s="33"/>
      <c r="N820" s="33"/>
      <c r="O820" s="29"/>
      <c r="P820" s="29"/>
      <c r="Q820" s="30" t="str">
        <f t="shared" ca="1" si="220"/>
        <v/>
      </c>
      <c r="R820" s="27"/>
      <c r="S820" s="60"/>
    </row>
    <row r="821" spans="1:20" ht="15" customHeight="1" x14ac:dyDescent="0.3">
      <c r="A821" s="68">
        <v>46265</v>
      </c>
      <c r="B821" s="32">
        <f t="shared" si="221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8"/>
        <v/>
      </c>
      <c r="K821" s="34" t="str">
        <f t="shared" si="219"/>
        <v/>
      </c>
      <c r="L821" s="26"/>
      <c r="M821" s="26"/>
      <c r="N821" s="26"/>
      <c r="O821" s="29"/>
      <c r="P821" s="29"/>
      <c r="Q821" s="35" t="str">
        <f t="shared" ca="1" si="220"/>
        <v/>
      </c>
      <c r="R821" s="27"/>
      <c r="S821" s="60"/>
    </row>
    <row r="822" spans="1:20" ht="15" customHeight="1" x14ac:dyDescent="0.3">
      <c r="A822" s="67">
        <v>46265</v>
      </c>
      <c r="B822" s="25">
        <f t="shared" si="221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8"/>
        <v/>
      </c>
      <c r="K822" s="28" t="str">
        <f t="shared" si="219"/>
        <v/>
      </c>
      <c r="L822" s="33"/>
      <c r="M822" s="33"/>
      <c r="N822" s="33"/>
      <c r="O822" s="29"/>
      <c r="P822" s="29"/>
      <c r="Q822" s="30" t="str">
        <f t="shared" ca="1" si="220"/>
        <v/>
      </c>
      <c r="R822" s="27"/>
      <c r="S822" s="60"/>
    </row>
    <row r="823" spans="1:20" ht="15" customHeight="1" thickBot="1" x14ac:dyDescent="0.35">
      <c r="A823" s="68">
        <v>46265</v>
      </c>
      <c r="B823" s="32">
        <f t="shared" si="221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8"/>
        <v/>
      </c>
      <c r="K823" s="34" t="str">
        <f t="shared" si="219"/>
        <v/>
      </c>
      <c r="L823" s="26"/>
      <c r="M823" s="26"/>
      <c r="N823" s="26"/>
      <c r="O823" s="29"/>
      <c r="P823" s="29"/>
      <c r="Q823" s="35" t="str">
        <f t="shared" ca="1" si="220"/>
        <v/>
      </c>
      <c r="R823" s="27"/>
      <c r="S823" s="60"/>
    </row>
    <row r="824" spans="1:20" ht="15.75" customHeight="1" thickBot="1" x14ac:dyDescent="0.35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 x14ac:dyDescent="0.3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2">IFERROR(IF($H825="","",$H825*$F825*$I825),"")</f>
        <v/>
      </c>
      <c r="K825" s="34" t="str">
        <f t="shared" ref="K825:K836" si="223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4">IFERROR(IF(O825="","",IF(P825="",MOD(NOW()-O825,1),IF(P825&gt;=O825,P825-O825,P825+1-O825))),"")</f>
        <v/>
      </c>
      <c r="R825" s="27"/>
      <c r="S825" s="60"/>
    </row>
    <row r="826" spans="1:20" ht="15" customHeight="1" x14ac:dyDescent="0.3">
      <c r="A826" s="67">
        <v>46265</v>
      </c>
      <c r="B826" s="25">
        <f t="shared" ref="B826:B836" si="225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2"/>
        <v/>
      </c>
      <c r="K826" s="28" t="str">
        <f t="shared" si="223"/>
        <v/>
      </c>
      <c r="L826" s="33"/>
      <c r="M826" s="33"/>
      <c r="N826" s="33"/>
      <c r="O826" s="29"/>
      <c r="P826" s="29"/>
      <c r="Q826" s="35" t="str">
        <f t="shared" ca="1" si="224"/>
        <v/>
      </c>
      <c r="R826" s="27"/>
      <c r="S826" s="60"/>
    </row>
    <row r="827" spans="1:20" ht="15" customHeight="1" x14ac:dyDescent="0.3">
      <c r="A827" s="68">
        <v>46265</v>
      </c>
      <c r="B827" s="32">
        <f t="shared" si="225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2"/>
        <v/>
      </c>
      <c r="K827" s="34" t="str">
        <f t="shared" si="223"/>
        <v/>
      </c>
      <c r="L827" s="26"/>
      <c r="M827" s="26"/>
      <c r="N827" s="26"/>
      <c r="O827" s="29"/>
      <c r="P827" s="29"/>
      <c r="Q827" s="35" t="str">
        <f t="shared" ca="1" si="224"/>
        <v/>
      </c>
      <c r="R827" s="27"/>
      <c r="S827" s="60"/>
    </row>
    <row r="828" spans="1:20" ht="15" customHeight="1" x14ac:dyDescent="0.3">
      <c r="A828" s="67">
        <v>46265</v>
      </c>
      <c r="B828" s="25">
        <f t="shared" si="225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2"/>
        <v/>
      </c>
      <c r="K828" s="28" t="str">
        <f t="shared" si="223"/>
        <v/>
      </c>
      <c r="L828" s="33"/>
      <c r="M828" s="33"/>
      <c r="N828" s="33"/>
      <c r="O828" s="29"/>
      <c r="P828" s="29"/>
      <c r="Q828" s="35" t="str">
        <f t="shared" ca="1" si="224"/>
        <v/>
      </c>
      <c r="R828" s="27"/>
      <c r="S828" s="60"/>
    </row>
    <row r="829" spans="1:20" ht="15" customHeight="1" x14ac:dyDescent="0.3">
      <c r="A829" s="68">
        <v>46265</v>
      </c>
      <c r="B829" s="32">
        <f t="shared" si="225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2"/>
        <v/>
      </c>
      <c r="K829" s="34" t="str">
        <f t="shared" si="223"/>
        <v/>
      </c>
      <c r="L829" s="26"/>
      <c r="M829" s="26"/>
      <c r="N829" s="26"/>
      <c r="O829" s="29"/>
      <c r="P829" s="29"/>
      <c r="Q829" s="35" t="str">
        <f t="shared" ca="1" si="224"/>
        <v/>
      </c>
      <c r="R829" s="27"/>
      <c r="S829" s="60"/>
    </row>
    <row r="830" spans="1:20" ht="15" customHeight="1" x14ac:dyDescent="0.3">
      <c r="A830" s="67">
        <v>46265</v>
      </c>
      <c r="B830" s="25">
        <f t="shared" si="225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2"/>
        <v/>
      </c>
      <c r="K830" s="28" t="str">
        <f t="shared" si="223"/>
        <v/>
      </c>
      <c r="L830" s="33"/>
      <c r="M830" s="33"/>
      <c r="N830" s="33"/>
      <c r="O830" s="29"/>
      <c r="P830" s="29"/>
      <c r="Q830" s="35" t="str">
        <f t="shared" ca="1" si="224"/>
        <v/>
      </c>
      <c r="R830" s="27"/>
      <c r="S830" s="60"/>
    </row>
    <row r="831" spans="1:20" ht="15" customHeight="1" x14ac:dyDescent="0.3">
      <c r="A831" s="68">
        <v>46265</v>
      </c>
      <c r="B831" s="32">
        <f t="shared" si="225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2"/>
        <v/>
      </c>
      <c r="K831" s="34" t="str">
        <f t="shared" si="223"/>
        <v/>
      </c>
      <c r="L831" s="26"/>
      <c r="M831" s="26"/>
      <c r="N831" s="26"/>
      <c r="O831" s="29"/>
      <c r="P831" s="29"/>
      <c r="Q831" s="35" t="str">
        <f t="shared" ca="1" si="224"/>
        <v/>
      </c>
      <c r="R831" s="27"/>
      <c r="S831" s="60"/>
    </row>
    <row r="832" spans="1:20" ht="15" customHeight="1" x14ac:dyDescent="0.3">
      <c r="A832" s="67">
        <v>46265</v>
      </c>
      <c r="B832" s="25">
        <f t="shared" si="225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2"/>
        <v/>
      </c>
      <c r="K832" s="28" t="str">
        <f t="shared" si="223"/>
        <v/>
      </c>
      <c r="L832" s="33"/>
      <c r="M832" s="33"/>
      <c r="N832" s="33"/>
      <c r="O832" s="29"/>
      <c r="P832" s="29"/>
      <c r="Q832" s="35" t="str">
        <f t="shared" ca="1" si="224"/>
        <v/>
      </c>
      <c r="R832" s="27"/>
      <c r="S832" s="60"/>
    </row>
    <row r="833" spans="1:20" ht="15" customHeight="1" x14ac:dyDescent="0.3">
      <c r="A833" s="68">
        <v>46265</v>
      </c>
      <c r="B833" s="32">
        <f t="shared" si="225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2"/>
        <v/>
      </c>
      <c r="K833" s="34" t="str">
        <f t="shared" si="223"/>
        <v/>
      </c>
      <c r="L833" s="26"/>
      <c r="M833" s="26"/>
      <c r="N833" s="26"/>
      <c r="O833" s="29"/>
      <c r="P833" s="29"/>
      <c r="Q833" s="35" t="str">
        <f t="shared" ca="1" si="224"/>
        <v/>
      </c>
      <c r="R833" s="27"/>
      <c r="S833" s="60"/>
    </row>
    <row r="834" spans="1:20" ht="15" customHeight="1" x14ac:dyDescent="0.3">
      <c r="A834" s="67">
        <v>46265</v>
      </c>
      <c r="B834" s="25">
        <f t="shared" si="225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2"/>
        <v/>
      </c>
      <c r="K834" s="28" t="str">
        <f t="shared" si="223"/>
        <v/>
      </c>
      <c r="L834" s="33"/>
      <c r="M834" s="33"/>
      <c r="N834" s="33"/>
      <c r="O834" s="29"/>
      <c r="P834" s="29"/>
      <c r="Q834" s="35" t="str">
        <f t="shared" ca="1" si="224"/>
        <v/>
      </c>
      <c r="R834" s="27"/>
      <c r="S834" s="60"/>
    </row>
    <row r="835" spans="1:20" ht="15" customHeight="1" x14ac:dyDescent="0.3">
      <c r="A835" s="68">
        <v>46265</v>
      </c>
      <c r="B835" s="32">
        <f t="shared" si="225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2"/>
        <v/>
      </c>
      <c r="K835" s="34" t="str">
        <f t="shared" si="223"/>
        <v/>
      </c>
      <c r="L835" s="26"/>
      <c r="M835" s="26"/>
      <c r="N835" s="26"/>
      <c r="O835" s="29"/>
      <c r="P835" s="29"/>
      <c r="Q835" s="35" t="str">
        <f t="shared" ca="1" si="224"/>
        <v/>
      </c>
      <c r="R835" s="27"/>
      <c r="S835" s="60"/>
    </row>
    <row r="836" spans="1:20" ht="15" customHeight="1" thickBot="1" x14ac:dyDescent="0.35">
      <c r="A836" s="67">
        <v>46265</v>
      </c>
      <c r="B836" s="25">
        <f t="shared" si="225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2"/>
        <v/>
      </c>
      <c r="K836" s="28" t="str">
        <f t="shared" si="223"/>
        <v/>
      </c>
      <c r="L836" s="33"/>
      <c r="M836" s="33"/>
      <c r="N836" s="33"/>
      <c r="O836" s="29"/>
      <c r="P836" s="29"/>
      <c r="Q836" s="35" t="str">
        <f t="shared" ca="1" si="224"/>
        <v/>
      </c>
      <c r="R836" s="27"/>
      <c r="S836" s="60"/>
    </row>
    <row r="837" spans="1:20" ht="15.75" customHeight="1" thickBot="1" x14ac:dyDescent="0.35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 x14ac:dyDescent="0.3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252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2026-08-19T11:19:25Z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