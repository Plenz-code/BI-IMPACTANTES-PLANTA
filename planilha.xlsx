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620" documentId="8_{AF585B22-221D-4780-BB9C-493D365A6A02}" xr6:coauthVersionLast="47" xr6:coauthVersionMax="47" xr10:uidLastSave="{A510F4E4-D9AC-4D39-BFA8-90DC2E270213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41" i="5" l="1"/>
  <c r="G742" i="5"/>
  <c r="G32" i="1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<sst xmlns="http://schemas.openxmlformats.org/spreadsheetml/2006/main" count="11555" uniqueCount="422">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</sst>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9" sqref="G29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2" t="s">
        <v>0</v>
      </c>
      <c r="B1" s="112"/>
      <c r="C1" s="112"/>
      <c r="D1" s="112"/>
      <c r="E1" s="112"/>
      <c r="F1" s="112"/>
      <c r="G1" s="112"/>
    </row>
    <row r="2" spans="1:7" ht="24.75" customHeight="1">
      <c r="A2" s="113"/>
      <c r="B2" s="11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>IFERROR(D32+E32+F32,"")</f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4" t="s">
        <v>9</v>
      </c>
      <c r="B35" s="114"/>
      <c r="C35" s="13">
        <f>IFERROR(SUM(C4:C34),"")</f>
        <v>85781028</v>
      </c>
      <c r="D35" s="13">
        <f>IFERROR(SUM(D4:D34),"")</f>
        <v>34599800</v>
      </c>
      <c r="E35" s="13">
        <f>IFERROR(SUM(E4:E34),"")</f>
        <v>19704660</v>
      </c>
      <c r="F35" s="13">
        <f>IFERROR(SUM(F4:F34),"")</f>
        <v>36003260</v>
      </c>
      <c r="G35" s="13">
        <f>IFERROR(SUM(G4:G34),"")</f>
        <v>90307720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5" t="s">
        <v>10</v>
      </c>
      <c r="B1" s="115"/>
      <c r="C1" s="115"/>
      <c r="D1" s="115"/>
      <c r="E1" s="115"/>
      <c r="F1" s="115"/>
      <c r="G1" s="115"/>
      <c r="H1" s="116"/>
      <c r="I1" s="117" t="s">
        <v>11</v>
      </c>
      <c r="J1" s="117"/>
      <c r="K1" s="117"/>
      <c r="L1" s="117"/>
      <c r="M1" s="117"/>
    </row>
    <row r="2" spans="1:13" ht="4.5" customHeight="1">
      <c r="H2" s="11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6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6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6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6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6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6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6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6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6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6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6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6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6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6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6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6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6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6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6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6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6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6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6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6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6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6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6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6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6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6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6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6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6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6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6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6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6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6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6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6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6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6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6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6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6"/>
      <c r="I58" s="16"/>
      <c r="J58" s="16"/>
      <c r="K58" s="16" t="s">
        <v>206</v>
      </c>
      <c r="L58" s="16"/>
      <c r="M58" s="16"/>
    </row>
    <row r="59" spans="1:13" ht="15" customHeight="1">
      <c r="H59" s="116"/>
      <c r="I59" s="17"/>
      <c r="J59" s="17"/>
      <c r="K59" s="17" t="s">
        <v>207</v>
      </c>
      <c r="L59" s="17"/>
      <c r="M59" s="17"/>
    </row>
    <row r="60" spans="1:13" ht="15" customHeight="1">
      <c r="H60" s="116"/>
      <c r="I60" s="16"/>
      <c r="J60" s="16"/>
      <c r="K60" s="86" t="s">
        <v>105</v>
      </c>
      <c r="L60" s="16"/>
      <c r="M60" s="16"/>
    </row>
    <row r="61" spans="1:13" ht="15" customHeight="1">
      <c r="H61" s="116"/>
      <c r="I61" s="17"/>
      <c r="J61" s="17"/>
      <c r="K61" s="17" t="s">
        <v>208</v>
      </c>
      <c r="L61" s="17"/>
      <c r="M61" s="17"/>
    </row>
    <row r="62" spans="1:13" ht="15" customHeight="1">
      <c r="H62" s="116"/>
      <c r="I62" s="16"/>
      <c r="J62" s="16"/>
      <c r="K62" s="16" t="s">
        <v>209</v>
      </c>
      <c r="L62" s="16"/>
      <c r="M62" s="16"/>
    </row>
    <row r="63" spans="1:13" ht="15" customHeight="1">
      <c r="H63" s="116"/>
      <c r="I63" s="17"/>
      <c r="J63" s="17"/>
      <c r="K63" s="17" t="s">
        <v>210</v>
      </c>
      <c r="L63" s="17"/>
      <c r="M63" s="17"/>
    </row>
    <row r="64" spans="1:13" ht="15" customHeight="1">
      <c r="H64" s="116"/>
      <c r="I64" s="16"/>
      <c r="J64" s="16"/>
      <c r="K64" s="16" t="s">
        <v>211</v>
      </c>
      <c r="L64" s="16"/>
      <c r="M64" s="16"/>
    </row>
    <row r="65" spans="8:13" ht="15" customHeight="1">
      <c r="H65" s="116"/>
      <c r="I65" s="17"/>
      <c r="J65" s="17"/>
      <c r="K65" s="17" t="s">
        <v>212</v>
      </c>
      <c r="L65" s="17"/>
      <c r="M65" s="17"/>
    </row>
    <row r="66" spans="8:13" ht="15" customHeight="1">
      <c r="H66" s="116"/>
      <c r="I66" s="16"/>
      <c r="J66" s="16"/>
      <c r="K66" s="16" t="s">
        <v>213</v>
      </c>
      <c r="L66" s="16"/>
      <c r="M66" s="16"/>
    </row>
    <row r="67" spans="8:13" ht="15" customHeight="1">
      <c r="H67" s="116"/>
      <c r="I67" s="17"/>
      <c r="J67" s="17"/>
      <c r="K67" s="17" t="s">
        <v>214</v>
      </c>
      <c r="L67" s="17"/>
      <c r="M67" s="17"/>
    </row>
    <row r="68" spans="8:13" ht="15" customHeight="1">
      <c r="H68" s="116"/>
      <c r="I68" s="16"/>
      <c r="J68" s="16"/>
      <c r="K68" s="16" t="s">
        <v>215</v>
      </c>
      <c r="L68" s="16"/>
      <c r="M68" s="16"/>
    </row>
    <row r="69" spans="8:13" ht="15" customHeight="1">
      <c r="H69" s="116"/>
      <c r="I69" s="17"/>
      <c r="J69" s="17"/>
      <c r="K69" s="17" t="s">
        <v>216</v>
      </c>
      <c r="L69" s="17"/>
      <c r="M69" s="17"/>
    </row>
    <row r="70" spans="8:13" ht="15" customHeight="1">
      <c r="H70" s="116"/>
      <c r="I70" s="16"/>
      <c r="J70" s="16"/>
      <c r="K70" s="16" t="s">
        <v>217</v>
      </c>
      <c r="L70" s="16"/>
      <c r="M70" s="16"/>
    </row>
    <row r="71" spans="8:13" ht="15" customHeight="1">
      <c r="H71" s="116"/>
      <c r="I71" s="17"/>
      <c r="J71" s="17"/>
      <c r="K71" s="17" t="s">
        <v>218</v>
      </c>
      <c r="L71" s="17"/>
      <c r="M71" s="17"/>
    </row>
    <row r="72" spans="8:13" ht="15" customHeight="1">
      <c r="H72" s="116"/>
      <c r="I72" s="16"/>
      <c r="J72" s="16"/>
      <c r="K72" s="16" t="s">
        <v>219</v>
      </c>
      <c r="L72" s="16"/>
      <c r="M72" s="16"/>
    </row>
    <row r="73" spans="8:13" ht="15" customHeight="1">
      <c r="H73" s="116"/>
      <c r="I73" s="17"/>
      <c r="J73" s="17"/>
      <c r="K73" s="17" t="s">
        <v>220</v>
      </c>
      <c r="L73" s="17"/>
      <c r="M73" s="17"/>
    </row>
    <row r="74" spans="8:13" ht="15" customHeight="1">
      <c r="H74" s="116"/>
      <c r="I74" s="16"/>
      <c r="J74" s="16"/>
      <c r="K74" s="16"/>
      <c r="L74" s="16"/>
      <c r="M74" s="16"/>
    </row>
    <row r="75" spans="8:13" ht="15" customHeight="1">
      <c r="H75" s="11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46" activePane="bottomLeft" state="frozen"/>
      <selection pane="bottomLeft" activeCell="F764" sqref="F76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231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233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235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235</v>
      </c>
      <c r="O27" s="39">
        <v>1183060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238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239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235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235</v>
      </c>
      <c r="O54" s="39">
        <v>959290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238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235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240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235</v>
      </c>
      <c r="O81" s="39">
        <v>878050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238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235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1700000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238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235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235</v>
      </c>
      <c r="O135" s="39">
        <v>862330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238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235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235</v>
      </c>
      <c r="O162" s="44">
        <v>1546080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238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235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235</v>
      </c>
      <c r="O189" s="39">
        <v>2355810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238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235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235</v>
      </c>
      <c r="O216" s="45">
        <v>2013260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238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235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235</v>
      </c>
      <c r="O243" s="39">
        <v>1545480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238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235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>
        <v>1182690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238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235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245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246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246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246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246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246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246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246</v>
      </c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235</v>
      </c>
      <c r="O297" s="39">
        <v>1843460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238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247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248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235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249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249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249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249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>
        <v>1940000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238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235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235</v>
      </c>
      <c r="O351" s="39">
        <v>701874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238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251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235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235</v>
      </c>
      <c r="O378" s="39">
        <v>1088710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238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212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252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253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235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254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235</v>
      </c>
      <c r="O405" s="39">
        <v>1202270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238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255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256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257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257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235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232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232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232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232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>
        <v>1801910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238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232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216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232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232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232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232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232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232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232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232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235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259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217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259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259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259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259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259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259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259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259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259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259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259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235</v>
      </c>
      <c r="O459" s="39">
        <v>2675000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238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>
        <v>2310070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232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232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232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232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232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235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232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232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232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232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232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232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232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232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232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232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232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>
        <v>1298429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238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232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260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232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232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232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232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232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232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232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232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232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232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232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235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232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232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261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232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232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232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232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232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232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232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232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232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232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235</v>
      </c>
      <c r="O540" s="39">
        <v>1240140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238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232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209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232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232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232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232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232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232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232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232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232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232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232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235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232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232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232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232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232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232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232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232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232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232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232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232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235</v>
      </c>
      <c r="O567" s="39">
        <v>1482110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238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232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232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232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232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232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232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235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232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232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232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232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232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232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232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232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232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232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235</v>
      </c>
      <c r="O594" s="39">
        <v>1036800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238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232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232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232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232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232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232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232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232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232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232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232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232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235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263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232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232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232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232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232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232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232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232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232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235</v>
      </c>
      <c r="O621" s="39">
        <v>1295785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238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232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232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232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232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232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232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232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232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232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232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232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232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232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264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232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232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232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232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232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232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232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232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232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232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232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235</v>
      </c>
      <c r="O648" s="39">
        <v>1954490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238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232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232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232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232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232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232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232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232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232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232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232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235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232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265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232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232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232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232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232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232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232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232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232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232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232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235</v>
      </c>
      <c r="O675" s="39">
        <v>471180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238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232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266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232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232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232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232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232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232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232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232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232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232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232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235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232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268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232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232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232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232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232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232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232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232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232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235</v>
      </c>
      <c r="O702" s="39">
        <v>1620480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238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232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232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232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232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232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232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232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232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232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232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232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232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235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232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269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232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232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232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232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232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232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259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259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259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235</v>
      </c>
      <c r="O729" s="39">
        <v>1145450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238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270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232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232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232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232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232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232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232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232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232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232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232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232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271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232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232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232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232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232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232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232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232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232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232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232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235</v>
      </c>
      <c r="O756" s="39">
        <v>1649510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238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232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272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232</v>
      </c>
      <c r="F759" s="27">
        <v>40</v>
      </c>
      <c r="G759" s="34">
        <f t="shared" si="168"/>
        <v>200</v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232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232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232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232</v>
      </c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232</v>
      </c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232</v>
      </c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232</v>
      </c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232</v>
      </c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232</v>
      </c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154</v>
      </c>
      <c r="G770" s="36">
        <f>SUM(G758:G769)</f>
        <v>770</v>
      </c>
      <c r="H770" s="37"/>
      <c r="I770" s="37"/>
      <c r="J770" s="37"/>
      <c r="K770" s="37"/>
      <c r="L770" s="37"/>
      <c r="M770" s="38">
        <f ca="1">IFERROR(SUM(M758:M769),"")</f>
        <v>3.125E-2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154</v>
      </c>
      <c r="G784" s="40">
        <f>G770+G783</f>
        <v>770</v>
      </c>
      <c r="H784" s="41"/>
      <c r="I784" s="41"/>
      <c r="J784" s="41"/>
      <c r="K784" s="41"/>
      <c r="L784" s="41"/>
      <c r="M784" s="42">
        <f ca="1">IFERROR(M770+M783,"")</f>
        <v>3.125E-2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59" t="s">
        <v>232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51" activePane="bottomLeft" state="frozen"/>
      <selection pane="bottomLeft" activeCell="E763" sqref="E76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235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235</v>
      </c>
      <c r="O27" s="77">
        <v>393200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238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235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274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259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84">
        <v>276360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238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275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276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235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235</v>
      </c>
      <c r="O81" s="54">
        <v>787860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238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235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279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280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235</v>
      </c>
      <c r="O108" s="54">
        <v>1087080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238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281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235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282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250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283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235</v>
      </c>
      <c r="O135" s="54">
        <v>794480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238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285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235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235</v>
      </c>
      <c r="O162" s="54">
        <v>882280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238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235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235</v>
      </c>
      <c r="O189" s="77"/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238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235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289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290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235</v>
      </c>
      <c r="O216" s="77">
        <v>648410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238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292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235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207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287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259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235</v>
      </c>
      <c r="O243" s="77">
        <v>849060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238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235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235</v>
      </c>
      <c r="O270" s="77">
        <v>625070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238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295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296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235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235</v>
      </c>
      <c r="O297" s="77">
        <v>761660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238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298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298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235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235</v>
      </c>
      <c r="O324" s="77">
        <v>524410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238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259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301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259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259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259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259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259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259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259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235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302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303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235</v>
      </c>
      <c r="O351" s="77">
        <v>598420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238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235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0.33490682869887678</v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0.49254571758776566</v>
      </c>
      <c r="N378" s="36" t="s">
        <v>235</v>
      </c>
      <c r="O378" s="77">
        <v>511980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0.60226793980998783</v>
      </c>
      <c r="N379" s="40" t="s">
        <v>238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213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287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304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235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259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305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250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235</v>
      </c>
      <c r="O405" s="77">
        <v>552440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238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259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235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0.31337905092368601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0.4842123842570194</v>
      </c>
      <c r="N432" s="36" t="s">
        <v>235</v>
      </c>
      <c r="O432" s="77">
        <v>484540</v>
      </c>
    </row>
    <row r="433" spans="1:15" ht="18" customHeight="1">
      <c r="A433" s="93" t="s">
        <v>237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0.62935127314590833</v>
      </c>
      <c r="N433" s="40" t="s">
        <v>238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308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235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309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235</v>
      </c>
      <c r="O459" s="77">
        <v>631190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238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310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311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312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235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313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235</v>
      </c>
      <c r="O486" s="77">
        <v>969510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238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314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235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235</v>
      </c>
      <c r="O513" s="77">
        <v>556040</v>
      </c>
    </row>
    <row r="514" spans="1:15" ht="18" customHeight="1">
      <c r="A514" s="93" t="s">
        <v>237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238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315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235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235</v>
      </c>
      <c r="O540" s="77">
        <v>548610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238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316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235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317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235</v>
      </c>
      <c r="O567" s="77">
        <v>722660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238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318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235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235</v>
      </c>
      <c r="O594" s="77">
        <v>644900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238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319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235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320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235</v>
      </c>
      <c r="O621" s="77">
        <v>348050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238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259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259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259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259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259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259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259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235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235</v>
      </c>
      <c r="O648" s="77">
        <v>757160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238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321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322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323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324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235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235</v>
      </c>
      <c r="O675" s="77">
        <v>681950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238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208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325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259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326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9" t="s">
        <v>234</v>
      </c>
      <c r="B689" s="110"/>
      <c r="C689" s="110"/>
      <c r="D689" s="110"/>
      <c r="E689" s="111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235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327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328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235</v>
      </c>
      <c r="O702" s="77">
        <v>813880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238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329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330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331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235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259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332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232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259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259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259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333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259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259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259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232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232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259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235</v>
      </c>
      <c r="O729" s="77">
        <v>766420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238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334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335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235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235</v>
      </c>
      <c r="O756" s="39">
        <v>605420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238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336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0</v>
      </c>
      <c r="G761" s="34">
        <f t="shared" si="168"/>
        <v>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13</v>
      </c>
      <c r="G762" s="28">
        <f t="shared" si="168"/>
        <v>54.6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10</v>
      </c>
      <c r="G763" s="34">
        <f t="shared" si="168"/>
        <v>50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259</v>
      </c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259</v>
      </c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259</v>
      </c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259</v>
      </c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72</v>
      </c>
      <c r="G770" s="36">
        <f>SUM(G758:G769)</f>
        <v>310.39999999999998</v>
      </c>
      <c r="H770" s="37"/>
      <c r="I770" s="37"/>
      <c r="J770" s="37"/>
      <c r="K770" s="37"/>
      <c r="L770" s="37"/>
      <c r="M770" s="38">
        <f ca="1">IFERROR(SUM(M758:M769),"")</f>
        <v>5.2083333333333315E-2</v>
      </c>
      <c r="N770" s="36" t="s">
        <v>235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72</v>
      </c>
      <c r="G784" s="40">
        <f>G770+G783</f>
        <v>310.39999999999998</v>
      </c>
      <c r="H784" s="41"/>
      <c r="I784" s="41"/>
      <c r="J784" s="41"/>
      <c r="K784" s="41"/>
      <c r="L784" s="41"/>
      <c r="M784" s="42">
        <f ca="1">IFERROR(M770+M783,"")</f>
        <v>5.2083333333333315E-2</v>
      </c>
      <c r="N784" s="40" t="s">
        <v>238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754" zoomScale="50" zoomScaleNormal="50" workbookViewId="0">
      <selection activeCell="J763" sqref="J76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323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337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235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235</v>
      </c>
      <c r="O27" s="39">
        <v>308500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238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235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39">
        <v>124290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238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339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235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309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235</v>
      </c>
      <c r="O81" s="39">
        <v>396340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238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340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235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235</v>
      </c>
      <c r="O108" s="39">
        <v>41230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238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235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235</v>
      </c>
      <c r="O135" s="39">
        <v>381250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238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341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286</v>
      </c>
      <c r="K141" s="29">
        <v>0.71597222222222223</v>
      </c>
      <c r="L141" s="29" t="s">
        <v>342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235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343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235</v>
      </c>
      <c r="O162" s="39">
        <v>337120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238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344</v>
      </c>
      <c r="N166" s="27" t="s">
        <v>345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235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235</v>
      </c>
      <c r="O189" s="39">
        <v>747210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238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346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235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235</v>
      </c>
      <c r="O216" s="39">
        <v>468430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238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259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259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259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259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235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235</v>
      </c>
      <c r="O243" s="39">
        <v>575930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238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209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259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259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259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235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347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348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235</v>
      </c>
      <c r="O270" s="39">
        <v>483510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238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235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349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259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350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235</v>
      </c>
      <c r="O297" s="39">
        <v>487980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238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351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235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352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353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235</v>
      </c>
      <c r="O324" s="39">
        <v>609460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238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259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354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259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309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259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341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259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259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259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259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259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235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235</v>
      </c>
      <c r="O351" s="39">
        <v>437940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238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259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259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235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235</v>
      </c>
      <c r="O378" s="39">
        <v>473310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238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259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259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259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259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259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259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259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259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259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235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235</v>
      </c>
      <c r="O405" s="39">
        <v>507450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238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259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259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259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259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259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259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259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259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259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235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235</v>
      </c>
      <c r="O432" s="39">
        <v>229150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238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355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235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235</v>
      </c>
      <c r="O459" s="39">
        <v>409980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238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232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232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232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232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235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235</v>
      </c>
      <c r="O486" s="39">
        <v>341550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238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356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232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235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235</v>
      </c>
      <c r="O513" s="39">
        <v>276610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238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235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357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358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359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235</v>
      </c>
      <c r="O540" s="39">
        <v>194990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238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235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361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235</v>
      </c>
      <c r="O567" s="39">
        <v>315860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238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362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235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235</v>
      </c>
      <c r="O594" s="39">
        <v>424930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238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363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325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235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235</v>
      </c>
      <c r="O621" s="39">
        <v>377360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238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235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235</v>
      </c>
      <c r="O648" s="39">
        <v>319500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238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364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325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235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365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235</v>
      </c>
      <c r="O675" s="39">
        <v>323580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238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235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235</v>
      </c>
      <c r="O702" s="39">
        <v>349730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238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309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235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235</v>
      </c>
      <c r="O729" s="39">
        <v>175420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238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259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259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323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259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259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259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323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259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259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259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259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259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259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235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366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367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235</v>
      </c>
      <c r="O756" s="39">
        <v>154160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238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368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323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/>
      <c r="M763" s="35">
        <f t="shared" ca="1" si="169"/>
        <v>8.790509236860089E-4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259</v>
      </c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259</v>
      </c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259</v>
      </c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259</v>
      </c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25</v>
      </c>
      <c r="G770" s="36">
        <f>SUM(G758:G769)</f>
        <v>109</v>
      </c>
      <c r="H770" s="37"/>
      <c r="I770" s="37"/>
      <c r="J770" s="37"/>
      <c r="K770" s="37"/>
      <c r="L770" s="37"/>
      <c r="M770" s="38">
        <f ca="1">IFERROR(SUM(M758:M769),"")</f>
        <v>7.4490162034797081E-2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25</v>
      </c>
      <c r="G784" s="40">
        <f>G770+G783</f>
        <v>109</v>
      </c>
      <c r="H784" s="41"/>
      <c r="I784" s="41"/>
      <c r="J784" s="41"/>
      <c r="K784" s="41"/>
      <c r="L784" s="41"/>
      <c r="M784" s="42">
        <f ca="1">IFERROR(M770+M783,"")</f>
        <v>7.4490162034797081E-2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09" activePane="bottomLeft" state="frozen"/>
      <selection pane="bottomLeft" activeCell="F759" sqref="F75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369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309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235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370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235</v>
      </c>
      <c r="O27" s="39">
        <v>202230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238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371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372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235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235</v>
      </c>
      <c r="O54" s="39">
        <v>473910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238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373</v>
      </c>
      <c r="L58" s="29">
        <v>0.54097222222222219</v>
      </c>
      <c r="M58" s="30" t="str">
        <f t="shared" ca="1" si="13"/>
        <v/>
      </c>
      <c r="N58" s="27" t="s">
        <v>374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235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323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375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376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377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378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235</v>
      </c>
      <c r="O81" s="39">
        <v>565120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238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379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235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235</v>
      </c>
      <c r="O108" s="39">
        <v>558590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238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380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235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381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382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0.32518460648134351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284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0.52449016203689913</v>
      </c>
      <c r="N135" s="36" t="s">
        <v>235</v>
      </c>
      <c r="O135" s="39">
        <v>729290</v>
      </c>
    </row>
    <row r="136" spans="1:18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0.89185127314801016</v>
      </c>
      <c r="N136" s="40" t="s">
        <v>238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383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235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341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235</v>
      </c>
      <c r="O162" s="39">
        <v>697320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238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259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385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235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235</v>
      </c>
      <c r="O189" s="39">
        <v>973580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238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386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387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235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388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235</v>
      </c>
      <c r="O216" s="45">
        <v>1060630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238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389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390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391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235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392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235</v>
      </c>
      <c r="O243" s="39">
        <v>982340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238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393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208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235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235</v>
      </c>
      <c r="O270" s="39">
        <v>1208450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238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235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235</v>
      </c>
      <c r="O297" s="39">
        <v>1049090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238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394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210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211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235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281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235</v>
      </c>
      <c r="O324" s="39">
        <v>1063720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238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259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309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259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259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259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259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259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259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259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259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259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234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235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395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396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235</v>
      </c>
      <c r="O351" s="39">
        <v>696140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238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341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235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259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259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259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397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235</v>
      </c>
      <c r="O378" s="39">
        <v>704750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238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398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385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235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399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400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235</v>
      </c>
      <c r="O405" s="39">
        <v>958130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238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235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401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235</v>
      </c>
      <c r="O432" s="39">
        <v>605220</v>
      </c>
    </row>
    <row r="433" spans="1:17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238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215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235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320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218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235</v>
      </c>
      <c r="O459" s="39">
        <v>615330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238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402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403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378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235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235</v>
      </c>
      <c r="O486" s="39">
        <v>1120830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238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378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232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232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232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259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259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259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259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259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235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404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235</v>
      </c>
      <c r="O513" s="39">
        <v>416720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238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219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405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406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235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235</v>
      </c>
      <c r="O540" s="39">
        <v>404370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238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407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408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409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235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259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410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259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259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259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259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259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235</v>
      </c>
      <c r="O567" s="39">
        <v>499820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238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411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235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259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259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259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259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259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259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259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259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235</v>
      </c>
      <c r="O594" s="39">
        <v>572580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238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220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412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235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259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259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235</v>
      </c>
      <c r="O621" s="39">
        <v>414860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238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210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220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413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220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235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414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235</v>
      </c>
      <c r="O648" s="39">
        <v>284850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238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220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415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235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220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416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235</v>
      </c>
      <c r="O675" s="39">
        <v>486620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238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259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235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417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418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235</v>
      </c>
      <c r="O702" s="39">
        <v>988790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238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281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323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235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419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235</v>
      </c>
      <c r="O729" s="39">
        <v>852470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238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420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421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235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235</v>
      </c>
      <c r="O756" s="39">
        <v>545970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238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/>
      <c r="M758" s="30">
        <f t="shared" ref="M758:M769" ca="1" si="169">IFERROR(IF(K758="","",IF(L758="",MOD(NOW()-K758,1),IF(L758&gt;=K758,L758-K758,L758+1-K758))),"")</f>
        <v>0.28282349537039408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0.28282349537039408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0.28282349537039408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2026-07-29T17:49:02Z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