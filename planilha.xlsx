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58" documentId="8_{AF585B22-221D-4780-BB9C-493D365A6A02}" xr6:coauthVersionLast="47" xr6:coauthVersionMax="47" xr10:uidLastSave="{5E3AFAD1-18F0-413C-B8F7-8B29B9AA9836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<sst xmlns="http://schemas.openxmlformats.org/spreadsheetml/2006/main" count="5523" uniqueCount="308">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</sst>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2" sqref="F33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209</v>
      </c>
      <c r="G338" s="36">
        <f>SUM(G326:G337)</f>
        <v>1045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209</v>
      </c>
      <c r="G352" s="40">
        <f>G338+G351</f>
        <v>1045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295" activePane="bottomLeft" state="frozen"/>
      <selection pane="bottomLeft" activeCell="F332" sqref="F3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101</v>
      </c>
      <c r="G338" s="36">
        <f>SUM(G326:G337)</f>
        <v>433.8</v>
      </c>
      <c r="H338" s="37"/>
      <c r="I338" s="37"/>
      <c r="J338" s="37"/>
      <c r="K338" s="37"/>
      <c r="L338" s="37"/>
      <c r="M338" s="38">
        <f ca="1">IFERROR(SUM(M326:M337),"")</f>
        <v>2.3611111111111083E-2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101</v>
      </c>
      <c r="G352" s="40">
        <f>G338+G351</f>
        <v>433.8</v>
      </c>
      <c r="H352" s="41"/>
      <c r="I352" s="41"/>
      <c r="J352" s="41"/>
      <c r="K352" s="41"/>
      <c r="L352" s="41"/>
      <c r="M352" s="42">
        <f ca="1">IFERROR(M338+M351,"")</f>
        <v>2.3611111111111083E-2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32" sqref="F3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/>
      <c r="M329" s="35">
        <f t="shared" ca="1" si="73"/>
        <v>0.11491516203386709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234</v>
      </c>
      <c r="F331" s="27">
        <v>0</v>
      </c>
      <c r="G331" s="34">
        <f t="shared" si="72"/>
        <v>0</v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12</v>
      </c>
      <c r="G338" s="36">
        <f>SUM(G326:G337)</f>
        <v>50.400000000000006</v>
      </c>
      <c r="H338" s="37"/>
      <c r="I338" s="37"/>
      <c r="J338" s="37"/>
      <c r="K338" s="37"/>
      <c r="L338" s="37"/>
      <c r="M338" s="38">
        <f ca="1">IFERROR(SUM(M326:M337),"")</f>
        <v>0.17185960647831156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12</v>
      </c>
      <c r="G352" s="40">
        <f>G338+G351</f>
        <v>50.400000000000006</v>
      </c>
      <c r="H352" s="41"/>
      <c r="I352" s="41"/>
      <c r="J352" s="41"/>
      <c r="K352" s="41"/>
      <c r="L352" s="41"/>
      <c r="M352" s="42">
        <f ca="1">IFERROR(M338+M351,"")</f>
        <v>0.17185960647831156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2" activePane="bottomLeft" state="frozen"/>
      <selection pane="bottomLeft" activeCell="L328" sqref="L3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0.32394293981633382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0.52324849537188944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0.89060960648300047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111</v>
      </c>
      <c r="G338" s="36">
        <f>SUM(G326:G337)</f>
        <v>478.2</v>
      </c>
      <c r="H338" s="37"/>
      <c r="I338" s="37"/>
      <c r="J338" s="37"/>
      <c r="K338" s="61"/>
      <c r="L338" s="61"/>
      <c r="M338" s="38">
        <f ca="1">IFERROR(SUM(M326:M337),"")</f>
        <v>4.2361111111111072E-2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111</v>
      </c>
      <c r="G352" s="40">
        <f>G338+G351</f>
        <v>478.2</v>
      </c>
      <c r="H352" s="41"/>
      <c r="I352" s="41"/>
      <c r="J352" s="41"/>
      <c r="K352" s="63"/>
      <c r="L352" s="63"/>
      <c r="M352" s="42">
        <f ca="1">IFERROR(M338+M351,"")</f>
        <v>4.2361111111111072E-2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2026-07-13T17:46:00Z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