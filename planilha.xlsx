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03" documentId="8_{AF585B22-221D-4780-BB9C-493D365A6A02}" xr6:coauthVersionLast="47" xr6:coauthVersionMax="47" xr10:uidLastSave="{A471FF77-46C2-400E-9679-409F8D93750B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<sst xmlns="http://schemas.openxmlformats.org/spreadsheetml/2006/main" count="9486" uniqueCount="382">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</sst>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7" activePane="bottomLeft" state="frozen"/>
      <selection pane="bottomLeft" activeCell="I609" sqref="I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/>
      <c r="K609" s="29">
        <v>0.83333333333333337</v>
      </c>
      <c r="L609" s="29"/>
      <c r="M609" s="35">
        <f t="shared" ref="M609:M620" ca="1" si="136">IFERROR(IF(K609="","",IF(L609="",MOD(NOW()-K609,1),IF(L609&gt;=K609,L609-K609,L609+1-K609))),"")</f>
        <v>4.1642592586867977E-2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13</v>
      </c>
      <c r="G621" s="36">
        <f>SUM(G609:G620)</f>
        <v>65</v>
      </c>
      <c r="H621" s="37"/>
      <c r="I621" s="37"/>
      <c r="J621" s="37"/>
      <c r="K621" s="37"/>
      <c r="L621" s="37"/>
      <c r="M621" s="38">
        <f ca="1">IFERROR(SUM(M609:M620),"")</f>
        <v>4.1642592586867977E-2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404</v>
      </c>
      <c r="G622" s="40">
        <f>G608+G621</f>
        <v>2020</v>
      </c>
      <c r="H622" s="41"/>
      <c r="I622" s="41"/>
      <c r="J622" s="41"/>
      <c r="K622" s="41"/>
      <c r="L622" s="41"/>
      <c r="M622" s="42">
        <f ca="1">IFERROR(M608+M621,"")</f>
        <v>6.8031481475756883E-2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E609" sqref="E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0.63539259258686798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0.79303148147575686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0.90275370369797903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0.61386481481167721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0.7846981481450106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0.92983703703389953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7</v>
      </c>
      <c r="G621" s="36">
        <f>SUM(G609:G620)</f>
        <v>35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171</v>
      </c>
      <c r="G622" s="40">
        <f>G608+G621</f>
        <v>723.80000000000007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E609" sqref="E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</v>
      </c>
      <c r="G621" s="36">
        <f>SUM(G609:G620)</f>
        <v>10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143</v>
      </c>
      <c r="G622" s="40">
        <f>G608+G621</f>
        <v>602.20000000000005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0.62567037036933471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0.82497592592489033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1.1923370370360014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0.16664259258686798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0.22150370369797917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 t="s">
        <v>18</v>
      </c>
      <c r="I609" s="33" t="s">
        <v>75</v>
      </c>
      <c r="J609" s="33" t="s">
        <v>100</v>
      </c>
      <c r="K609" s="29">
        <v>0.29166666666666669</v>
      </c>
      <c r="L609" s="29"/>
      <c r="M609" s="35">
        <f t="shared" ref="M609:M620" ca="1" si="136">IFERROR(IF(K609="","",IF(L609="",MOD(NOW()-K609,1),IF(L609&gt;=K609,L609-K609,L609+1-K609))),"")</f>
        <v>0.58330925925838528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0.58330925925838528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0.80481296295636451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2026-07-24T01:00:23Z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