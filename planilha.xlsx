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14" documentId="8_{C51EB6CB-002B-4D6B-B68F-DDEBDB4460C0}" xr6:coauthVersionLast="47" xr6:coauthVersionMax="47" xr10:uidLastSave="{A6DBF746-2125-4180-9136-D41FFFC0F19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<sst xmlns="http://schemas.openxmlformats.org/spreadsheetml/2006/main" count="2450" uniqueCount="261">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</sst>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I85" sqref="I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L76" sqref="L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0.2110428240703186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0.3499317129592075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0.43465393518142981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54" zoomScale="50" zoomScaleNormal="50" workbookViewId="0">
      <selection activeCell="J83" sqref="J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/>
      <c r="G83" s="28" t="str">
        <f t="shared" ref="G83:G94" si="18">IF(F83="","",IF(E83="PC 17",F83*4.2,IF(E83="PC 19",F83*5,IF(E83="CB",F83*24,""))))</f>
        <v/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/>
      <c r="M83" s="35">
        <f t="shared" ref="M83:M94" ca="1" si="19">IFERROR(IF(K83="","",IF(L83="",MOD(NOW()-K83,1),IF(L83&gt;=K83,L83-K83,L83+1-K83))),"")</f>
        <v>1.3206018484197557E-3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1.3206018484197557E-3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1.3206018484197557E-3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F83" sqref="F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259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2026-08-04T12:00:40Z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