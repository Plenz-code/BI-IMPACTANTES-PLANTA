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328" documentId="8_{AF585B22-221D-4780-BB9C-493D365A6A02}" xr6:coauthVersionLast="47" xr6:coauthVersionMax="47" xr10:uidLastSave="{629683BB-8AE2-4954-8341-F5B63D532B46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<sst xmlns="http://schemas.openxmlformats.org/spreadsheetml/2006/main" count="9828" uniqueCount="385">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</sst>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E27" sqref="E2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F638" sqref="F63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48</v>
      </c>
      <c r="G648" s="36">
        <f>SUM(G636:G647)</f>
        <v>240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381</v>
      </c>
      <c r="G649" s="40">
        <f>G635+G648</f>
        <v>1905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20" activePane="bottomLeft" state="frozen"/>
      <selection pane="bottomLeft" activeCell="J637" sqref="J6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0.6705853009261773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0.82822418981506618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0.93794641203728835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0.64905752315098653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0.81989085648431992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0.96502974537320885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/>
      <c r="M637" s="35">
        <f t="shared" ca="1" si="142"/>
        <v>1.8353009290876798E-3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42</v>
      </c>
      <c r="G648" s="36">
        <f>SUM(G636:G647)</f>
        <v>176.40000000000003</v>
      </c>
      <c r="H648" s="37"/>
      <c r="I648" s="37"/>
      <c r="J648" s="37"/>
      <c r="K648" s="37"/>
      <c r="L648" s="37"/>
      <c r="M648" s="38">
        <f ca="1">IFERROR(SUM(M636:M647),"")</f>
        <v>1.919641204019884E-2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135</v>
      </c>
      <c r="G649" s="40">
        <f>G635+G648</f>
        <v>567</v>
      </c>
      <c r="H649" s="41"/>
      <c r="I649" s="41"/>
      <c r="J649" s="41"/>
      <c r="K649" s="41"/>
      <c r="L649" s="41"/>
      <c r="M649" s="42">
        <f ca="1">IFERROR(M635+M648,"")</f>
        <v>0.99489085648464315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F638" sqref="F6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23</v>
      </c>
      <c r="G648" s="36">
        <f>SUM(G636:G647)</f>
        <v>96.6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169</v>
      </c>
      <c r="G649" s="40">
        <f>G635+G648</f>
        <v>709.8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N637" sqref="N6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0.66086307870864403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0.86016863426419965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1.2275297453753107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/>
      <c r="G636" s="28" t="str">
        <f t="shared" ref="G636:G647" si="141">IF(F636="","",IF(E636="PC 17",F636*4.2,IF(E636="PC 19",F636*5,"")))</f>
        <v/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/>
      <c r="M636" s="30">
        <f t="shared" ref="M636:M647" ca="1" si="142">IFERROR(IF(K636="","",IF(L636="",MOD(NOW()-K636,1),IF(L636&gt;=K636,L636-K636,L636+1-K636))),"")</f>
        <v>0.1185019675976946</v>
      </c>
      <c r="N636" s="27" t="s">
        <v>384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0.1185019675976946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361.20000000000005</v>
      </c>
      <c r="H649" s="41"/>
      <c r="I649" s="41"/>
      <c r="J649" s="41"/>
      <c r="K649" s="63"/>
      <c r="L649" s="63"/>
      <c r="M649" s="42">
        <f ca="1">IFERROR(M635+M648,"")</f>
        <v>0.29489085648658359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2026-07-25T01:50:49Z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