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86" documentId="13_ncr:1_{A6DBCFB4-28D9-4249-9038-216934055CA6}" xr6:coauthVersionLast="47" xr6:coauthVersionMax="47" xr10:uidLastSave="{566D08FB-6FAC-41F9-9358-916E68F440C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<sst xmlns="http://schemas.openxmlformats.org/spreadsheetml/2006/main" count="9011" uniqueCount="401">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</sst>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L531" sqref="L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87</v>
      </c>
      <c r="G540" s="2">
        <f>SUM(G528:G539)</f>
        <v>435</v>
      </c>
      <c r="H540" s="72"/>
      <c r="I540" s="72"/>
      <c r="J540" s="72"/>
      <c r="K540" s="72"/>
      <c r="L540" s="72"/>
      <c r="M540" s="73">
        <f ca="1">IFERROR(SUM(M528:M539),"")</f>
        <v>3.0555555555555558E-2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275</v>
      </c>
      <c r="G541" s="1">
        <f>G527+G540</f>
        <v>1316.6</v>
      </c>
      <c r="H541" s="76"/>
      <c r="I541" s="76"/>
      <c r="J541" s="76"/>
      <c r="K541" s="76"/>
      <c r="L541" s="76"/>
      <c r="M541" s="77">
        <f ca="1">IFERROR(M527+M540,"")</f>
        <v>7.5694444444444509E-2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E535" sqref="E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0.89597523147676839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1.0348641203656561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1.1195863425878789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196.8</v>
      </c>
      <c r="L540" s="72"/>
      <c r="M540" s="72"/>
      <c r="N540" s="72"/>
      <c r="O540" s="72"/>
      <c r="P540" s="72"/>
      <c r="Q540" s="73">
        <f ca="1">IFERROR(SUM(Q528:Q539),"")</f>
        <v>3.9583333333333443E-2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223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1022.2</v>
      </c>
      <c r="L541" s="76"/>
      <c r="M541" s="76"/>
      <c r="N541" s="76"/>
      <c r="O541" s="76"/>
      <c r="P541" s="76"/>
      <c r="Q541" s="77">
        <f ca="1">IFERROR(Q527+Q540,"")</f>
        <v>0.10416666666666671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P533" sqref="P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159.4</v>
      </c>
      <c r="L540" s="72"/>
      <c r="M540" s="72"/>
      <c r="N540" s="72"/>
      <c r="O540" s="72"/>
      <c r="P540" s="72"/>
      <c r="Q540" s="73">
        <f ca="1">IFERROR(SUM(Q528:Q539),"")</f>
        <v>3.6111111111111122E-2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114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508.4</v>
      </c>
      <c r="L541" s="76"/>
      <c r="M541" s="76"/>
      <c r="N541" s="76"/>
      <c r="O541" s="76"/>
      <c r="P541" s="76"/>
      <c r="Q541" s="77">
        <f ca="1">IFERROR(Q527+Q540,"")</f>
        <v>0.10486111111111104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3" sqref="E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 t="s">
        <v>274</v>
      </c>
      <c r="F531" s="88">
        <f>IFERROR(IF($D531="","",VLOOKUP($D531,Cadastro!$C$4:$E$7,3,FALSE())),"")</f>
        <v>0.35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 t="s">
        <v>274</v>
      </c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 t="s">
        <v>274</v>
      </c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250.4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1151.4000000000001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2026-08-21T04:25:43Z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