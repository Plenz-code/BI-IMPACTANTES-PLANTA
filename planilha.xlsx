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17" documentId="8_{AF585B22-221D-4780-BB9C-493D365A6A02}" xr6:coauthVersionLast="47" xr6:coauthVersionMax="47" xr10:uidLastSave="{2910B57E-7F0E-4ADC-814F-DF0219BDEB7D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2" i="3" l="1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13" i="4"/>
  <c r="G12" i="4"/>
  <c r="G11" i="4"/>
  <c r="G10" i="4"/>
  <c r="G9" i="4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F4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<sst xmlns="http://schemas.openxmlformats.org/spreadsheetml/2006/main" count="1073" uniqueCount="193">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</sst>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1:B1048576"/>
    </sheetView>
  </sheetViews>
  <sheetFormatPr defaultColWidth="8.54296875" defaultRowHeight="14.5" x14ac:dyDescent="0.35"/>
  <cols>
    <col min="2" max="2" width="17.453125" style="71" customWidth="1"/>
    <col min="3" max="3" width="21.453125" customWidth="1"/>
    <col min="4" max="6" width="16" hidden="1" customWidth="1"/>
    <col min="7" max="7" width="34" customWidth="1"/>
  </cols>
  <sheetData>
    <row r="1" spans="1:7" ht="31.5" customHeight="1" x14ac:dyDescent="0.35">
      <c r="A1" s="83" t="s">
        <v>0</v>
      </c>
      <c r="B1" s="83"/>
      <c r="C1" s="83"/>
      <c r="D1" s="83"/>
      <c r="E1" s="83"/>
      <c r="F1" s="83"/>
      <c r="G1" s="83"/>
    </row>
    <row r="2" spans="1:7" ht="24.75" customHeight="1" x14ac:dyDescent="0.35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35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35">
      <c r="A4" s="7">
        <v>1</v>
      </c>
      <c r="B4" s="73">
        <v>46204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 x14ac:dyDescent="0.35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 x14ac:dyDescent="0.35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 x14ac:dyDescent="0.35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 x14ac:dyDescent="0.35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 x14ac:dyDescent="0.35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 x14ac:dyDescent="0.35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 x14ac:dyDescent="0.35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 x14ac:dyDescent="0.35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 x14ac:dyDescent="0.35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 x14ac:dyDescent="0.35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 x14ac:dyDescent="0.35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 x14ac:dyDescent="0.35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35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35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 x14ac:dyDescent="0.35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35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35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35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35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35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35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35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35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35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35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35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35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35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35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35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35">
      <c r="A35" s="85" t="s">
        <v>9</v>
      </c>
      <c r="B35" s="85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A38" zoomScale="85" zoomScaleNormal="85" workbookViewId="0">
      <selection activeCell="M43" sqref="M43"/>
    </sheetView>
  </sheetViews>
  <sheetFormatPr defaultColWidth="8.54296875" defaultRowHeight="14.5" x14ac:dyDescent="0.35"/>
  <cols>
    <col min="1" max="1" width="14" customWidth="1"/>
    <col min="2" max="2" width="2" customWidth="1"/>
    <col min="3" max="3" width="17.5429687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796875" customWidth="1"/>
    <col min="10" max="10" width="45.453125" customWidth="1"/>
    <col min="11" max="11" width="42.1796875" customWidth="1"/>
    <col min="12" max="12" width="36" customWidth="1"/>
    <col min="13" max="13" width="45.81640625" customWidth="1"/>
  </cols>
  <sheetData>
    <row r="1" spans="1:13" ht="27.75" customHeight="1" x14ac:dyDescent="0.35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 x14ac:dyDescent="0.35">
      <c r="H2" s="87"/>
    </row>
    <row r="3" spans="1:13" ht="21.75" customHeight="1" x14ac:dyDescent="0.35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35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35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35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35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35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35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35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35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35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35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35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 x14ac:dyDescent="0.35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 x14ac:dyDescent="0.35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 x14ac:dyDescent="0.35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 x14ac:dyDescent="0.35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 x14ac:dyDescent="0.35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 x14ac:dyDescent="0.35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 x14ac:dyDescent="0.35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 x14ac:dyDescent="0.35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 x14ac:dyDescent="0.35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 x14ac:dyDescent="0.35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 x14ac:dyDescent="0.35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 x14ac:dyDescent="0.35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 x14ac:dyDescent="0.35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 x14ac:dyDescent="0.35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 x14ac:dyDescent="0.35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 x14ac:dyDescent="0.35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 x14ac:dyDescent="0.35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 x14ac:dyDescent="0.35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 x14ac:dyDescent="0.35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 x14ac:dyDescent="0.35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 x14ac:dyDescent="0.35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 x14ac:dyDescent="0.35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 x14ac:dyDescent="0.35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 x14ac:dyDescent="0.35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 x14ac:dyDescent="0.35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 x14ac:dyDescent="0.35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 x14ac:dyDescent="0.35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 x14ac:dyDescent="0.35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 x14ac:dyDescent="0.35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/>
    </row>
    <row r="44" spans="1:13" ht="15.75" customHeight="1" x14ac:dyDescent="0.35">
      <c r="A44" s="16"/>
      <c r="C44" s="16"/>
      <c r="E44" s="16"/>
      <c r="G44" s="16"/>
      <c r="H44" s="87"/>
      <c r="I44" s="16"/>
      <c r="J44" s="16"/>
      <c r="K44" s="16" t="s">
        <v>169</v>
      </c>
      <c r="L44" s="16"/>
      <c r="M44" s="16"/>
    </row>
    <row r="45" spans="1:13" ht="15.75" customHeight="1" x14ac:dyDescent="0.35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 x14ac:dyDescent="0.35">
      <c r="A46" s="16"/>
      <c r="C46" s="16"/>
      <c r="E46" s="16"/>
      <c r="G46" s="16"/>
      <c r="H46" s="87"/>
      <c r="I46" s="16"/>
      <c r="J46" s="16"/>
      <c r="K46" s="16" t="s">
        <v>170</v>
      </c>
      <c r="L46" s="16"/>
      <c r="M46" s="16"/>
    </row>
    <row r="47" spans="1:13" ht="15.75" customHeight="1" x14ac:dyDescent="0.35">
      <c r="A47" s="17"/>
      <c r="C47" s="17"/>
      <c r="E47" s="17"/>
      <c r="G47" s="17"/>
      <c r="H47" s="87"/>
      <c r="I47" s="17"/>
      <c r="J47" s="17"/>
      <c r="K47" s="17" t="s">
        <v>171</v>
      </c>
      <c r="L47" s="17"/>
      <c r="M47" s="17"/>
    </row>
    <row r="48" spans="1:13" ht="15.75" customHeight="1" x14ac:dyDescent="0.35">
      <c r="A48" s="16"/>
      <c r="C48" s="16"/>
      <c r="E48" s="16"/>
      <c r="G48" s="16"/>
      <c r="H48" s="87"/>
      <c r="I48" s="16"/>
      <c r="J48" s="16"/>
      <c r="K48" s="16" t="s">
        <v>172</v>
      </c>
      <c r="L48" s="16"/>
      <c r="M48" s="16"/>
    </row>
    <row r="49" spans="1:13" ht="18" customHeight="1" x14ac:dyDescent="0.35">
      <c r="H49" s="87"/>
      <c r="I49" s="17"/>
      <c r="J49" s="17"/>
      <c r="K49" s="17" t="s">
        <v>173</v>
      </c>
      <c r="L49" s="17"/>
      <c r="M49" s="17"/>
    </row>
    <row r="50" spans="1:13" ht="21" customHeight="1" x14ac:dyDescent="0.35">
      <c r="A50" s="19" t="s">
        <v>174</v>
      </c>
      <c r="B50" s="19"/>
      <c r="C50" s="19"/>
      <c r="D50" s="19"/>
      <c r="E50" s="19"/>
      <c r="F50" s="19"/>
      <c r="G50" s="19"/>
      <c r="H50" s="87"/>
      <c r="I50" s="16"/>
      <c r="J50" s="16"/>
      <c r="K50" s="16"/>
      <c r="L50" s="16"/>
      <c r="M50" s="16"/>
    </row>
    <row r="51" spans="1:13" ht="24" customHeight="1" x14ac:dyDescent="0.35">
      <c r="H51" s="87"/>
      <c r="I51" s="17"/>
      <c r="J51" s="17"/>
      <c r="K51" s="17"/>
      <c r="L51" s="17"/>
      <c r="M51" s="17"/>
    </row>
    <row r="52" spans="1:13" ht="24" customHeight="1" x14ac:dyDescent="0.35">
      <c r="H52" s="87"/>
      <c r="I52" s="16"/>
      <c r="J52" s="16"/>
      <c r="K52" s="16"/>
      <c r="L52" s="16"/>
      <c r="M52" s="16"/>
    </row>
    <row r="53" spans="1:13" ht="36" customHeight="1" x14ac:dyDescent="0.35">
      <c r="H53" s="87"/>
      <c r="I53" s="17"/>
      <c r="J53" s="17"/>
      <c r="K53" s="17"/>
      <c r="L53" s="17"/>
      <c r="M53" s="17"/>
    </row>
    <row r="54" spans="1:13" ht="15" customHeight="1" x14ac:dyDescent="0.35">
      <c r="H54" s="87"/>
      <c r="I54" s="16"/>
      <c r="J54" s="16"/>
      <c r="K54" s="16"/>
      <c r="L54" s="16"/>
      <c r="M54" s="16"/>
    </row>
    <row r="55" spans="1:13" ht="15" customHeight="1" x14ac:dyDescent="0.35">
      <c r="H55" s="87"/>
      <c r="I55" s="17"/>
      <c r="J55" s="17"/>
      <c r="K55" s="17"/>
      <c r="L55" s="17"/>
      <c r="M55" s="17"/>
    </row>
    <row r="56" spans="1:13" ht="15" customHeight="1" x14ac:dyDescent="0.35">
      <c r="H56" s="87"/>
      <c r="I56" s="16"/>
      <c r="J56" s="16"/>
      <c r="K56" s="16"/>
      <c r="L56" s="16"/>
      <c r="M56" s="16"/>
    </row>
    <row r="57" spans="1:13" ht="15" customHeight="1" x14ac:dyDescent="0.35">
      <c r="H57" s="87"/>
      <c r="I57" s="17"/>
      <c r="J57" s="17"/>
      <c r="K57" s="17"/>
      <c r="L57" s="17"/>
      <c r="M57" s="17"/>
    </row>
    <row r="58" spans="1:13" ht="15" customHeight="1" x14ac:dyDescent="0.35">
      <c r="H58" s="87"/>
      <c r="I58" s="16"/>
      <c r="J58" s="16"/>
      <c r="K58" s="16"/>
      <c r="L58" s="16"/>
      <c r="M58" s="16"/>
    </row>
    <row r="59" spans="1:13" ht="15" customHeight="1" x14ac:dyDescent="0.35">
      <c r="H59" s="87"/>
      <c r="I59" s="17"/>
      <c r="J59" s="17"/>
      <c r="K59" s="17"/>
      <c r="L59" s="17"/>
      <c r="M59" s="17"/>
    </row>
    <row r="60" spans="1:13" ht="15" customHeight="1" x14ac:dyDescent="0.35">
      <c r="H60" s="87"/>
      <c r="I60" s="16"/>
      <c r="J60" s="16"/>
      <c r="K60" s="16"/>
      <c r="L60" s="16"/>
      <c r="M60" s="16"/>
    </row>
    <row r="61" spans="1:13" ht="15" customHeight="1" x14ac:dyDescent="0.35">
      <c r="H61" s="87"/>
      <c r="I61" s="17"/>
      <c r="J61" s="17"/>
      <c r="K61" s="17"/>
      <c r="L61" s="17"/>
      <c r="M61" s="17"/>
    </row>
    <row r="62" spans="1:13" ht="15" customHeight="1" x14ac:dyDescent="0.35">
      <c r="H62" s="87"/>
      <c r="I62" s="16"/>
      <c r="J62" s="16"/>
      <c r="K62" s="16"/>
      <c r="L62" s="16"/>
      <c r="M62" s="16"/>
    </row>
    <row r="63" spans="1:13" ht="15" customHeight="1" x14ac:dyDescent="0.35">
      <c r="H63" s="87"/>
      <c r="I63" s="17"/>
      <c r="J63" s="17"/>
      <c r="K63" s="17"/>
      <c r="L63" s="17"/>
      <c r="M63" s="17"/>
    </row>
    <row r="64" spans="1:13" ht="15" customHeight="1" x14ac:dyDescent="0.35">
      <c r="H64" s="87"/>
      <c r="I64" s="16"/>
      <c r="J64" s="16"/>
      <c r="K64" s="16"/>
      <c r="L64" s="16"/>
      <c r="M64" s="16"/>
    </row>
    <row r="65" spans="8:13" ht="15" customHeight="1" x14ac:dyDescent="0.35">
      <c r="H65" s="87"/>
      <c r="I65" s="17"/>
      <c r="J65" s="17"/>
      <c r="K65" s="17"/>
      <c r="L65" s="17"/>
      <c r="M65" s="17"/>
    </row>
    <row r="66" spans="8:13" ht="15" customHeight="1" x14ac:dyDescent="0.35">
      <c r="H66" s="87"/>
      <c r="I66" s="16"/>
      <c r="J66" s="16"/>
      <c r="K66" s="16"/>
      <c r="L66" s="16"/>
      <c r="M66" s="16"/>
    </row>
    <row r="67" spans="8:13" ht="15" customHeight="1" x14ac:dyDescent="0.35">
      <c r="H67" s="87"/>
      <c r="I67" s="17"/>
      <c r="J67" s="17"/>
      <c r="K67" s="17"/>
      <c r="L67" s="17"/>
      <c r="M67" s="17"/>
    </row>
    <row r="68" spans="8:13" ht="15" customHeight="1" x14ac:dyDescent="0.35">
      <c r="H68" s="87"/>
      <c r="I68" s="16"/>
      <c r="J68" s="16"/>
      <c r="K68" s="16"/>
      <c r="L68" s="16"/>
      <c r="M68" s="16"/>
    </row>
    <row r="69" spans="8:13" ht="15" customHeight="1" x14ac:dyDescent="0.35">
      <c r="H69" s="87"/>
      <c r="I69" s="17"/>
      <c r="J69" s="17"/>
      <c r="K69" s="17"/>
      <c r="L69" s="17"/>
      <c r="M69" s="17"/>
    </row>
    <row r="70" spans="8:13" ht="15" customHeight="1" x14ac:dyDescent="0.35">
      <c r="H70" s="87"/>
      <c r="I70" s="16"/>
      <c r="J70" s="16"/>
      <c r="K70" s="16"/>
      <c r="L70" s="16"/>
      <c r="M70" s="16"/>
    </row>
    <row r="71" spans="8:13" ht="15" customHeight="1" x14ac:dyDescent="0.35">
      <c r="H71" s="87"/>
      <c r="I71" s="17"/>
      <c r="J71" s="17"/>
      <c r="K71" s="17"/>
      <c r="L71" s="17"/>
      <c r="M71" s="17"/>
    </row>
    <row r="72" spans="8:13" ht="15" customHeight="1" x14ac:dyDescent="0.35">
      <c r="H72" s="87"/>
      <c r="I72" s="16"/>
      <c r="J72" s="16"/>
      <c r="K72" s="16"/>
      <c r="L72" s="16"/>
      <c r="M72" s="16"/>
    </row>
    <row r="73" spans="8:13" ht="15" customHeight="1" x14ac:dyDescent="0.35">
      <c r="H73" s="87"/>
      <c r="I73" s="17"/>
      <c r="J73" s="17"/>
      <c r="K73" s="17"/>
      <c r="L73" s="17"/>
      <c r="M73" s="17"/>
    </row>
    <row r="74" spans="8:13" ht="15" customHeight="1" x14ac:dyDescent="0.35">
      <c r="H74" s="87"/>
      <c r="I74" s="16"/>
      <c r="J74" s="16"/>
      <c r="K74" s="16"/>
      <c r="L74" s="16"/>
      <c r="M74" s="16"/>
    </row>
    <row r="75" spans="8:13" ht="15" customHeight="1" x14ac:dyDescent="0.35">
      <c r="H75" s="87"/>
      <c r="I75" s="17"/>
      <c r="J75" s="17"/>
      <c r="K75" s="17"/>
      <c r="L75" s="17"/>
      <c r="M75" s="17"/>
    </row>
    <row r="76" spans="8:13" ht="15" customHeight="1" x14ac:dyDescent="0.35"/>
    <row r="77" spans="8:13" ht="15" customHeight="1" x14ac:dyDescent="0.35"/>
    <row r="78" spans="8:13" ht="15" customHeight="1" x14ac:dyDescent="0.35"/>
    <row r="79" spans="8:13" ht="15" customHeight="1" x14ac:dyDescent="0.35"/>
    <row r="80" spans="8:13" ht="15" customHeight="1" x14ac:dyDescent="0.35"/>
    <row r="81" ht="15" customHeight="1" x14ac:dyDescent="0.35"/>
    <row r="82" ht="15" customHeight="1" x14ac:dyDescent="0.35"/>
    <row r="83" ht="15" customHeight="1" x14ac:dyDescent="0.35"/>
    <row r="84" ht="15" customHeight="1" x14ac:dyDescent="0.35"/>
    <row r="85" ht="15" customHeight="1" x14ac:dyDescent="0.35"/>
    <row r="86" ht="15" customHeight="1" x14ac:dyDescent="0.35"/>
    <row r="87" ht="15" customHeight="1" x14ac:dyDescent="0.35"/>
    <row r="88" ht="15" customHeight="1" x14ac:dyDescent="0.35"/>
    <row r="89" ht="15" customHeight="1" x14ac:dyDescent="0.35"/>
    <row r="90" ht="15" customHeight="1" x14ac:dyDescent="0.35"/>
    <row r="91" ht="15" customHeight="1" x14ac:dyDescent="0.35"/>
    <row r="92" ht="15" customHeight="1" x14ac:dyDescent="0.35"/>
    <row r="93" ht="15" customHeight="1" x14ac:dyDescent="0.35"/>
    <row r="94" ht="15" customHeight="1" x14ac:dyDescent="0.35"/>
    <row r="95" ht="15" customHeight="1" x14ac:dyDescent="0.35"/>
    <row r="96" ht="15" customHeight="1" x14ac:dyDescent="0.35"/>
    <row r="97" ht="15" customHeight="1" x14ac:dyDescent="0.35"/>
    <row r="98" ht="15" customHeight="1" x14ac:dyDescent="0.35"/>
    <row r="99" ht="15" customHeight="1" x14ac:dyDescent="0.35"/>
    <row r="100" ht="15" customHeight="1" x14ac:dyDescent="0.35"/>
    <row r="101" ht="15" customHeight="1" x14ac:dyDescent="0.35"/>
    <row r="102" ht="15" customHeight="1" x14ac:dyDescent="0.35"/>
    <row r="103" ht="15" customHeight="1" x14ac:dyDescent="0.35"/>
    <row r="104" ht="15" customHeight="1" x14ac:dyDescent="0.35"/>
    <row r="105" ht="15" customHeight="1" x14ac:dyDescent="0.35"/>
    <row r="106" ht="15" customHeight="1" x14ac:dyDescent="0.35"/>
    <row r="107" ht="15" customHeight="1" x14ac:dyDescent="0.35"/>
    <row r="108" ht="15" customHeight="1" x14ac:dyDescent="0.35"/>
    <row r="109" ht="15" customHeight="1" x14ac:dyDescent="0.35"/>
    <row r="110" ht="15" customHeight="1" x14ac:dyDescent="0.35"/>
    <row r="111" ht="15" customHeight="1" x14ac:dyDescent="0.35"/>
    <row r="112" ht="15" customHeight="1" x14ac:dyDescent="0.35"/>
    <row r="113" ht="15" customHeight="1" x14ac:dyDescent="0.35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" activePane="bottomLeft" state="frozen"/>
      <selection pane="bottomLeft" activeCell="L3" sqref="L3"/>
    </sheetView>
  </sheetViews>
  <sheetFormatPr defaultColWidth="8.54296875" defaultRowHeight="14.5" x14ac:dyDescent="0.3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796875" style="20" customWidth="1"/>
    <col min="9" max="9" width="23.453125" style="20" customWidth="1"/>
    <col min="10" max="10" width="43.1796875" style="20" customWidth="1"/>
    <col min="11" max="11" width="14" style="20" customWidth="1"/>
    <col min="12" max="12" width="13.1796875" style="21" customWidth="1"/>
    <col min="13" max="13" width="14" style="20" customWidth="1"/>
    <col min="14" max="14" width="50.453125" style="20" customWidth="1"/>
    <col min="15" max="15" width="14" customWidth="1"/>
  </cols>
  <sheetData>
    <row r="1" spans="1:15" ht="37.5" customHeight="1" x14ac:dyDescent="0.35">
      <c r="A1" s="68" t="s">
        <v>7</v>
      </c>
      <c r="B1" s="23" t="s">
        <v>175</v>
      </c>
      <c r="C1" s="23" t="s">
        <v>12</v>
      </c>
      <c r="D1" s="22" t="s">
        <v>13</v>
      </c>
      <c r="E1" s="22" t="s">
        <v>176</v>
      </c>
      <c r="F1" s="23" t="s">
        <v>177</v>
      </c>
      <c r="G1" s="23" t="s">
        <v>178</v>
      </c>
      <c r="H1" s="23" t="s">
        <v>14</v>
      </c>
      <c r="I1" s="23" t="s">
        <v>15</v>
      </c>
      <c r="J1" s="23" t="s">
        <v>179</v>
      </c>
      <c r="K1" s="23" t="s">
        <v>180</v>
      </c>
      <c r="L1" s="23" t="s">
        <v>181</v>
      </c>
      <c r="M1" s="24" t="s">
        <v>182</v>
      </c>
      <c r="N1" s="23" t="s">
        <v>183</v>
      </c>
      <c r="O1" s="23" t="s">
        <v>184</v>
      </c>
    </row>
    <row r="2" spans="1:15" ht="15" customHeight="1" x14ac:dyDescent="0.35">
      <c r="A2" s="69">
        <v>46204</v>
      </c>
      <c r="B2" s="25">
        <v>0.33333333333333298</v>
      </c>
      <c r="C2" s="26" t="s">
        <v>29</v>
      </c>
      <c r="D2" s="20" t="s">
        <v>185</v>
      </c>
      <c r="E2" s="59" t="s">
        <v>192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186</v>
      </c>
      <c r="O2" s="31"/>
    </row>
    <row r="3" spans="1:15" ht="15" customHeight="1" x14ac:dyDescent="0.35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/>
      <c r="F3" s="27"/>
      <c r="G3" s="34" t="str">
        <f t="shared" si="0"/>
        <v/>
      </c>
      <c r="H3" s="33"/>
      <c r="I3" s="33"/>
      <c r="J3" s="33"/>
      <c r="K3" s="29"/>
      <c r="L3" s="29"/>
      <c r="M3" s="35" t="str">
        <f t="shared" ref="M2:M13" ca="1" si="2">IFERROR(IF(K3="","",IF(L3="",MOD(NOW()-K3,1),IF(L3&gt;=K3,L3-K3,L3+1-K3))),"")</f>
        <v/>
      </c>
      <c r="N3" s="27"/>
      <c r="O3" s="31"/>
    </row>
    <row r="4" spans="1:15" ht="15" customHeight="1" x14ac:dyDescent="0.35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/>
      <c r="F4" s="27"/>
      <c r="G4" s="28" t="str">
        <f t="shared" si="0"/>
        <v/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5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5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5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5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5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5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5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5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5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5">
      <c r="A14" s="77" t="s">
        <v>187</v>
      </c>
      <c r="B14" s="78"/>
      <c r="C14" s="78"/>
      <c r="D14" s="78"/>
      <c r="E14" s="79"/>
      <c r="F14" s="36">
        <f>SUM(F2:F13)</f>
        <v>0</v>
      </c>
      <c r="G14" s="36">
        <f>SUM(G2:G13)</f>
        <v>0</v>
      </c>
      <c r="H14" s="37"/>
      <c r="I14" s="37"/>
      <c r="J14" s="37"/>
      <c r="K14" s="37"/>
      <c r="L14" s="37"/>
      <c r="M14" s="38">
        <f ca="1">IFERROR(SUM(M2:M13),"")</f>
        <v>7.9861111111111105E-2</v>
      </c>
      <c r="N14" s="36" t="s">
        <v>188</v>
      </c>
      <c r="O14" s="39"/>
    </row>
    <row r="15" spans="1:15" ht="15" customHeight="1" x14ac:dyDescent="0.35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35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35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35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5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5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5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5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5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5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5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5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5">
      <c r="A27" s="77" t="s">
        <v>189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188</v>
      </c>
      <c r="O27" s="39"/>
    </row>
    <row r="28" spans="1:15" ht="18" customHeight="1" x14ac:dyDescent="0.35">
      <c r="A28" s="80" t="s">
        <v>190</v>
      </c>
      <c r="B28" s="81"/>
      <c r="C28" s="81"/>
      <c r="D28" s="81"/>
      <c r="E28" s="82"/>
      <c r="F28" s="40">
        <f>F14+F27</f>
        <v>0</v>
      </c>
      <c r="G28" s="40">
        <f>G14+G27</f>
        <v>0</v>
      </c>
      <c r="H28" s="41"/>
      <c r="I28" s="41"/>
      <c r="J28" s="41"/>
      <c r="K28" s="41"/>
      <c r="L28" s="41"/>
      <c r="M28" s="42">
        <f ca="1">IFERROR(M14+M27,"")</f>
        <v>7.9861111111111105E-2</v>
      </c>
      <c r="N28" s="40" t="s">
        <v>191</v>
      </c>
      <c r="O28" s="43">
        <f>IFERROR(O14+O27,"")</f>
        <v>0</v>
      </c>
    </row>
    <row r="29" spans="1:15" ht="15" customHeight="1" x14ac:dyDescent="0.35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 x14ac:dyDescent="0.35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 x14ac:dyDescent="0.35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5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5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5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5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5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5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5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5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5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5">
      <c r="A41" s="77" t="s">
        <v>187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188</v>
      </c>
      <c r="O41" s="39"/>
    </row>
    <row r="42" spans="1:15" ht="15" customHeight="1" x14ac:dyDescent="0.35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 x14ac:dyDescent="0.35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 x14ac:dyDescent="0.35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5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5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5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5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5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5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5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5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5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5">
      <c r="A54" s="77" t="s">
        <v>189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188</v>
      </c>
      <c r="O54" s="39"/>
    </row>
    <row r="55" spans="1:15" ht="18" customHeight="1" x14ac:dyDescent="0.35">
      <c r="A55" s="80" t="s">
        <v>190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191</v>
      </c>
      <c r="O55" s="43">
        <f>IFERROR(O41+O54,"")</f>
        <v>0</v>
      </c>
    </row>
    <row r="56" spans="1:15" ht="15" customHeight="1" x14ac:dyDescent="0.35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35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35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5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5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5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5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5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5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5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5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5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5">
      <c r="A68" s="77" t="s">
        <v>187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188</v>
      </c>
      <c r="O68" s="39"/>
    </row>
    <row r="69" spans="1:15" ht="15" customHeight="1" x14ac:dyDescent="0.35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 x14ac:dyDescent="0.35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 x14ac:dyDescent="0.35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5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5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5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5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5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5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5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5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5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5">
      <c r="A81" s="77" t="s">
        <v>189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188</v>
      </c>
      <c r="O81" s="39"/>
    </row>
    <row r="82" spans="1:15" ht="18" customHeight="1" x14ac:dyDescent="0.35">
      <c r="A82" s="80" t="s">
        <v>190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191</v>
      </c>
      <c r="O82" s="43">
        <f>IFERROR(O68+O81,"")</f>
        <v>0</v>
      </c>
    </row>
    <row r="83" spans="1:15" ht="15" customHeight="1" x14ac:dyDescent="0.35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 x14ac:dyDescent="0.35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35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35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5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5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5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5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5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5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5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5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5">
      <c r="A95" s="77" t="s">
        <v>187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188</v>
      </c>
      <c r="O95" s="39"/>
    </row>
    <row r="96" spans="1:15" ht="15" customHeight="1" x14ac:dyDescent="0.3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3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5">
      <c r="A108" s="77" t="s">
        <v>189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188</v>
      </c>
      <c r="O108" s="39"/>
    </row>
    <row r="109" spans="1:15" ht="18" customHeight="1" x14ac:dyDescent="0.35">
      <c r="A109" s="80" t="s">
        <v>190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191</v>
      </c>
      <c r="O109" s="43">
        <f>IFERROR(O95+O108,"")</f>
        <v>0</v>
      </c>
    </row>
    <row r="110" spans="1:15" ht="15" customHeight="1" x14ac:dyDescent="0.3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3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5">
      <c r="A122" s="77" t="s">
        <v>187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188</v>
      </c>
      <c r="O122" s="39"/>
    </row>
    <row r="123" spans="1:15" ht="15" customHeight="1" x14ac:dyDescent="0.3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3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3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5">
      <c r="A135" s="77" t="s">
        <v>189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188</v>
      </c>
      <c r="O135" s="39"/>
    </row>
    <row r="136" spans="1:15" ht="18" customHeight="1" x14ac:dyDescent="0.35">
      <c r="A136" s="80" t="s">
        <v>190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191</v>
      </c>
      <c r="O136" s="43">
        <f>IFERROR(O122+O135,"")</f>
        <v>0</v>
      </c>
    </row>
    <row r="137" spans="1:15" ht="15" customHeight="1" x14ac:dyDescent="0.3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3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3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3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3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45">
      <c r="A149" s="77" t="s">
        <v>187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188</v>
      </c>
      <c r="O149" s="44"/>
    </row>
    <row r="150" spans="1:15" ht="15" customHeight="1" x14ac:dyDescent="0.3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3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45">
      <c r="A162" s="77" t="s">
        <v>189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188</v>
      </c>
      <c r="O162" s="44"/>
    </row>
    <row r="163" spans="1:15" ht="18" customHeight="1" x14ac:dyDescent="0.35">
      <c r="A163" s="80" t="s">
        <v>190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191</v>
      </c>
      <c r="O163" s="43">
        <f>IFERROR(O149+O162,"")</f>
        <v>0</v>
      </c>
    </row>
    <row r="164" spans="1:15" ht="15" customHeight="1" x14ac:dyDescent="0.3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3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5">
      <c r="A176" s="77" t="s">
        <v>187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188</v>
      </c>
      <c r="O176" s="39"/>
    </row>
    <row r="177" spans="1:15" ht="15" customHeight="1" x14ac:dyDescent="0.3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5">
      <c r="A189" s="77" t="s">
        <v>189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188</v>
      </c>
      <c r="O189" s="39"/>
    </row>
    <row r="190" spans="1:15" ht="18" customHeight="1" x14ac:dyDescent="0.35">
      <c r="A190" s="80" t="s">
        <v>190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191</v>
      </c>
      <c r="O190" s="43">
        <f>IFERROR(O176+O189,"")</f>
        <v>0</v>
      </c>
    </row>
    <row r="191" spans="1:15" ht="15" customHeight="1" x14ac:dyDescent="0.3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5">
      <c r="A203" s="77" t="s">
        <v>187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188</v>
      </c>
      <c r="O203" s="45"/>
    </row>
    <row r="204" spans="1:15" ht="15" customHeight="1" x14ac:dyDescent="0.3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5">
      <c r="A216" s="77" t="s">
        <v>189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188</v>
      </c>
      <c r="O216" s="45"/>
    </row>
    <row r="217" spans="1:15" ht="18" customHeight="1" x14ac:dyDescent="0.35">
      <c r="A217" s="80" t="s">
        <v>190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191</v>
      </c>
      <c r="O217" s="48">
        <f>IFERROR(O203+O216,"")</f>
        <v>0</v>
      </c>
    </row>
    <row r="218" spans="1:15" ht="15" customHeight="1" x14ac:dyDescent="0.3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3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5">
      <c r="A230" s="77" t="s">
        <v>187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188</v>
      </c>
      <c r="O230" s="39"/>
    </row>
    <row r="231" spans="1:15" ht="15" customHeight="1" x14ac:dyDescent="0.3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3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5">
      <c r="A243" s="77" t="s">
        <v>189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188</v>
      </c>
      <c r="O243" s="39"/>
    </row>
    <row r="244" spans="1:15" ht="18" customHeight="1" x14ac:dyDescent="0.35">
      <c r="A244" s="80" t="s">
        <v>190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191</v>
      </c>
      <c r="O244" s="48">
        <f>IFERROR(O230+O243,"")</f>
        <v>0</v>
      </c>
    </row>
    <row r="245" spans="1:15" ht="15" customHeight="1" x14ac:dyDescent="0.3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3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5">
      <c r="A257" s="77" t="s">
        <v>187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188</v>
      </c>
      <c r="O257" s="39"/>
    </row>
    <row r="258" spans="1:15" ht="15" customHeight="1" x14ac:dyDescent="0.3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3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5">
      <c r="A270" s="77" t="s">
        <v>189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188</v>
      </c>
      <c r="O270" s="39"/>
    </row>
    <row r="271" spans="1:15" ht="18" customHeight="1" x14ac:dyDescent="0.35">
      <c r="A271" s="80" t="s">
        <v>190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191</v>
      </c>
      <c r="O271" s="48">
        <f>IFERROR(O257+O270,"")</f>
        <v>0</v>
      </c>
    </row>
    <row r="272" spans="1:15" ht="15" customHeight="1" x14ac:dyDescent="0.3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3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5">
      <c r="A284" s="77" t="s">
        <v>187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188</v>
      </c>
      <c r="O284" s="39"/>
    </row>
    <row r="285" spans="1:15" ht="15" customHeight="1" x14ac:dyDescent="0.3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3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5">
      <c r="A297" s="77" t="s">
        <v>189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188</v>
      </c>
      <c r="O297" s="39"/>
    </row>
    <row r="298" spans="1:15" ht="18" customHeight="1" x14ac:dyDescent="0.35">
      <c r="A298" s="80" t="s">
        <v>190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191</v>
      </c>
      <c r="O298" s="48">
        <f>IFERROR(O284+O297,"")</f>
        <v>0</v>
      </c>
    </row>
    <row r="299" spans="1:15" ht="15" customHeight="1" x14ac:dyDescent="0.3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5">
      <c r="A311" s="77" t="s">
        <v>187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188</v>
      </c>
      <c r="O311" s="39"/>
    </row>
    <row r="312" spans="1:15" ht="15" customHeight="1" x14ac:dyDescent="0.3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5">
      <c r="A324" s="77" t="s">
        <v>189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188</v>
      </c>
      <c r="O324" s="39"/>
    </row>
    <row r="325" spans="1:15" ht="18" customHeight="1" x14ac:dyDescent="0.35">
      <c r="A325" s="80" t="s">
        <v>190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191</v>
      </c>
      <c r="O325" s="48">
        <f>IFERROR(O311+O324,"")</f>
        <v>0</v>
      </c>
    </row>
    <row r="326" spans="1:15" ht="15" customHeight="1" x14ac:dyDescent="0.3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5">
      <c r="A338" s="77" t="s">
        <v>187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188</v>
      </c>
      <c r="O338" s="39"/>
    </row>
    <row r="339" spans="1:15" ht="15" customHeight="1" x14ac:dyDescent="0.3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5">
      <c r="A351" s="77" t="s">
        <v>189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188</v>
      </c>
      <c r="O351" s="39"/>
    </row>
    <row r="352" spans="1:15" ht="18" customHeight="1" x14ac:dyDescent="0.35">
      <c r="A352" s="80" t="s">
        <v>190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191</v>
      </c>
      <c r="O352" s="48">
        <f>IFERROR(O338+O351,"")</f>
        <v>0</v>
      </c>
    </row>
    <row r="353" spans="1:15" ht="15" customHeight="1" x14ac:dyDescent="0.3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3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3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5">
      <c r="A365" s="77" t="s">
        <v>187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188</v>
      </c>
      <c r="O365" s="39"/>
    </row>
    <row r="366" spans="1:15" ht="15" customHeight="1" x14ac:dyDescent="0.3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5">
      <c r="A378" s="77" t="s">
        <v>189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188</v>
      </c>
      <c r="O378" s="39"/>
    </row>
    <row r="379" spans="1:15" ht="18" customHeight="1" x14ac:dyDescent="0.35">
      <c r="A379" s="80" t="s">
        <v>190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191</v>
      </c>
      <c r="O379" s="48">
        <f>IFERROR(O365+O378,"")</f>
        <v>0</v>
      </c>
    </row>
    <row r="380" spans="1:15" ht="15" customHeight="1" x14ac:dyDescent="0.3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5">
      <c r="A392" s="77" t="s">
        <v>187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188</v>
      </c>
      <c r="O392" s="39"/>
    </row>
    <row r="393" spans="1:15" ht="15" customHeight="1" x14ac:dyDescent="0.3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5">
      <c r="A405" s="77" t="s">
        <v>189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188</v>
      </c>
      <c r="O405" s="39"/>
    </row>
    <row r="406" spans="1:15" ht="18" customHeight="1" x14ac:dyDescent="0.35">
      <c r="A406" s="80" t="s">
        <v>190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191</v>
      </c>
      <c r="O406" s="48">
        <f>IFERROR(O392+O405,"")</f>
        <v>0</v>
      </c>
    </row>
    <row r="407" spans="1:15" ht="15" customHeight="1" x14ac:dyDescent="0.3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5">
      <c r="A419" s="77" t="s">
        <v>187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188</v>
      </c>
      <c r="O419" s="39"/>
    </row>
    <row r="420" spans="1:15" ht="15" customHeight="1" x14ac:dyDescent="0.3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5">
      <c r="A432" s="77" t="s">
        <v>189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188</v>
      </c>
      <c r="O432" s="39"/>
    </row>
    <row r="433" spans="1:15" ht="18" customHeight="1" x14ac:dyDescent="0.35">
      <c r="A433" s="80" t="s">
        <v>190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191</v>
      </c>
      <c r="O433" s="48">
        <f>IFERROR(O419+O432,"")</f>
        <v>0</v>
      </c>
    </row>
    <row r="434" spans="1:15" ht="15" customHeight="1" x14ac:dyDescent="0.3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5">
      <c r="A446" s="77" t="s">
        <v>187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188</v>
      </c>
      <c r="O446" s="39"/>
    </row>
    <row r="447" spans="1:15" ht="15" customHeight="1" x14ac:dyDescent="0.3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5">
      <c r="A459" s="77" t="s">
        <v>189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188</v>
      </c>
      <c r="O459" s="39"/>
    </row>
    <row r="460" spans="1:15" ht="18" customHeight="1" x14ac:dyDescent="0.35">
      <c r="A460" s="80" t="s">
        <v>190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191</v>
      </c>
      <c r="O460" s="48">
        <f>IFERROR(O446+O459,"")</f>
        <v>0</v>
      </c>
    </row>
    <row r="461" spans="1:15" ht="15" customHeight="1" x14ac:dyDescent="0.3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3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3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3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5">
      <c r="A473" s="77" t="s">
        <v>187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188</v>
      </c>
      <c r="O473" s="39"/>
    </row>
    <row r="474" spans="1:15" ht="15" customHeight="1" x14ac:dyDescent="0.3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3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5">
      <c r="A486" s="77" t="s">
        <v>189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188</v>
      </c>
      <c r="O486" s="39"/>
    </row>
    <row r="487" spans="1:15" ht="18" customHeight="1" x14ac:dyDescent="0.35">
      <c r="A487" s="80" t="s">
        <v>190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191</v>
      </c>
      <c r="O487" s="48">
        <f>IFERROR(O473+O486,"")</f>
        <v>0</v>
      </c>
    </row>
    <row r="488" spans="1:15" ht="15" customHeight="1" x14ac:dyDescent="0.3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5">
      <c r="A500" s="77" t="s">
        <v>187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188</v>
      </c>
      <c r="O500" s="39"/>
    </row>
    <row r="501" spans="1:15" ht="15" customHeight="1" x14ac:dyDescent="0.3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5">
      <c r="A513" s="77" t="s">
        <v>189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188</v>
      </c>
      <c r="O513" s="39"/>
    </row>
    <row r="514" spans="1:15" ht="18" customHeight="1" x14ac:dyDescent="0.35">
      <c r="A514" s="80" t="s">
        <v>190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191</v>
      </c>
      <c r="O514" s="48">
        <f>IFERROR(O500+O513,"")</f>
        <v>0</v>
      </c>
    </row>
    <row r="515" spans="1:15" ht="15" customHeight="1" x14ac:dyDescent="0.3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5">
      <c r="A527" s="77" t="s">
        <v>187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188</v>
      </c>
      <c r="O527" s="39"/>
    </row>
    <row r="528" spans="1:15" ht="15" customHeight="1" x14ac:dyDescent="0.3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5">
      <c r="A540" s="77" t="s">
        <v>189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188</v>
      </c>
      <c r="O540" s="39"/>
    </row>
    <row r="541" spans="1:15" ht="18" customHeight="1" x14ac:dyDescent="0.35">
      <c r="A541" s="80" t="s">
        <v>190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191</v>
      </c>
      <c r="O541" s="48">
        <f>IFERROR(O527+O540,"")</f>
        <v>0</v>
      </c>
    </row>
    <row r="542" spans="1:15" ht="15" customHeight="1" x14ac:dyDescent="0.3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5">
      <c r="A554" s="77" t="s">
        <v>187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188</v>
      </c>
      <c r="O554" s="39"/>
    </row>
    <row r="555" spans="1:15" ht="15" customHeight="1" x14ac:dyDescent="0.3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5">
      <c r="A567" s="77" t="s">
        <v>189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188</v>
      </c>
      <c r="O567" s="39"/>
    </row>
    <row r="568" spans="1:15" ht="18" customHeight="1" x14ac:dyDescent="0.35">
      <c r="A568" s="80" t="s">
        <v>190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191</v>
      </c>
      <c r="O568" s="48">
        <f>IFERROR(O554+O567,"")</f>
        <v>0</v>
      </c>
    </row>
    <row r="569" spans="1:15" ht="15" customHeight="1" x14ac:dyDescent="0.3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5">
      <c r="A581" s="77" t="s">
        <v>187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188</v>
      </c>
      <c r="O581" s="39"/>
    </row>
    <row r="582" spans="1:15" ht="15" customHeight="1" x14ac:dyDescent="0.3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5">
      <c r="A594" s="77" t="s">
        <v>189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188</v>
      </c>
      <c r="O594" s="39"/>
    </row>
    <row r="595" spans="1:15" ht="18" customHeight="1" x14ac:dyDescent="0.35">
      <c r="A595" s="80" t="s">
        <v>190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191</v>
      </c>
      <c r="O595" s="48">
        <f>IFERROR(O581+O594,"")</f>
        <v>0</v>
      </c>
    </row>
    <row r="596" spans="1:15" ht="15" customHeight="1" x14ac:dyDescent="0.3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5">
      <c r="A608" s="77" t="s">
        <v>187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188</v>
      </c>
      <c r="O608" s="39"/>
    </row>
    <row r="609" spans="1:15" ht="15" customHeight="1" x14ac:dyDescent="0.3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5">
      <c r="A621" s="77" t="s">
        <v>189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188</v>
      </c>
      <c r="O621" s="39"/>
    </row>
    <row r="622" spans="1:15" ht="18" customHeight="1" x14ac:dyDescent="0.35">
      <c r="A622" s="80" t="s">
        <v>190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191</v>
      </c>
      <c r="O622" s="48">
        <f>IFERROR(O608+O621,"")</f>
        <v>0</v>
      </c>
    </row>
    <row r="623" spans="1:15" ht="15" customHeight="1" x14ac:dyDescent="0.3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5">
      <c r="A635" s="77" t="s">
        <v>187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188</v>
      </c>
      <c r="O635" s="39"/>
    </row>
    <row r="636" spans="1:15" ht="15" customHeight="1" x14ac:dyDescent="0.3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5">
      <c r="A648" s="77" t="s">
        <v>189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188</v>
      </c>
      <c r="O648" s="39"/>
    </row>
    <row r="649" spans="1:15" ht="18" customHeight="1" x14ac:dyDescent="0.35">
      <c r="A649" s="80" t="s">
        <v>190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191</v>
      </c>
      <c r="O649" s="48">
        <f>IFERROR(O635+O648,"")</f>
        <v>0</v>
      </c>
    </row>
    <row r="650" spans="1:15" ht="15" customHeight="1" x14ac:dyDescent="0.3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5">
      <c r="A662" s="77" t="s">
        <v>187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188</v>
      </c>
      <c r="O662" s="39"/>
    </row>
    <row r="663" spans="1:15" ht="15" customHeight="1" x14ac:dyDescent="0.3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5">
      <c r="A675" s="77" t="s">
        <v>189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188</v>
      </c>
      <c r="O675" s="39"/>
    </row>
    <row r="676" spans="1:15" ht="18" customHeight="1" x14ac:dyDescent="0.35">
      <c r="A676" s="80" t="s">
        <v>190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191</v>
      </c>
      <c r="O676" s="48">
        <f>IFERROR(O662+O675,"")</f>
        <v>0</v>
      </c>
    </row>
    <row r="677" spans="1:15" ht="15" customHeight="1" x14ac:dyDescent="0.3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3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3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3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5">
      <c r="A689" s="77" t="s">
        <v>187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188</v>
      </c>
      <c r="O689" s="39"/>
    </row>
    <row r="690" spans="1:15" ht="15" customHeight="1" x14ac:dyDescent="0.3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5">
      <c r="A702" s="77" t="s">
        <v>189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188</v>
      </c>
      <c r="O702" s="39"/>
    </row>
    <row r="703" spans="1:15" ht="18" customHeight="1" x14ac:dyDescent="0.35">
      <c r="A703" s="80" t="s">
        <v>190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191</v>
      </c>
      <c r="O703" s="48">
        <f>IFERROR(O689+O702,"")</f>
        <v>0</v>
      </c>
    </row>
    <row r="704" spans="1:15" ht="15" customHeight="1" x14ac:dyDescent="0.3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5">
      <c r="A716" s="77" t="s">
        <v>187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188</v>
      </c>
      <c r="O716" s="39"/>
    </row>
    <row r="717" spans="1:15" ht="15" customHeight="1" x14ac:dyDescent="0.3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5">
      <c r="A729" s="77" t="s">
        <v>189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188</v>
      </c>
      <c r="O729" s="39"/>
    </row>
    <row r="730" spans="1:15" ht="18" customHeight="1" x14ac:dyDescent="0.35">
      <c r="A730" s="80" t="s">
        <v>190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191</v>
      </c>
      <c r="O730" s="48">
        <f>IFERROR(O716+O729,"")</f>
        <v>0</v>
      </c>
    </row>
    <row r="731" spans="1:15" ht="15" customHeight="1" x14ac:dyDescent="0.3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5">
      <c r="A743" s="77" t="s">
        <v>187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188</v>
      </c>
      <c r="O743" s="39"/>
    </row>
    <row r="744" spans="1:15" ht="15" customHeight="1" x14ac:dyDescent="0.3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5">
      <c r="A756" s="77" t="s">
        <v>189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188</v>
      </c>
      <c r="O756" s="39"/>
    </row>
    <row r="757" spans="1:15" ht="18" customHeight="1" x14ac:dyDescent="0.35">
      <c r="A757" s="80" t="s">
        <v>190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191</v>
      </c>
      <c r="O757" s="48">
        <f>IFERROR(O743+O756,"")</f>
        <v>0</v>
      </c>
    </row>
    <row r="758" spans="1:15" ht="15" customHeight="1" x14ac:dyDescent="0.3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5">
      <c r="A770" s="77" t="s">
        <v>187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188</v>
      </c>
      <c r="O770" s="39"/>
    </row>
    <row r="771" spans="1:15" ht="15" customHeight="1" x14ac:dyDescent="0.3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5">
      <c r="A783" s="77" t="s">
        <v>189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188</v>
      </c>
      <c r="O783" s="39"/>
    </row>
    <row r="784" spans="1:15" ht="18" customHeight="1" x14ac:dyDescent="0.35">
      <c r="A784" s="80" t="s">
        <v>190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191</v>
      </c>
      <c r="O784" s="48">
        <f>IFERROR(O770+O783,"")</f>
        <v>0</v>
      </c>
    </row>
    <row r="785" spans="1:15" ht="15" customHeight="1" x14ac:dyDescent="0.3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5">
      <c r="A797" s="77" t="s">
        <v>187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188</v>
      </c>
      <c r="O797" s="39"/>
    </row>
    <row r="798" spans="1:15" ht="15" customHeight="1" x14ac:dyDescent="0.3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5">
      <c r="A810" s="77" t="s">
        <v>189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188</v>
      </c>
      <c r="O810" s="39"/>
    </row>
    <row r="811" spans="1:15" ht="18" customHeight="1" x14ac:dyDescent="0.35">
      <c r="A811" s="80" t="s">
        <v>190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D15:D26 D3:D13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H11" sqref="H10:H11"/>
    </sheetView>
  </sheetViews>
  <sheetFormatPr defaultColWidth="8.54296875" defaultRowHeight="14.5" x14ac:dyDescent="0.35"/>
  <cols>
    <col min="1" max="1" width="13" style="75" customWidth="1"/>
    <col min="2" max="2" width="9" style="20" customWidth="1"/>
    <col min="3" max="3" width="14" style="20" customWidth="1"/>
    <col min="4" max="5" width="16.1796875" style="20" customWidth="1"/>
    <col min="6" max="6" width="13" style="20" customWidth="1"/>
    <col min="7" max="7" width="14" style="20" customWidth="1"/>
    <col min="8" max="8" width="29.453125" style="20" customWidth="1"/>
    <col min="9" max="9" width="25" style="20" customWidth="1"/>
    <col min="10" max="10" width="48.54296875" style="20" customWidth="1"/>
    <col min="11" max="11" width="15.453125" style="20" customWidth="1"/>
    <col min="12" max="12" width="12" style="21" customWidth="1"/>
    <col min="13" max="13" width="14" style="20" customWidth="1"/>
    <col min="14" max="14" width="99.453125" style="20" customWidth="1"/>
    <col min="15" max="15" width="20" customWidth="1"/>
  </cols>
  <sheetData>
    <row r="1" spans="1:15" ht="37.5" customHeight="1" x14ac:dyDescent="0.35">
      <c r="A1" s="68" t="s">
        <v>7</v>
      </c>
      <c r="B1" s="23" t="s">
        <v>175</v>
      </c>
      <c r="C1" s="23" t="s">
        <v>12</v>
      </c>
      <c r="D1" s="22" t="s">
        <v>13</v>
      </c>
      <c r="E1" s="22" t="s">
        <v>176</v>
      </c>
      <c r="F1" s="23" t="s">
        <v>177</v>
      </c>
      <c r="G1" s="23" t="s">
        <v>178</v>
      </c>
      <c r="H1" s="23" t="s">
        <v>14</v>
      </c>
      <c r="I1" s="23" t="s">
        <v>15</v>
      </c>
      <c r="J1" s="23" t="s">
        <v>179</v>
      </c>
      <c r="K1" s="23" t="s">
        <v>180</v>
      </c>
      <c r="L1" s="23" t="s">
        <v>181</v>
      </c>
      <c r="M1" s="24" t="s">
        <v>182</v>
      </c>
      <c r="N1" s="23" t="s">
        <v>183</v>
      </c>
      <c r="O1" s="23" t="s">
        <v>184</v>
      </c>
    </row>
    <row r="2" spans="1:15" ht="15" customHeight="1" x14ac:dyDescent="0.35">
      <c r="A2" s="69">
        <v>46204</v>
      </c>
      <c r="B2" s="25">
        <v>0.33333333333333298</v>
      </c>
      <c r="C2" s="26" t="s">
        <v>29</v>
      </c>
      <c r="D2" s="59" t="s">
        <v>30</v>
      </c>
      <c r="E2" s="59"/>
      <c r="F2" s="27">
        <v>0</v>
      </c>
      <c r="G2" s="28" t="str">
        <f t="shared" ref="G2:G13" si="0">IF(F2="","",IF(E2="PC 17",F2*4.2,IF(E2="PC 19",F2*5,"")))</f>
        <v/>
      </c>
      <c r="H2" s="26"/>
      <c r="I2" s="26"/>
      <c r="J2" s="26"/>
      <c r="K2" s="29"/>
      <c r="L2" s="29"/>
      <c r="M2" s="35" t="str">
        <f t="shared" ref="M2:M13" ca="1" si="1">IFERROR(IF(K2="","",IF(L2="",MOD(NOW()-K2,1),IF(L2&gt;=K2,L2-K2,L2+1-K2))),"")</f>
        <v/>
      </c>
      <c r="N2" s="46"/>
      <c r="O2" s="31"/>
    </row>
    <row r="3" spans="1:15" ht="15" customHeight="1" x14ac:dyDescent="0.3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/>
      <c r="F3" s="27"/>
      <c r="G3" s="34" t="str">
        <f t="shared" si="0"/>
        <v/>
      </c>
      <c r="H3" s="33"/>
      <c r="I3" s="33"/>
      <c r="J3" s="33"/>
      <c r="K3" s="29"/>
      <c r="L3" s="29"/>
      <c r="M3" s="30" t="str">
        <f t="shared" ca="1" si="1"/>
        <v/>
      </c>
      <c r="N3" s="46"/>
      <c r="O3" s="31"/>
    </row>
    <row r="4" spans="1:15" ht="15" customHeight="1" x14ac:dyDescent="0.35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/>
      <c r="F4" s="27"/>
      <c r="G4" s="28" t="str">
        <f t="shared" si="0"/>
        <v/>
      </c>
      <c r="H4" s="26"/>
      <c r="I4" s="26"/>
      <c r="J4" s="26"/>
      <c r="K4" s="29"/>
      <c r="L4" s="29"/>
      <c r="M4" s="35" t="str">
        <f t="shared" ca="1" si="1"/>
        <v/>
      </c>
      <c r="N4" s="46"/>
      <c r="O4" s="31"/>
    </row>
    <row r="5" spans="1:15" ht="15" customHeight="1" x14ac:dyDescent="0.35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35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35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35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35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35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35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35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35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5">
      <c r="A14" s="77" t="s">
        <v>187</v>
      </c>
      <c r="B14" s="78"/>
      <c r="C14" s="78"/>
      <c r="D14" s="78"/>
      <c r="E14" s="79"/>
      <c r="F14" s="36">
        <f>SUM(F2:F13)</f>
        <v>0</v>
      </c>
      <c r="G14" s="36">
        <f>SUM(G2:G13)</f>
        <v>0</v>
      </c>
      <c r="H14" s="37"/>
      <c r="I14" s="37"/>
      <c r="J14" s="37"/>
      <c r="K14" s="37"/>
      <c r="L14" s="37"/>
      <c r="M14" s="38">
        <f ca="1">IFERROR(SUM(M2:M13),"")</f>
        <v>0</v>
      </c>
      <c r="N14" s="36" t="s">
        <v>188</v>
      </c>
      <c r="O14" s="54"/>
    </row>
    <row r="15" spans="1:15" ht="15" customHeight="1" x14ac:dyDescent="0.35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 x14ac:dyDescent="0.35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35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 x14ac:dyDescent="0.35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35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 x14ac:dyDescent="0.35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35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 x14ac:dyDescent="0.35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35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 x14ac:dyDescent="0.35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35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 x14ac:dyDescent="0.35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 x14ac:dyDescent="0.5">
      <c r="A27" s="77" t="s">
        <v>189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188</v>
      </c>
      <c r="O27" s="54"/>
    </row>
    <row r="28" spans="1:15" ht="18" customHeight="1" x14ac:dyDescent="0.35">
      <c r="A28" s="80" t="s">
        <v>190</v>
      </c>
      <c r="B28" s="81"/>
      <c r="C28" s="81"/>
      <c r="D28" s="81"/>
      <c r="E28" s="82"/>
      <c r="F28" s="40">
        <f>F14+F27</f>
        <v>0</v>
      </c>
      <c r="G28" s="40">
        <f>G14+G27</f>
        <v>0</v>
      </c>
      <c r="H28" s="41"/>
      <c r="I28" s="41"/>
      <c r="J28" s="41"/>
      <c r="K28" s="41"/>
      <c r="L28" s="41"/>
      <c r="M28" s="42">
        <f ca="1">IFERROR(M14+M27,"")</f>
        <v>0</v>
      </c>
      <c r="N28" s="40" t="s">
        <v>191</v>
      </c>
      <c r="O28" s="43">
        <f>IFERROR(O14+O27,"")</f>
        <v>0</v>
      </c>
    </row>
    <row r="29" spans="1:15" ht="15" customHeight="1" x14ac:dyDescent="0.35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 x14ac:dyDescent="0.35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 x14ac:dyDescent="0.35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 x14ac:dyDescent="0.35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 x14ac:dyDescent="0.35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35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35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35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35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35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35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35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5">
      <c r="A41" s="77" t="s">
        <v>187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188</v>
      </c>
      <c r="O41" s="54"/>
    </row>
    <row r="42" spans="1:15" ht="15" customHeight="1" x14ac:dyDescent="0.35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 x14ac:dyDescent="0.35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 x14ac:dyDescent="0.35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 x14ac:dyDescent="0.35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 x14ac:dyDescent="0.35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 x14ac:dyDescent="0.35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 x14ac:dyDescent="0.35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 x14ac:dyDescent="0.35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 x14ac:dyDescent="0.35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 x14ac:dyDescent="0.35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 x14ac:dyDescent="0.35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 x14ac:dyDescent="0.35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 x14ac:dyDescent="0.5">
      <c r="A54" s="77" t="s">
        <v>189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188</v>
      </c>
      <c r="O54" s="54"/>
    </row>
    <row r="55" spans="1:15" ht="18" customHeight="1" x14ac:dyDescent="0.35">
      <c r="A55" s="80" t="s">
        <v>190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191</v>
      </c>
      <c r="O55" s="43">
        <f>IFERROR(O41+O54,"")</f>
        <v>0</v>
      </c>
    </row>
    <row r="56" spans="1:15" ht="15" customHeight="1" x14ac:dyDescent="0.35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 x14ac:dyDescent="0.35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 x14ac:dyDescent="0.35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 x14ac:dyDescent="0.35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35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35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35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35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35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35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35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35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5">
      <c r="A68" s="77" t="s">
        <v>187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188</v>
      </c>
      <c r="O68" s="54"/>
    </row>
    <row r="69" spans="1:15" ht="15" customHeight="1" x14ac:dyDescent="0.35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 x14ac:dyDescent="0.35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 x14ac:dyDescent="0.35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35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35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35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35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35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35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35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35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35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5">
      <c r="A81" s="77" t="s">
        <v>189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188</v>
      </c>
      <c r="O81" s="54"/>
    </row>
    <row r="82" spans="1:15" ht="18" customHeight="1" x14ac:dyDescent="0.35">
      <c r="A82" s="80" t="s">
        <v>190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191</v>
      </c>
      <c r="O82" s="43">
        <f>IFERROR(O68+O81,"")</f>
        <v>0</v>
      </c>
    </row>
    <row r="83" spans="1:15" ht="15" customHeight="1" x14ac:dyDescent="0.35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 x14ac:dyDescent="0.35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 x14ac:dyDescent="0.35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 x14ac:dyDescent="0.35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35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35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35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35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35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35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35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35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5">
      <c r="A95" s="77" t="s">
        <v>187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188</v>
      </c>
      <c r="O95" s="54"/>
    </row>
    <row r="96" spans="1:15" ht="15" customHeight="1" x14ac:dyDescent="0.3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 x14ac:dyDescent="0.3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 x14ac:dyDescent="0.3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 x14ac:dyDescent="0.3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3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3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3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3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3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3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3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3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5">
      <c r="A108" s="77" t="s">
        <v>189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188</v>
      </c>
      <c r="O108" s="54"/>
    </row>
    <row r="109" spans="1:15" ht="18" customHeight="1" x14ac:dyDescent="0.35">
      <c r="A109" s="80" t="s">
        <v>190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191</v>
      </c>
      <c r="O109" s="43">
        <f>IFERROR(O95+O108,"")</f>
        <v>0</v>
      </c>
    </row>
    <row r="110" spans="1:15" ht="15" customHeight="1" x14ac:dyDescent="0.3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 x14ac:dyDescent="0.3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 x14ac:dyDescent="0.3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3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3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3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3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3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3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3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3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3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5">
      <c r="A122" s="77" t="s">
        <v>187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188</v>
      </c>
      <c r="O122" s="54"/>
    </row>
    <row r="123" spans="1:15" ht="15" customHeight="1" x14ac:dyDescent="0.3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 x14ac:dyDescent="0.3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 x14ac:dyDescent="0.3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 x14ac:dyDescent="0.3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 x14ac:dyDescent="0.3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 x14ac:dyDescent="0.3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 x14ac:dyDescent="0.3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 x14ac:dyDescent="0.3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 x14ac:dyDescent="0.3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3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3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3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5">
      <c r="A135" s="77" t="s">
        <v>189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188</v>
      </c>
      <c r="O135" s="54"/>
    </row>
    <row r="136" spans="1:15" ht="18" customHeight="1" x14ac:dyDescent="0.35">
      <c r="A136" s="80" t="s">
        <v>190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191</v>
      </c>
      <c r="O136" s="43">
        <f>IFERROR(O122+O135,"")</f>
        <v>0</v>
      </c>
    </row>
    <row r="137" spans="1:15" ht="15" customHeight="1" x14ac:dyDescent="0.3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 x14ac:dyDescent="0.3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 x14ac:dyDescent="0.3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 x14ac:dyDescent="0.3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 x14ac:dyDescent="0.3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3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3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3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3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3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3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3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5">
      <c r="A149" s="77" t="s">
        <v>187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188</v>
      </c>
      <c r="O149" s="54"/>
    </row>
    <row r="150" spans="1:15" ht="15" customHeight="1" x14ac:dyDescent="0.3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 x14ac:dyDescent="0.3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 x14ac:dyDescent="0.3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 x14ac:dyDescent="0.3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3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3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3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3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3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3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3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3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5">
      <c r="A162" s="77" t="s">
        <v>189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188</v>
      </c>
      <c r="O162" s="54"/>
    </row>
    <row r="163" spans="1:15" ht="18" customHeight="1" x14ac:dyDescent="0.35">
      <c r="A163" s="80" t="s">
        <v>190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191</v>
      </c>
      <c r="O163" s="43">
        <f>IFERROR(O149+O162,"")</f>
        <v>0</v>
      </c>
    </row>
    <row r="164" spans="1:15" ht="15" customHeight="1" x14ac:dyDescent="0.3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 x14ac:dyDescent="0.3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3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3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3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3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3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3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3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3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3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3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35">
      <c r="A176" s="77" t="s">
        <v>187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188</v>
      </c>
      <c r="O176" s="39"/>
    </row>
    <row r="177" spans="1:15" ht="15" customHeight="1" x14ac:dyDescent="0.3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 x14ac:dyDescent="0.3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3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3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3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3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3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3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3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3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3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3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35">
      <c r="A189" s="77" t="s">
        <v>189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188</v>
      </c>
      <c r="O189" s="39"/>
    </row>
    <row r="190" spans="1:15" ht="18" customHeight="1" x14ac:dyDescent="0.35">
      <c r="A190" s="80" t="s">
        <v>190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191</v>
      </c>
      <c r="O190" s="43">
        <f>IFERROR(O176+O189,"")</f>
        <v>0</v>
      </c>
    </row>
    <row r="191" spans="1:15" ht="15" customHeight="1" x14ac:dyDescent="0.3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 x14ac:dyDescent="0.3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3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3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3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3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3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3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3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3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3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3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35">
      <c r="A203" s="77" t="s">
        <v>187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188</v>
      </c>
      <c r="O203" s="45"/>
    </row>
    <row r="204" spans="1:15" ht="15" customHeight="1" x14ac:dyDescent="0.3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5">
      <c r="A216" s="77" t="s">
        <v>189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188</v>
      </c>
      <c r="O216" s="45"/>
    </row>
    <row r="217" spans="1:15" ht="18" customHeight="1" x14ac:dyDescent="0.35">
      <c r="A217" s="80" t="s">
        <v>190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191</v>
      </c>
      <c r="O217" s="48">
        <f>IFERROR(O203+O216,"")</f>
        <v>0</v>
      </c>
    </row>
    <row r="218" spans="1:15" ht="15" customHeight="1" x14ac:dyDescent="0.3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3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5">
      <c r="A230" s="77" t="s">
        <v>187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188</v>
      </c>
      <c r="O230" s="39"/>
    </row>
    <row r="231" spans="1:15" ht="15" customHeight="1" x14ac:dyDescent="0.3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3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5">
      <c r="A243" s="77" t="s">
        <v>189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188</v>
      </c>
      <c r="O243" s="39"/>
    </row>
    <row r="244" spans="1:15" ht="18" customHeight="1" x14ac:dyDescent="0.35">
      <c r="A244" s="80" t="s">
        <v>190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191</v>
      </c>
      <c r="O244" s="48">
        <f>IFERROR(O230+O243,"")</f>
        <v>0</v>
      </c>
    </row>
    <row r="245" spans="1:15" ht="15" customHeight="1" x14ac:dyDescent="0.3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3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5">
      <c r="A257" s="77" t="s">
        <v>187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188</v>
      </c>
      <c r="O257" s="39"/>
    </row>
    <row r="258" spans="1:15" ht="15" customHeight="1" x14ac:dyDescent="0.3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3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5">
      <c r="A270" s="77" t="s">
        <v>189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188</v>
      </c>
      <c r="O270" s="39"/>
    </row>
    <row r="271" spans="1:15" ht="18" customHeight="1" x14ac:dyDescent="0.35">
      <c r="A271" s="80" t="s">
        <v>190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191</v>
      </c>
      <c r="O271" s="48">
        <f>IFERROR(O257+O270,"")</f>
        <v>0</v>
      </c>
    </row>
    <row r="272" spans="1:15" ht="15" customHeight="1" x14ac:dyDescent="0.3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3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5">
      <c r="A284" s="77" t="s">
        <v>187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188</v>
      </c>
      <c r="O284" s="39"/>
    </row>
    <row r="285" spans="1:15" ht="15" customHeight="1" x14ac:dyDescent="0.3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3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5">
      <c r="A297" s="77" t="s">
        <v>189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188</v>
      </c>
      <c r="O297" s="39"/>
    </row>
    <row r="298" spans="1:15" ht="18" customHeight="1" x14ac:dyDescent="0.35">
      <c r="A298" s="80" t="s">
        <v>190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191</v>
      </c>
      <c r="O298" s="48">
        <f>IFERROR(O284+O297,"")</f>
        <v>0</v>
      </c>
    </row>
    <row r="299" spans="1:15" ht="15" customHeight="1" x14ac:dyDescent="0.3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5">
      <c r="A311" s="77" t="s">
        <v>187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188</v>
      </c>
      <c r="O311" s="39"/>
    </row>
    <row r="312" spans="1:15" ht="15" customHeight="1" x14ac:dyDescent="0.3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5">
      <c r="A324" s="77" t="s">
        <v>189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188</v>
      </c>
      <c r="O324" s="39"/>
    </row>
    <row r="325" spans="1:15" ht="18" customHeight="1" x14ac:dyDescent="0.35">
      <c r="A325" s="80" t="s">
        <v>190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191</v>
      </c>
      <c r="O325" s="48">
        <f>IFERROR(O311+O324,"")</f>
        <v>0</v>
      </c>
    </row>
    <row r="326" spans="1:15" ht="15" customHeight="1" x14ac:dyDescent="0.3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5">
      <c r="A338" s="77" t="s">
        <v>187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188</v>
      </c>
      <c r="O338" s="39"/>
    </row>
    <row r="339" spans="1:15" ht="15" customHeight="1" x14ac:dyDescent="0.3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5">
      <c r="A351" s="77" t="s">
        <v>189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188</v>
      </c>
      <c r="O351" s="39"/>
    </row>
    <row r="352" spans="1:15" ht="18" customHeight="1" x14ac:dyDescent="0.35">
      <c r="A352" s="80" t="s">
        <v>190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191</v>
      </c>
      <c r="O352" s="48">
        <f>IFERROR(O338+O351,"")</f>
        <v>0</v>
      </c>
    </row>
    <row r="353" spans="1:15" ht="15" customHeight="1" x14ac:dyDescent="0.3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5">
      <c r="A365" s="77" t="s">
        <v>187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188</v>
      </c>
      <c r="O365" s="39"/>
    </row>
    <row r="366" spans="1:15" ht="15" customHeight="1" x14ac:dyDescent="0.3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5">
      <c r="A378" s="77" t="s">
        <v>189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188</v>
      </c>
      <c r="O378" s="39"/>
    </row>
    <row r="379" spans="1:15" ht="18" customHeight="1" x14ac:dyDescent="0.35">
      <c r="A379" s="80" t="s">
        <v>190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191</v>
      </c>
      <c r="O379" s="48">
        <f>IFERROR(O365+O378,"")</f>
        <v>0</v>
      </c>
    </row>
    <row r="380" spans="1:15" ht="15" customHeight="1" x14ac:dyDescent="0.3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5">
      <c r="A392" s="77" t="s">
        <v>187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188</v>
      </c>
      <c r="O392" s="39"/>
    </row>
    <row r="393" spans="1:15" ht="15" customHeight="1" x14ac:dyDescent="0.3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5">
      <c r="A405" s="77" t="s">
        <v>189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188</v>
      </c>
      <c r="O405" s="39"/>
    </row>
    <row r="406" spans="1:15" ht="18" customHeight="1" x14ac:dyDescent="0.35">
      <c r="A406" s="80" t="s">
        <v>190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191</v>
      </c>
      <c r="O406" s="48">
        <f>IFERROR(O392+O405,"")</f>
        <v>0</v>
      </c>
    </row>
    <row r="407" spans="1:15" ht="15" customHeight="1" x14ac:dyDescent="0.3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5">
      <c r="A419" s="77" t="s">
        <v>187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188</v>
      </c>
      <c r="O419" s="39"/>
    </row>
    <row r="420" spans="1:15" ht="15" customHeight="1" x14ac:dyDescent="0.3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5">
      <c r="A432" s="77" t="s">
        <v>189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188</v>
      </c>
      <c r="O432" s="39"/>
    </row>
    <row r="433" spans="1:15" ht="18" customHeight="1" x14ac:dyDescent="0.35">
      <c r="A433" s="80" t="s">
        <v>190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191</v>
      </c>
      <c r="O433" s="48">
        <f>IFERROR(O419+O432,"")</f>
        <v>0</v>
      </c>
    </row>
    <row r="434" spans="1:15" ht="15" customHeight="1" x14ac:dyDescent="0.3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5">
      <c r="A446" s="77" t="s">
        <v>187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188</v>
      </c>
      <c r="O446" s="39"/>
    </row>
    <row r="447" spans="1:15" ht="15" customHeight="1" x14ac:dyDescent="0.3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5">
      <c r="A459" s="77" t="s">
        <v>189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188</v>
      </c>
      <c r="O459" s="39"/>
    </row>
    <row r="460" spans="1:15" ht="18" customHeight="1" x14ac:dyDescent="0.35">
      <c r="A460" s="80" t="s">
        <v>190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191</v>
      </c>
      <c r="O460" s="48">
        <f>IFERROR(O446+O459,"")</f>
        <v>0</v>
      </c>
    </row>
    <row r="461" spans="1:15" ht="15" customHeight="1" x14ac:dyDescent="0.3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3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3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3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5">
      <c r="A473" s="77" t="s">
        <v>187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188</v>
      </c>
      <c r="O473" s="39"/>
    </row>
    <row r="474" spans="1:15" ht="15" customHeight="1" x14ac:dyDescent="0.3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 x14ac:dyDescent="0.3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5">
      <c r="A486" s="77" t="s">
        <v>189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188</v>
      </c>
      <c r="O486" s="39"/>
    </row>
    <row r="487" spans="1:15" ht="18" customHeight="1" x14ac:dyDescent="0.35">
      <c r="A487" s="80" t="s">
        <v>190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191</v>
      </c>
      <c r="O487" s="48">
        <f>IFERROR(O473+O486,"")</f>
        <v>0</v>
      </c>
    </row>
    <row r="488" spans="1:15" ht="15" customHeight="1" x14ac:dyDescent="0.3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5">
      <c r="A500" s="77" t="s">
        <v>187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188</v>
      </c>
      <c r="O500" s="39"/>
    </row>
    <row r="501" spans="1:15" ht="15" customHeight="1" x14ac:dyDescent="0.3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5">
      <c r="A513" s="77" t="s">
        <v>189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188</v>
      </c>
      <c r="O513" s="39"/>
    </row>
    <row r="514" spans="1:15" ht="18" customHeight="1" x14ac:dyDescent="0.35">
      <c r="A514" s="80" t="s">
        <v>190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191</v>
      </c>
      <c r="O514" s="48">
        <f>IFERROR(O500+O513,"")</f>
        <v>0</v>
      </c>
    </row>
    <row r="515" spans="1:15" ht="15" customHeight="1" x14ac:dyDescent="0.3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5">
      <c r="A527" s="77" t="s">
        <v>187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188</v>
      </c>
      <c r="O527" s="39"/>
    </row>
    <row r="528" spans="1:15" ht="15" customHeight="1" x14ac:dyDescent="0.3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5">
      <c r="A540" s="77" t="s">
        <v>189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188</v>
      </c>
      <c r="O540" s="39"/>
    </row>
    <row r="541" spans="1:15" ht="18" customHeight="1" x14ac:dyDescent="0.35">
      <c r="A541" s="80" t="s">
        <v>190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191</v>
      </c>
      <c r="O541" s="48">
        <f>IFERROR(O527+O540,"")</f>
        <v>0</v>
      </c>
    </row>
    <row r="542" spans="1:15" ht="15" customHeight="1" x14ac:dyDescent="0.3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5">
      <c r="A554" s="77" t="s">
        <v>187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188</v>
      </c>
      <c r="O554" s="39"/>
    </row>
    <row r="555" spans="1:15" ht="15" customHeight="1" x14ac:dyDescent="0.3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5">
      <c r="A567" s="77" t="s">
        <v>189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188</v>
      </c>
      <c r="O567" s="39"/>
    </row>
    <row r="568" spans="1:15" ht="18" customHeight="1" x14ac:dyDescent="0.35">
      <c r="A568" s="80" t="s">
        <v>190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191</v>
      </c>
      <c r="O568" s="48">
        <f>IFERROR(O554+O567,"")</f>
        <v>0</v>
      </c>
    </row>
    <row r="569" spans="1:15" ht="15" customHeight="1" x14ac:dyDescent="0.3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5">
      <c r="A581" s="77" t="s">
        <v>187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188</v>
      </c>
      <c r="O581" s="39"/>
    </row>
    <row r="582" spans="1:15" ht="15" customHeight="1" x14ac:dyDescent="0.3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5">
      <c r="A594" s="77" t="s">
        <v>189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188</v>
      </c>
      <c r="O594" s="39"/>
    </row>
    <row r="595" spans="1:15" ht="18" customHeight="1" x14ac:dyDescent="0.35">
      <c r="A595" s="80" t="s">
        <v>190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191</v>
      </c>
      <c r="O595" s="48">
        <f>IFERROR(O581+O594,"")</f>
        <v>0</v>
      </c>
    </row>
    <row r="596" spans="1:15" ht="15" customHeight="1" x14ac:dyDescent="0.3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5">
      <c r="A608" s="77" t="s">
        <v>187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188</v>
      </c>
      <c r="O608" s="39"/>
    </row>
    <row r="609" spans="1:15" ht="15" customHeight="1" x14ac:dyDescent="0.3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5">
      <c r="A621" s="77" t="s">
        <v>189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188</v>
      </c>
      <c r="O621" s="39"/>
    </row>
    <row r="622" spans="1:15" ht="18" customHeight="1" x14ac:dyDescent="0.35">
      <c r="A622" s="80" t="s">
        <v>190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191</v>
      </c>
      <c r="O622" s="48">
        <f>O608+O621</f>
        <v>0</v>
      </c>
    </row>
    <row r="623" spans="1:15" ht="15" customHeight="1" x14ac:dyDescent="0.3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5">
      <c r="A635" s="77" t="s">
        <v>187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188</v>
      </c>
      <c r="O635" s="45"/>
    </row>
    <row r="636" spans="1:15" ht="15" customHeight="1" x14ac:dyDescent="0.3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5">
      <c r="A648" s="77" t="s">
        <v>189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188</v>
      </c>
      <c r="O648" s="39"/>
    </row>
    <row r="649" spans="1:15" ht="18" customHeight="1" x14ac:dyDescent="0.35">
      <c r="A649" s="80" t="s">
        <v>190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191</v>
      </c>
      <c r="O649" s="48">
        <f>O635+O648</f>
        <v>0</v>
      </c>
    </row>
    <row r="650" spans="1:15" ht="15" customHeight="1" x14ac:dyDescent="0.3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5">
      <c r="A662" s="77" t="s">
        <v>187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188</v>
      </c>
      <c r="O662" s="39"/>
    </row>
    <row r="663" spans="1:15" ht="15" customHeight="1" x14ac:dyDescent="0.3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5">
      <c r="A675" s="77" t="s">
        <v>189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188</v>
      </c>
      <c r="O675" s="39"/>
    </row>
    <row r="676" spans="1:15" ht="18" customHeight="1" x14ac:dyDescent="0.35">
      <c r="A676" s="80" t="s">
        <v>190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191</v>
      </c>
      <c r="O676" s="48">
        <f>IFERROR(O662+O675,"")</f>
        <v>0</v>
      </c>
    </row>
    <row r="677" spans="1:15" ht="15" customHeight="1" x14ac:dyDescent="0.3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3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3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3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5">
      <c r="A689" s="77" t="s">
        <v>187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188</v>
      </c>
      <c r="O689" s="39"/>
    </row>
    <row r="690" spans="1:15" ht="15" customHeight="1" x14ac:dyDescent="0.3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5">
      <c r="A702" s="77" t="s">
        <v>189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188</v>
      </c>
      <c r="O702" s="39"/>
    </row>
    <row r="703" spans="1:15" ht="18" customHeight="1" x14ac:dyDescent="0.35">
      <c r="A703" s="80" t="s">
        <v>190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191</v>
      </c>
      <c r="O703" s="48">
        <f>IFERROR(O689+O702,"")</f>
        <v>0</v>
      </c>
    </row>
    <row r="704" spans="1:15" ht="15" customHeight="1" x14ac:dyDescent="0.3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5">
      <c r="A716" s="77" t="s">
        <v>187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188</v>
      </c>
      <c r="O716" s="39"/>
    </row>
    <row r="717" spans="1:15" ht="15" customHeight="1" x14ac:dyDescent="0.3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5">
      <c r="A729" s="77" t="s">
        <v>189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188</v>
      </c>
      <c r="O729" s="39"/>
    </row>
    <row r="730" spans="1:15" ht="18" customHeight="1" x14ac:dyDescent="0.35">
      <c r="A730" s="80" t="s">
        <v>190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191</v>
      </c>
      <c r="O730" s="48">
        <f>IFERROR(O716+O729,"")</f>
        <v>0</v>
      </c>
    </row>
    <row r="731" spans="1:15" ht="15" customHeight="1" x14ac:dyDescent="0.3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5">
      <c r="A743" s="77" t="s">
        <v>187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188</v>
      </c>
      <c r="O743" s="39"/>
    </row>
    <row r="744" spans="1:15" ht="15" customHeight="1" x14ac:dyDescent="0.3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5">
      <c r="A756" s="77" t="s">
        <v>189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188</v>
      </c>
      <c r="O756" s="39"/>
    </row>
    <row r="757" spans="1:15" ht="18" customHeight="1" x14ac:dyDescent="0.35">
      <c r="A757" s="80" t="s">
        <v>190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191</v>
      </c>
      <c r="O757" s="48">
        <f>IFERROR(O743+O756,"")</f>
        <v>0</v>
      </c>
    </row>
    <row r="758" spans="1:15" ht="15" customHeight="1" x14ac:dyDescent="0.3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5">
      <c r="A770" s="77" t="s">
        <v>187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188</v>
      </c>
      <c r="O770" s="39"/>
    </row>
    <row r="771" spans="1:15" ht="15" customHeight="1" x14ac:dyDescent="0.3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5">
      <c r="A783" s="77" t="s">
        <v>189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188</v>
      </c>
      <c r="O783" s="39"/>
    </row>
    <row r="784" spans="1:15" ht="18" customHeight="1" x14ac:dyDescent="0.35">
      <c r="A784" s="80" t="s">
        <v>190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191</v>
      </c>
      <c r="O784" s="48">
        <f>IFERROR(O770+O783,"")</f>
        <v>0</v>
      </c>
    </row>
    <row r="785" spans="1:15" ht="15" customHeight="1" x14ac:dyDescent="0.3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5">
      <c r="A797" s="77" t="s">
        <v>187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188</v>
      </c>
      <c r="O797" s="39"/>
    </row>
    <row r="798" spans="1:15" ht="15" customHeight="1" x14ac:dyDescent="0.3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5">
      <c r="A810" s="77" t="s">
        <v>189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188</v>
      </c>
      <c r="O810" s="39"/>
    </row>
    <row r="811" spans="1:15" ht="18" customHeight="1" x14ac:dyDescent="0.35">
      <c r="A811" s="80" t="s">
        <v>190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191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" activePane="bottomLeft" state="frozen"/>
      <selection pane="bottomLeft" activeCell="F3" sqref="F3"/>
    </sheetView>
  </sheetViews>
  <sheetFormatPr defaultColWidth="8.54296875" defaultRowHeight="14.5" x14ac:dyDescent="0.3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4296875" style="20" customWidth="1"/>
    <col min="9" max="9" width="30.453125" style="20" customWidth="1"/>
    <col min="10" max="10" width="46.453125" style="20" customWidth="1"/>
    <col min="11" max="11" width="12" style="20" customWidth="1"/>
    <col min="12" max="12" width="16.453125" style="21" customWidth="1"/>
    <col min="13" max="13" width="14" style="20" customWidth="1"/>
    <col min="14" max="14" width="43.54296875" style="20" customWidth="1"/>
    <col min="15" max="15" width="14" customWidth="1"/>
  </cols>
  <sheetData>
    <row r="1" spans="1:15" ht="37.5" customHeight="1" x14ac:dyDescent="0.35">
      <c r="A1" s="68" t="s">
        <v>7</v>
      </c>
      <c r="B1" s="23" t="s">
        <v>175</v>
      </c>
      <c r="C1" s="23" t="s">
        <v>12</v>
      </c>
      <c r="D1" s="22" t="s">
        <v>13</v>
      </c>
      <c r="E1" s="22" t="s">
        <v>176</v>
      </c>
      <c r="F1" s="23" t="s">
        <v>177</v>
      </c>
      <c r="G1" s="23" t="s">
        <v>178</v>
      </c>
      <c r="H1" s="23" t="s">
        <v>14</v>
      </c>
      <c r="I1" s="23" t="s">
        <v>15</v>
      </c>
      <c r="J1" s="23" t="s">
        <v>179</v>
      </c>
      <c r="K1" s="23" t="s">
        <v>180</v>
      </c>
      <c r="L1" s="23" t="s">
        <v>181</v>
      </c>
      <c r="M1" s="24" t="s">
        <v>182</v>
      </c>
      <c r="N1" s="23" t="s">
        <v>183</v>
      </c>
      <c r="O1" s="23" t="s">
        <v>184</v>
      </c>
    </row>
    <row r="2" spans="1:15" ht="15" customHeight="1" x14ac:dyDescent="0.35">
      <c r="A2" s="69">
        <v>46204</v>
      </c>
      <c r="B2" s="25">
        <v>0.33333333333333298</v>
      </c>
      <c r="C2" s="26" t="s">
        <v>29</v>
      </c>
      <c r="D2" s="59" t="s">
        <v>30</v>
      </c>
      <c r="E2" s="59"/>
      <c r="F2" s="27">
        <v>0</v>
      </c>
      <c r="G2" s="28" t="str">
        <f t="shared" ref="G2:G13" si="0">IF(F2="","",IF(E2="PC 17",F2*4.2,IF(E2="PC 19",F2*5,"")))</f>
        <v/>
      </c>
      <c r="H2" s="26"/>
      <c r="I2" s="26"/>
      <c r="J2" s="26"/>
      <c r="K2" s="29"/>
      <c r="L2" s="29"/>
      <c r="M2" s="30" t="str">
        <f t="shared" ref="M2:M13" ca="1" si="1">IFERROR(IF(K2="","",IF(L2="",MOD(NOW()-K2,1),IF(L2&gt;=K2,L2-K2,L2+1-K2))),"")</f>
        <v/>
      </c>
      <c r="N2" s="27"/>
      <c r="O2" s="31"/>
    </row>
    <row r="3" spans="1:15" ht="15" customHeight="1" x14ac:dyDescent="0.3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/>
      <c r="F3" s="27"/>
      <c r="G3" s="34" t="str">
        <f t="shared" si="0"/>
        <v/>
      </c>
      <c r="H3" s="33"/>
      <c r="I3" s="33"/>
      <c r="J3" s="33"/>
      <c r="K3" s="29"/>
      <c r="L3" s="29"/>
      <c r="M3" s="35" t="str">
        <f t="shared" ca="1" si="1"/>
        <v/>
      </c>
      <c r="N3" s="27"/>
      <c r="O3" s="31"/>
    </row>
    <row r="4" spans="1:15" ht="15" customHeight="1" x14ac:dyDescent="0.35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/>
      <c r="F4" s="27"/>
      <c r="G4" s="28" t="str">
        <f t="shared" si="0"/>
        <v/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 x14ac:dyDescent="0.35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 x14ac:dyDescent="0.35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 x14ac:dyDescent="0.35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 x14ac:dyDescent="0.35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35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35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35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35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35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35">
      <c r="A14" s="77" t="s">
        <v>187</v>
      </c>
      <c r="B14" s="78"/>
      <c r="C14" s="78"/>
      <c r="D14" s="78"/>
      <c r="E14" s="79"/>
      <c r="F14" s="36">
        <f>SUM(F2:F13)</f>
        <v>0</v>
      </c>
      <c r="G14" s="36">
        <f>SUM(G2:G13)</f>
        <v>0</v>
      </c>
      <c r="H14" s="37"/>
      <c r="I14" s="37"/>
      <c r="J14" s="37"/>
      <c r="K14" s="37"/>
      <c r="L14" s="37"/>
      <c r="M14" s="38">
        <f ca="1">IFERROR(SUM(M2:M13),"")</f>
        <v>0</v>
      </c>
      <c r="N14" s="36" t="s">
        <v>188</v>
      </c>
      <c r="O14" s="39"/>
    </row>
    <row r="15" spans="1:15" ht="15" customHeight="1" x14ac:dyDescent="0.35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35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35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35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5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5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5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5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5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5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5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5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5">
      <c r="A27" s="77" t="s">
        <v>189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188</v>
      </c>
      <c r="O27" s="39"/>
    </row>
    <row r="28" spans="1:15" ht="18" customHeight="1" x14ac:dyDescent="0.35">
      <c r="A28" s="80" t="s">
        <v>190</v>
      </c>
      <c r="B28" s="81"/>
      <c r="C28" s="81"/>
      <c r="D28" s="81"/>
      <c r="E28" s="82"/>
      <c r="F28" s="40">
        <f>F14+F27</f>
        <v>0</v>
      </c>
      <c r="G28" s="40">
        <f>G14+G27</f>
        <v>0</v>
      </c>
      <c r="H28" s="41"/>
      <c r="I28" s="41"/>
      <c r="J28" s="41"/>
      <c r="K28" s="41"/>
      <c r="L28" s="41"/>
      <c r="M28" s="42">
        <f ca="1">IFERROR(M14+M27,"")</f>
        <v>0</v>
      </c>
      <c r="N28" s="40" t="s">
        <v>191</v>
      </c>
      <c r="O28" s="43">
        <f>IFERROR(O14+O27,"")</f>
        <v>0</v>
      </c>
    </row>
    <row r="29" spans="1:15" ht="15" customHeight="1" x14ac:dyDescent="0.35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 x14ac:dyDescent="0.35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 x14ac:dyDescent="0.35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5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5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5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5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5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5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5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5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5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5">
      <c r="A41" s="77" t="s">
        <v>187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188</v>
      </c>
      <c r="O41" s="39"/>
    </row>
    <row r="42" spans="1:15" ht="15" customHeight="1" x14ac:dyDescent="0.35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 x14ac:dyDescent="0.35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 x14ac:dyDescent="0.35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5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5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5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5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5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5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5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5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5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5">
      <c r="A54" s="77" t="s">
        <v>189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188</v>
      </c>
      <c r="O54" s="39"/>
    </row>
    <row r="55" spans="1:15" ht="18" customHeight="1" x14ac:dyDescent="0.35">
      <c r="A55" s="80" t="s">
        <v>190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191</v>
      </c>
      <c r="O55" s="43">
        <f>IFERROR(O41+O54,"")</f>
        <v>0</v>
      </c>
    </row>
    <row r="56" spans="1:15" ht="15" customHeight="1" x14ac:dyDescent="0.35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35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35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5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5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5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5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5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5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5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5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5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5">
      <c r="A68" s="77" t="s">
        <v>187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188</v>
      </c>
      <c r="O68" s="39"/>
    </row>
    <row r="69" spans="1:15" ht="15" customHeight="1" x14ac:dyDescent="0.35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 x14ac:dyDescent="0.35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 x14ac:dyDescent="0.35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5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5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5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5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5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5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5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5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5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5">
      <c r="A81" s="77" t="s">
        <v>189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188</v>
      </c>
      <c r="O81" s="39"/>
    </row>
    <row r="82" spans="1:15" ht="18" customHeight="1" x14ac:dyDescent="0.35">
      <c r="A82" s="80" t="s">
        <v>190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191</v>
      </c>
      <c r="O82" s="43">
        <f>IFERROR(O68+O81,"")</f>
        <v>0</v>
      </c>
    </row>
    <row r="83" spans="1:15" ht="15" customHeight="1" x14ac:dyDescent="0.35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 x14ac:dyDescent="0.35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35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35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5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5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5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5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5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5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5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5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5">
      <c r="A95" s="77" t="s">
        <v>187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188</v>
      </c>
      <c r="O95" s="39"/>
    </row>
    <row r="96" spans="1:15" ht="15" customHeight="1" x14ac:dyDescent="0.3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3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5">
      <c r="A108" s="77" t="s">
        <v>189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188</v>
      </c>
      <c r="O108" s="39"/>
    </row>
    <row r="109" spans="1:15" ht="18" customHeight="1" x14ac:dyDescent="0.35">
      <c r="A109" s="80" t="s">
        <v>190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191</v>
      </c>
      <c r="O109" s="43">
        <f>IFERROR(O95+O108,"")</f>
        <v>0</v>
      </c>
    </row>
    <row r="110" spans="1:15" ht="15" customHeight="1" x14ac:dyDescent="0.3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3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5">
      <c r="A122" s="77" t="s">
        <v>187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188</v>
      </c>
      <c r="O122" s="39"/>
    </row>
    <row r="123" spans="1:15" ht="15" customHeight="1" x14ac:dyDescent="0.3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3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3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5">
      <c r="A135" s="77" t="s">
        <v>189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188</v>
      </c>
      <c r="O135" s="39"/>
    </row>
    <row r="136" spans="1:15" ht="18" customHeight="1" x14ac:dyDescent="0.35">
      <c r="A136" s="80" t="s">
        <v>190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191</v>
      </c>
      <c r="O136" s="43">
        <f>IFERROR(O122+O135,"")</f>
        <v>0</v>
      </c>
    </row>
    <row r="137" spans="1:15" ht="15" customHeight="1" x14ac:dyDescent="0.3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3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3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3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3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77" t="s">
        <v>187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188</v>
      </c>
      <c r="O149" s="39"/>
    </row>
    <row r="150" spans="1:15" ht="15" customHeight="1" x14ac:dyDescent="0.3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3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77" t="s">
        <v>189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188</v>
      </c>
      <c r="O162" s="39"/>
    </row>
    <row r="163" spans="1:15" ht="18" customHeight="1" x14ac:dyDescent="0.35">
      <c r="A163" s="80" t="s">
        <v>190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191</v>
      </c>
      <c r="O163" s="43">
        <f>IFERROR(O149+O162,"")</f>
        <v>0</v>
      </c>
    </row>
    <row r="164" spans="1:15" ht="15" customHeight="1" x14ac:dyDescent="0.3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3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5">
      <c r="A176" s="77" t="s">
        <v>187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188</v>
      </c>
      <c r="O176" s="39"/>
    </row>
    <row r="177" spans="1:15" ht="15" customHeight="1" x14ac:dyDescent="0.3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5">
      <c r="A189" s="77" t="s">
        <v>189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188</v>
      </c>
      <c r="O189" s="39"/>
    </row>
    <row r="190" spans="1:15" ht="18" customHeight="1" x14ac:dyDescent="0.35">
      <c r="A190" s="80" t="s">
        <v>190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191</v>
      </c>
      <c r="O190" s="43">
        <f>IFERROR(O176+O189,"")</f>
        <v>0</v>
      </c>
    </row>
    <row r="191" spans="1:15" ht="15" customHeight="1" x14ac:dyDescent="0.3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5">
      <c r="A203" s="77" t="s">
        <v>187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188</v>
      </c>
      <c r="O203" s="39"/>
    </row>
    <row r="204" spans="1:15" ht="15" customHeight="1" x14ac:dyDescent="0.3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 x14ac:dyDescent="0.3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 x14ac:dyDescent="0.3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 x14ac:dyDescent="0.3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3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3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3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3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3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3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3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3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35">
      <c r="A216" s="77" t="s">
        <v>189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188</v>
      </c>
      <c r="O216" s="39"/>
    </row>
    <row r="217" spans="1:15" ht="18" customHeight="1" x14ac:dyDescent="0.35">
      <c r="A217" s="80" t="s">
        <v>190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191</v>
      </c>
      <c r="O217" s="48">
        <f>IFERROR(O203+O216,"")</f>
        <v>0</v>
      </c>
    </row>
    <row r="218" spans="1:15" ht="15" customHeight="1" x14ac:dyDescent="0.3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 x14ac:dyDescent="0.3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 x14ac:dyDescent="0.3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 x14ac:dyDescent="0.3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 x14ac:dyDescent="0.3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3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3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3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3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3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3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3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35">
      <c r="A230" s="77" t="s">
        <v>187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188</v>
      </c>
      <c r="O230" s="39"/>
    </row>
    <row r="231" spans="1:15" ht="15" customHeight="1" x14ac:dyDescent="0.3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 x14ac:dyDescent="0.3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 x14ac:dyDescent="0.3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 x14ac:dyDescent="0.3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 x14ac:dyDescent="0.3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3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3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3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3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3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3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3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35">
      <c r="A243" s="77" t="s">
        <v>189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188</v>
      </c>
      <c r="O243" s="39"/>
    </row>
    <row r="244" spans="1:15" ht="18" customHeight="1" x14ac:dyDescent="0.35">
      <c r="A244" s="80" t="s">
        <v>190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191</v>
      </c>
      <c r="O244" s="48">
        <f>IFERROR(O230+O243,"")</f>
        <v>0</v>
      </c>
    </row>
    <row r="245" spans="1:15" ht="15" customHeight="1" x14ac:dyDescent="0.3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 x14ac:dyDescent="0.3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 x14ac:dyDescent="0.3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 x14ac:dyDescent="0.3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 x14ac:dyDescent="0.3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3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3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3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3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3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3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3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35">
      <c r="A257" s="77" t="s">
        <v>187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188</v>
      </c>
      <c r="O257" s="39"/>
    </row>
    <row r="258" spans="1:15" ht="15" customHeight="1" x14ac:dyDescent="0.3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3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 x14ac:dyDescent="0.3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 x14ac:dyDescent="0.3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 x14ac:dyDescent="0.3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 x14ac:dyDescent="0.3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3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3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3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35">
      <c r="A270" s="77" t="s">
        <v>189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188</v>
      </c>
      <c r="O270" s="39"/>
    </row>
    <row r="271" spans="1:15" ht="18" customHeight="1" x14ac:dyDescent="0.35">
      <c r="A271" s="80" t="s">
        <v>190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191</v>
      </c>
      <c r="O271" s="48">
        <f>IFERROR(O257+O270,"")</f>
        <v>0</v>
      </c>
    </row>
    <row r="272" spans="1:15" ht="15" customHeight="1" x14ac:dyDescent="0.3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 x14ac:dyDescent="0.3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 x14ac:dyDescent="0.3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 x14ac:dyDescent="0.3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 x14ac:dyDescent="0.3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 x14ac:dyDescent="0.3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 x14ac:dyDescent="0.3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 x14ac:dyDescent="0.3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3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3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3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3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35">
      <c r="A284" s="77" t="s">
        <v>187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188</v>
      </c>
      <c r="O284" s="39"/>
    </row>
    <row r="285" spans="1:15" ht="15" customHeight="1" x14ac:dyDescent="0.3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 x14ac:dyDescent="0.3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 x14ac:dyDescent="0.3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 x14ac:dyDescent="0.3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 x14ac:dyDescent="0.3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 x14ac:dyDescent="0.3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 x14ac:dyDescent="0.3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 x14ac:dyDescent="0.3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3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3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3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3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35">
      <c r="A297" s="77" t="s">
        <v>189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188</v>
      </c>
      <c r="O297" s="39"/>
    </row>
    <row r="298" spans="1:15" ht="18" customHeight="1" x14ac:dyDescent="0.35">
      <c r="A298" s="80" t="s">
        <v>190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191</v>
      </c>
      <c r="O298" s="48">
        <f>IFERROR(O284+O297,"")</f>
        <v>0</v>
      </c>
    </row>
    <row r="299" spans="1:15" ht="15" customHeight="1" x14ac:dyDescent="0.3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 x14ac:dyDescent="0.3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 x14ac:dyDescent="0.3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 x14ac:dyDescent="0.3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 x14ac:dyDescent="0.3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 x14ac:dyDescent="0.3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3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3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3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3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3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3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35">
      <c r="A311" s="77" t="s">
        <v>187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188</v>
      </c>
      <c r="O311" s="39"/>
    </row>
    <row r="312" spans="1:15" ht="15" customHeight="1" x14ac:dyDescent="0.3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 x14ac:dyDescent="0.3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 x14ac:dyDescent="0.3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 x14ac:dyDescent="0.3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 x14ac:dyDescent="0.3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3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3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3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3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3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3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3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35">
      <c r="A324" s="77" t="s">
        <v>189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188</v>
      </c>
      <c r="O324" s="39"/>
    </row>
    <row r="325" spans="1:15" ht="18" customHeight="1" x14ac:dyDescent="0.35">
      <c r="A325" s="80" t="s">
        <v>190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191</v>
      </c>
      <c r="O325" s="48">
        <f>IFERROR(O311+O324,"")</f>
        <v>0</v>
      </c>
    </row>
    <row r="326" spans="1:15" ht="15" customHeight="1" x14ac:dyDescent="0.3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3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3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3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3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3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3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3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3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3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3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3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35">
      <c r="A338" s="77" t="s">
        <v>187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188</v>
      </c>
      <c r="O338" s="39"/>
    </row>
    <row r="339" spans="1:15" ht="15" customHeight="1" x14ac:dyDescent="0.3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3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3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3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3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3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3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3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3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3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3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3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35">
      <c r="A351" s="77" t="s">
        <v>189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188</v>
      </c>
      <c r="O351" s="39"/>
    </row>
    <row r="352" spans="1:15" ht="18" customHeight="1" x14ac:dyDescent="0.35">
      <c r="A352" s="80" t="s">
        <v>190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191</v>
      </c>
      <c r="O352" s="48">
        <f>IFERROR(O338+O351,"")</f>
        <v>0</v>
      </c>
    </row>
    <row r="353" spans="1:15" ht="15" customHeight="1" x14ac:dyDescent="0.3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3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3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3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3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3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3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3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3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35">
      <c r="A365" s="77" t="s">
        <v>187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188</v>
      </c>
      <c r="O365" s="39"/>
    </row>
    <row r="366" spans="1:15" ht="15" customHeight="1" x14ac:dyDescent="0.3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3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3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3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3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3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3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3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3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3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3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3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35">
      <c r="A378" s="77" t="s">
        <v>189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188</v>
      </c>
      <c r="O378" s="39"/>
    </row>
    <row r="379" spans="1:15" ht="18" customHeight="1" x14ac:dyDescent="0.35">
      <c r="A379" s="80" t="s">
        <v>190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191</v>
      </c>
      <c r="O379" s="48">
        <f>IFERROR(O365+O378,"")</f>
        <v>0</v>
      </c>
    </row>
    <row r="380" spans="1:15" ht="15" customHeight="1" x14ac:dyDescent="0.3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3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3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3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3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3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3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3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3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3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3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3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35">
      <c r="A392" s="77" t="s">
        <v>187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188</v>
      </c>
      <c r="O392" s="39"/>
    </row>
    <row r="393" spans="1:15" ht="15" customHeight="1" x14ac:dyDescent="0.3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3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3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3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3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3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3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3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3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3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3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3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35">
      <c r="A405" s="77" t="s">
        <v>189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188</v>
      </c>
      <c r="O405" s="39"/>
    </row>
    <row r="406" spans="1:15" ht="18" customHeight="1" x14ac:dyDescent="0.35">
      <c r="A406" s="80" t="s">
        <v>190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191</v>
      </c>
      <c r="O406" s="48">
        <f>IFERROR(O392+O405,"")</f>
        <v>0</v>
      </c>
    </row>
    <row r="407" spans="1:15" ht="15" customHeight="1" x14ac:dyDescent="0.3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3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3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3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3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3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3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3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3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3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3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3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 x14ac:dyDescent="0.35">
      <c r="A419" s="77" t="s">
        <v>187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188</v>
      </c>
      <c r="O419" s="39"/>
    </row>
    <row r="420" spans="1:15" ht="15" customHeight="1" x14ac:dyDescent="0.3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 x14ac:dyDescent="0.3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 x14ac:dyDescent="0.3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 x14ac:dyDescent="0.3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3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3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3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3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3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3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3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3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35">
      <c r="A432" s="77" t="s">
        <v>189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188</v>
      </c>
      <c r="O432" s="39"/>
    </row>
    <row r="433" spans="1:15" ht="18" customHeight="1" x14ac:dyDescent="0.35">
      <c r="A433" s="80" t="s">
        <v>190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191</v>
      </c>
      <c r="O433" s="48">
        <f>IFERROR(O419+O432,"")</f>
        <v>0</v>
      </c>
    </row>
    <row r="434" spans="1:15" ht="15" customHeight="1" x14ac:dyDescent="0.3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3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3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3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3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3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3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3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3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3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3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35">
      <c r="A446" s="77" t="s">
        <v>187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188</v>
      </c>
      <c r="O446" s="39"/>
    </row>
    <row r="447" spans="1:15" ht="15" customHeight="1" x14ac:dyDescent="0.3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3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3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3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3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3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3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3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3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3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3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3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35">
      <c r="A459" s="77" t="s">
        <v>189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188</v>
      </c>
      <c r="O459" s="39"/>
    </row>
    <row r="460" spans="1:15" ht="18" customHeight="1" x14ac:dyDescent="0.35">
      <c r="A460" s="80" t="s">
        <v>190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191</v>
      </c>
      <c r="O460" s="48">
        <f>IFERROR(O446+O459,"")</f>
        <v>0</v>
      </c>
    </row>
    <row r="461" spans="1:15" ht="15" customHeight="1" x14ac:dyDescent="0.3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3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3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3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3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3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3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3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3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3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3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3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35">
      <c r="A473" s="77" t="s">
        <v>187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188</v>
      </c>
      <c r="O473" s="39"/>
    </row>
    <row r="474" spans="1:15" ht="15" customHeight="1" x14ac:dyDescent="0.3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3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3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3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3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3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3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3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3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3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3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3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35">
      <c r="A486" s="77" t="s">
        <v>189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188</v>
      </c>
      <c r="O486" s="39"/>
    </row>
    <row r="487" spans="1:15" ht="18" customHeight="1" x14ac:dyDescent="0.35">
      <c r="A487" s="80" t="s">
        <v>190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191</v>
      </c>
      <c r="O487" s="48">
        <f>IFERROR(O473+O486,"")</f>
        <v>0</v>
      </c>
    </row>
    <row r="488" spans="1:15" ht="15" customHeight="1" x14ac:dyDescent="0.3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3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3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3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3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3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3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3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3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3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3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3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35">
      <c r="A500" s="77" t="s">
        <v>187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188</v>
      </c>
      <c r="O500" s="39"/>
    </row>
    <row r="501" spans="1:15" ht="15" customHeight="1" x14ac:dyDescent="0.3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3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3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3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3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3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3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3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3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3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3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3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35">
      <c r="A513" s="77" t="s">
        <v>189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188</v>
      </c>
      <c r="O513" s="39"/>
    </row>
    <row r="514" spans="1:15" ht="18" customHeight="1" x14ac:dyDescent="0.35">
      <c r="A514" s="80" t="s">
        <v>190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191</v>
      </c>
      <c r="O514" s="48">
        <f>IFERROR(O500+O513,"")</f>
        <v>0</v>
      </c>
    </row>
    <row r="515" spans="1:15" ht="15" customHeight="1" x14ac:dyDescent="0.3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3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3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3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3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3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3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3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3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3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3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3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35">
      <c r="A527" s="77" t="s">
        <v>187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188</v>
      </c>
      <c r="O527" s="39"/>
    </row>
    <row r="528" spans="1:15" ht="15" customHeight="1" x14ac:dyDescent="0.3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3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3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3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3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3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3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3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3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3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3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3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35">
      <c r="A540" s="77" t="s">
        <v>189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188</v>
      </c>
      <c r="O540" s="39"/>
    </row>
    <row r="541" spans="1:15" ht="18" customHeight="1" x14ac:dyDescent="0.35">
      <c r="A541" s="80" t="s">
        <v>190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191</v>
      </c>
      <c r="O541" s="48">
        <f>IFERROR(O527+O540,"")</f>
        <v>0</v>
      </c>
    </row>
    <row r="542" spans="1:15" ht="15" customHeight="1" x14ac:dyDescent="0.3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3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3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3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3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3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3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3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3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3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3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3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35">
      <c r="A554" s="77" t="s">
        <v>187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188</v>
      </c>
      <c r="O554" s="39"/>
    </row>
    <row r="555" spans="1:15" ht="15" customHeight="1" x14ac:dyDescent="0.3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3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3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3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3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3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3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3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3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3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3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3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35">
      <c r="A567" s="77" t="s">
        <v>189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188</v>
      </c>
      <c r="O567" s="39"/>
    </row>
    <row r="568" spans="1:15" ht="18" customHeight="1" x14ac:dyDescent="0.35">
      <c r="A568" s="80" t="s">
        <v>190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191</v>
      </c>
      <c r="O568" s="48">
        <f>IFERROR(O554+O567,"")</f>
        <v>0</v>
      </c>
    </row>
    <row r="569" spans="1:15" ht="15" customHeight="1" x14ac:dyDescent="0.3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3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3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3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3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3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3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3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3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3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3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3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35">
      <c r="A581" s="77" t="s">
        <v>187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188</v>
      </c>
      <c r="O581" s="39"/>
    </row>
    <row r="582" spans="1:15" ht="15" customHeight="1" x14ac:dyDescent="0.3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3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3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3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3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3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3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3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3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3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3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3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35">
      <c r="A594" s="77" t="s">
        <v>189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188</v>
      </c>
      <c r="O594" s="39"/>
    </row>
    <row r="595" spans="1:15" ht="18" customHeight="1" x14ac:dyDescent="0.35">
      <c r="A595" s="80" t="s">
        <v>190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191</v>
      </c>
      <c r="O595" s="48">
        <f>IFERROR(O581+O594,"")</f>
        <v>0</v>
      </c>
    </row>
    <row r="596" spans="1:15" ht="15" customHeight="1" x14ac:dyDescent="0.3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3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3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3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3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3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3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3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3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3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3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3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35">
      <c r="A608" s="77" t="s">
        <v>187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188</v>
      </c>
      <c r="O608" s="39"/>
    </row>
    <row r="609" spans="1:15" ht="15" customHeight="1" x14ac:dyDescent="0.3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3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3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3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3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3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3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3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3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3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3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3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35">
      <c r="A621" s="77" t="s">
        <v>189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188</v>
      </c>
      <c r="O621" s="39"/>
    </row>
    <row r="622" spans="1:15" ht="18" customHeight="1" x14ac:dyDescent="0.35">
      <c r="A622" s="80" t="s">
        <v>190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191</v>
      </c>
      <c r="O622" s="48">
        <f>IFERROR(O608+O621,"")</f>
        <v>0</v>
      </c>
    </row>
    <row r="623" spans="1:15" ht="15" customHeight="1" x14ac:dyDescent="0.3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3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3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3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3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3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3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3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3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3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3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3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35">
      <c r="A635" s="77" t="s">
        <v>187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188</v>
      </c>
      <c r="O635" s="39"/>
    </row>
    <row r="636" spans="1:15" ht="15" customHeight="1" x14ac:dyDescent="0.3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3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3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3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3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3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3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3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3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3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3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3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35">
      <c r="A648" s="77" t="s">
        <v>189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188</v>
      </c>
      <c r="O648" s="39"/>
    </row>
    <row r="649" spans="1:15" ht="18" customHeight="1" x14ac:dyDescent="0.35">
      <c r="A649" s="80" t="s">
        <v>190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191</v>
      </c>
      <c r="O649" s="48">
        <f>IFERROR(O635+O648,"")</f>
        <v>0</v>
      </c>
    </row>
    <row r="650" spans="1:15" ht="15" customHeight="1" x14ac:dyDescent="0.3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3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3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3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3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3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3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3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3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3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3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3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35">
      <c r="A662" s="77" t="s">
        <v>187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188</v>
      </c>
      <c r="O662" s="39"/>
    </row>
    <row r="663" spans="1:15" ht="15" customHeight="1" x14ac:dyDescent="0.3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3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3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3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3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3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3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3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3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3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3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3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35">
      <c r="A675" s="77" t="s">
        <v>189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188</v>
      </c>
      <c r="O675" s="39"/>
    </row>
    <row r="676" spans="1:15" ht="18" customHeight="1" x14ac:dyDescent="0.35">
      <c r="A676" s="80" t="s">
        <v>190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191</v>
      </c>
      <c r="O676" s="48">
        <f>IFERROR(O662+O675,"")</f>
        <v>0</v>
      </c>
    </row>
    <row r="677" spans="1:15" ht="15" customHeight="1" x14ac:dyDescent="0.3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3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3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3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3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3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3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3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3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3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3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3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35">
      <c r="A689" s="77" t="s">
        <v>187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188</v>
      </c>
      <c r="O689" s="39"/>
    </row>
    <row r="690" spans="1:15" ht="15" customHeight="1" x14ac:dyDescent="0.3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3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3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3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3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3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3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3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3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3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3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3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35">
      <c r="A702" s="77" t="s">
        <v>189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188</v>
      </c>
      <c r="O702" s="39"/>
    </row>
    <row r="703" spans="1:15" ht="18" customHeight="1" x14ac:dyDescent="0.35">
      <c r="A703" s="80" t="s">
        <v>190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191</v>
      </c>
      <c r="O703" s="48">
        <f>IFERROR(O689+O702,"")</f>
        <v>0</v>
      </c>
    </row>
    <row r="704" spans="1:15" ht="15" customHeight="1" x14ac:dyDescent="0.3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3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3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3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3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3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3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3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3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3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3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3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35">
      <c r="A716" s="77" t="s">
        <v>187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188</v>
      </c>
      <c r="O716" s="39"/>
    </row>
    <row r="717" spans="1:15" ht="15" customHeight="1" x14ac:dyDescent="0.3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3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3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3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3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3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3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3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3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3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3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3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35">
      <c r="A729" s="77" t="s">
        <v>189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188</v>
      </c>
      <c r="O729" s="39"/>
    </row>
    <row r="730" spans="1:15" ht="18" customHeight="1" x14ac:dyDescent="0.35">
      <c r="A730" s="80" t="s">
        <v>190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191</v>
      </c>
      <c r="O730" s="48">
        <f>IFERROR(O716+O729,"")</f>
        <v>0</v>
      </c>
    </row>
    <row r="731" spans="1:15" ht="15" customHeight="1" x14ac:dyDescent="0.3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3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3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3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3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3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3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3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3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3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3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3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35">
      <c r="A743" s="77" t="s">
        <v>187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188</v>
      </c>
      <c r="O743" s="39"/>
    </row>
    <row r="744" spans="1:15" ht="15" customHeight="1" x14ac:dyDescent="0.3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3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3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3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3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3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3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3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3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3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3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3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35">
      <c r="A756" s="77" t="s">
        <v>189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188</v>
      </c>
      <c r="O756" s="39"/>
    </row>
    <row r="757" spans="1:15" ht="18" customHeight="1" x14ac:dyDescent="0.35">
      <c r="A757" s="80" t="s">
        <v>190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191</v>
      </c>
      <c r="O757" s="48">
        <f>IFERROR(O743+O756,"")</f>
        <v>0</v>
      </c>
    </row>
    <row r="758" spans="1:15" ht="15" customHeight="1" x14ac:dyDescent="0.3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3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3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3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3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3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3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3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3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3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3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3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35">
      <c r="A770" s="77" t="s">
        <v>187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188</v>
      </c>
      <c r="O770" s="39"/>
    </row>
    <row r="771" spans="1:15" ht="15" customHeight="1" x14ac:dyDescent="0.3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3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3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3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3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3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3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3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3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3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3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3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35">
      <c r="A783" s="77" t="s">
        <v>189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188</v>
      </c>
      <c r="O783" s="39"/>
    </row>
    <row r="784" spans="1:15" ht="18" customHeight="1" x14ac:dyDescent="0.35">
      <c r="A784" s="80" t="s">
        <v>190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191</v>
      </c>
      <c r="O784" s="48">
        <f>IFERROR(O770+O783,"")</f>
        <v>0</v>
      </c>
    </row>
    <row r="785" spans="1:15" ht="15" customHeight="1" x14ac:dyDescent="0.3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3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3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3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3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3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3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3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3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3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3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3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35">
      <c r="A797" s="77" t="s">
        <v>187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188</v>
      </c>
      <c r="O797" s="39"/>
    </row>
    <row r="798" spans="1:15" ht="15" customHeight="1" x14ac:dyDescent="0.3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3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3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3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3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3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3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3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3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3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3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3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35">
      <c r="A810" s="77" t="s">
        <v>189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188</v>
      </c>
      <c r="O810" s="39"/>
    </row>
    <row r="811" spans="1:15" ht="18" customHeight="1" x14ac:dyDescent="0.35">
      <c r="A811" s="80" t="s">
        <v>190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F3" sqref="F3"/>
    </sheetView>
  </sheetViews>
  <sheetFormatPr defaultColWidth="8.54296875" defaultRowHeight="14.5" x14ac:dyDescent="0.3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796875" style="57" customWidth="1"/>
    <col min="10" max="10" width="52.1796875" style="57" customWidth="1"/>
    <col min="11" max="11" width="18.453125" style="57" customWidth="1"/>
    <col min="12" max="12" width="14" style="58" customWidth="1"/>
    <col min="13" max="13" width="14" style="57" customWidth="1"/>
    <col min="14" max="14" width="126.453125" style="57" customWidth="1"/>
    <col min="15" max="15" width="14" customWidth="1"/>
  </cols>
  <sheetData>
    <row r="1" spans="1:15" ht="37.5" customHeight="1" x14ac:dyDescent="0.35">
      <c r="A1" s="68" t="s">
        <v>7</v>
      </c>
      <c r="B1" s="23" t="s">
        <v>175</v>
      </c>
      <c r="C1" s="23" t="s">
        <v>12</v>
      </c>
      <c r="D1" s="22" t="s">
        <v>13</v>
      </c>
      <c r="E1" s="22" t="s">
        <v>176</v>
      </c>
      <c r="F1" s="23" t="s">
        <v>177</v>
      </c>
      <c r="G1" s="23" t="s">
        <v>178</v>
      </c>
      <c r="H1" s="23" t="s">
        <v>14</v>
      </c>
      <c r="I1" s="23" t="s">
        <v>15</v>
      </c>
      <c r="J1" s="23" t="s">
        <v>179</v>
      </c>
      <c r="K1" s="23" t="s">
        <v>180</v>
      </c>
      <c r="L1" s="23" t="s">
        <v>181</v>
      </c>
      <c r="M1" s="24" t="s">
        <v>182</v>
      </c>
      <c r="N1" s="23" t="s">
        <v>183</v>
      </c>
      <c r="O1" s="23" t="s">
        <v>184</v>
      </c>
    </row>
    <row r="2" spans="1:15" ht="15" customHeight="1" x14ac:dyDescent="0.35">
      <c r="A2" s="69">
        <v>46204</v>
      </c>
      <c r="B2" s="25">
        <v>0.33333333333333298</v>
      </c>
      <c r="C2" s="26" t="s">
        <v>29</v>
      </c>
      <c r="D2" s="59" t="s">
        <v>30</v>
      </c>
      <c r="E2" s="59"/>
      <c r="F2" s="27">
        <v>0</v>
      </c>
      <c r="G2" s="28" t="str">
        <f t="shared" ref="G2:G13" si="0">IF(F2="","",IF(E2="PC 17",F2*4.2,IF(E2="PC 19",F2*5,"")))</f>
        <v/>
      </c>
      <c r="H2" s="26"/>
      <c r="I2" s="26"/>
      <c r="J2" s="26"/>
      <c r="K2" s="29">
        <v>0.29166666666666669</v>
      </c>
      <c r="L2" s="29"/>
      <c r="M2" s="30">
        <f t="shared" ref="M2:M13" ca="1" si="1">IFERROR(IF(K2="","",IF(L2="",MOD(NOW()-K2,1),IF(L2&gt;=K2,L2-K2,L2+1-K2))),"")</f>
        <v>8.628703704016516E-2</v>
      </c>
      <c r="N2" s="27"/>
      <c r="O2" s="60"/>
    </row>
    <row r="3" spans="1:15" ht="15" customHeight="1" x14ac:dyDescent="0.3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/>
      <c r="F3" s="27"/>
      <c r="G3" s="34" t="str">
        <f t="shared" si="0"/>
        <v/>
      </c>
      <c r="H3" s="33"/>
      <c r="I3" s="33"/>
      <c r="J3" s="33"/>
      <c r="K3" s="29"/>
      <c r="L3" s="29"/>
      <c r="M3" s="35" t="str">
        <f t="shared" ca="1" si="1"/>
        <v/>
      </c>
      <c r="N3" s="27"/>
      <c r="O3" s="60"/>
    </row>
    <row r="4" spans="1:15" ht="15" customHeight="1" x14ac:dyDescent="0.35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/>
      <c r="F4" s="27"/>
      <c r="G4" s="28" t="str">
        <f t="shared" si="0"/>
        <v/>
      </c>
      <c r="H4" s="26"/>
      <c r="I4" s="26"/>
      <c r="J4" s="26"/>
      <c r="K4" s="29"/>
      <c r="L4" s="29"/>
      <c r="M4" s="30" t="str">
        <f t="shared" ca="1" si="1"/>
        <v/>
      </c>
      <c r="N4" s="27"/>
      <c r="O4" s="60"/>
    </row>
    <row r="5" spans="1:15" ht="15" customHeight="1" x14ac:dyDescent="0.35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35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35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35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35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35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35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35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35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35">
      <c r="A14" s="77" t="s">
        <v>187</v>
      </c>
      <c r="B14" s="78"/>
      <c r="C14" s="78"/>
      <c r="D14" s="78"/>
      <c r="E14" s="79"/>
      <c r="F14" s="36">
        <f>SUM(F2:F13)</f>
        <v>0</v>
      </c>
      <c r="G14" s="36">
        <f>SUM(G2:G13)</f>
        <v>0</v>
      </c>
      <c r="H14" s="37"/>
      <c r="I14" s="37"/>
      <c r="J14" s="37"/>
      <c r="K14" s="61"/>
      <c r="L14" s="61"/>
      <c r="M14" s="38">
        <f ca="1">IFERROR(SUM(M2:M13),"")</f>
        <v>8.628703704016516E-2</v>
      </c>
      <c r="N14" s="36" t="s">
        <v>188</v>
      </c>
      <c r="O14" s="39"/>
    </row>
    <row r="15" spans="1:15" ht="15" customHeight="1" x14ac:dyDescent="0.35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 x14ac:dyDescent="0.35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 x14ac:dyDescent="0.35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35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35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35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35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35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35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35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35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35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35">
      <c r="A27" s="77" t="s">
        <v>189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188</v>
      </c>
      <c r="O27" s="39"/>
    </row>
    <row r="28" spans="1:15" ht="18" customHeight="1" x14ac:dyDescent="0.35">
      <c r="A28" s="80" t="s">
        <v>190</v>
      </c>
      <c r="B28" s="81"/>
      <c r="C28" s="81"/>
      <c r="D28" s="81"/>
      <c r="E28" s="82"/>
      <c r="F28" s="40">
        <f>F14+F27</f>
        <v>0</v>
      </c>
      <c r="G28" s="40">
        <f>G14+G27</f>
        <v>0</v>
      </c>
      <c r="H28" s="41"/>
      <c r="I28" s="41"/>
      <c r="J28" s="41"/>
      <c r="K28" s="63"/>
      <c r="L28" s="63"/>
      <c r="M28" s="42">
        <f ca="1">IFERROR(M14+M27,"")</f>
        <v>8.628703704016516E-2</v>
      </c>
      <c r="N28" s="40" t="s">
        <v>191</v>
      </c>
      <c r="O28" s="48">
        <f>IFERROR(O14+O27,"")</f>
        <v>0</v>
      </c>
    </row>
    <row r="29" spans="1:15" ht="15" customHeight="1" x14ac:dyDescent="0.35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 x14ac:dyDescent="0.35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 x14ac:dyDescent="0.35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 x14ac:dyDescent="0.35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 x14ac:dyDescent="0.35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 x14ac:dyDescent="0.35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 x14ac:dyDescent="0.35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 x14ac:dyDescent="0.35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 x14ac:dyDescent="0.35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35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35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35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35">
      <c r="A41" s="77" t="s">
        <v>187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188</v>
      </c>
      <c r="O41" s="39"/>
    </row>
    <row r="42" spans="1:15" ht="15" customHeight="1" x14ac:dyDescent="0.35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 x14ac:dyDescent="0.35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 x14ac:dyDescent="0.35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35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 x14ac:dyDescent="0.35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35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 x14ac:dyDescent="0.35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35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 x14ac:dyDescent="0.35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35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 x14ac:dyDescent="0.35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35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 x14ac:dyDescent="0.35">
      <c r="A54" s="77" t="s">
        <v>189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188</v>
      </c>
      <c r="O54" s="39"/>
    </row>
    <row r="55" spans="1:15" ht="18" customHeight="1" x14ac:dyDescent="0.35">
      <c r="A55" s="80" t="s">
        <v>190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191</v>
      </c>
      <c r="O55" s="48">
        <f>IFERROR(O41+O54,"")</f>
        <v>0</v>
      </c>
    </row>
    <row r="56" spans="1:15" ht="15" customHeight="1" x14ac:dyDescent="0.35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 x14ac:dyDescent="0.35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 x14ac:dyDescent="0.35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 x14ac:dyDescent="0.35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 x14ac:dyDescent="0.35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35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35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35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35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35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35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35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35">
      <c r="A68" s="77" t="s">
        <v>187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188</v>
      </c>
      <c r="O68" s="39"/>
    </row>
    <row r="69" spans="1:15" ht="15" customHeight="1" x14ac:dyDescent="0.35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 x14ac:dyDescent="0.35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 x14ac:dyDescent="0.35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 x14ac:dyDescent="0.35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 x14ac:dyDescent="0.35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 x14ac:dyDescent="0.35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 x14ac:dyDescent="0.35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 x14ac:dyDescent="0.35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 x14ac:dyDescent="0.35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 x14ac:dyDescent="0.35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35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35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35">
      <c r="A81" s="77" t="s">
        <v>189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188</v>
      </c>
      <c r="O81" s="39"/>
    </row>
    <row r="82" spans="1:15" ht="18" customHeight="1" x14ac:dyDescent="0.35">
      <c r="A82" s="80" t="s">
        <v>190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191</v>
      </c>
      <c r="O82" s="48">
        <f>IFERROR(O68+O81,"")</f>
        <v>0</v>
      </c>
    </row>
    <row r="83" spans="1:15" ht="15" customHeight="1" x14ac:dyDescent="0.35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 x14ac:dyDescent="0.35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 x14ac:dyDescent="0.35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35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35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35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35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35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35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35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35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35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35">
      <c r="A95" s="77" t="s">
        <v>187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188</v>
      </c>
      <c r="O95" s="39"/>
    </row>
    <row r="96" spans="1:15" ht="15" customHeight="1" x14ac:dyDescent="0.3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 x14ac:dyDescent="0.3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 x14ac:dyDescent="0.3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 x14ac:dyDescent="0.3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3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3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3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3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3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3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3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3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35">
      <c r="A108" s="77" t="s">
        <v>189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188</v>
      </c>
      <c r="O108" s="39"/>
    </row>
    <row r="109" spans="1:15" ht="18" customHeight="1" x14ac:dyDescent="0.35">
      <c r="A109" s="80" t="s">
        <v>190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191</v>
      </c>
      <c r="O109" s="48">
        <f>IFERROR(O95+O108,"")</f>
        <v>0</v>
      </c>
    </row>
    <row r="110" spans="1:15" ht="15" customHeight="1" x14ac:dyDescent="0.3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 x14ac:dyDescent="0.3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 x14ac:dyDescent="0.3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3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3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3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3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3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3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3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3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3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35">
      <c r="A122" s="77" t="s">
        <v>187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188</v>
      </c>
      <c r="O122" s="39"/>
    </row>
    <row r="123" spans="1:15" ht="15" customHeight="1" x14ac:dyDescent="0.3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 x14ac:dyDescent="0.3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 x14ac:dyDescent="0.3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 x14ac:dyDescent="0.3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 x14ac:dyDescent="0.3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 x14ac:dyDescent="0.3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 x14ac:dyDescent="0.3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 x14ac:dyDescent="0.3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 x14ac:dyDescent="0.3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 x14ac:dyDescent="0.3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 x14ac:dyDescent="0.3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 x14ac:dyDescent="0.3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 x14ac:dyDescent="0.35">
      <c r="A135" s="77" t="s">
        <v>189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188</v>
      </c>
      <c r="O135" s="39"/>
    </row>
    <row r="136" spans="1:15" ht="18" customHeight="1" x14ac:dyDescent="0.35">
      <c r="A136" s="80" t="s">
        <v>190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191</v>
      </c>
      <c r="O136" s="48">
        <f>IFERROR(O122+O135,"")</f>
        <v>0</v>
      </c>
    </row>
    <row r="137" spans="1:15" ht="15" customHeight="1" x14ac:dyDescent="0.3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3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3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3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3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77" t="s">
        <v>187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188</v>
      </c>
      <c r="O149" s="39"/>
    </row>
    <row r="150" spans="1:15" ht="15" customHeight="1" x14ac:dyDescent="0.3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3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77" t="s">
        <v>189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188</v>
      </c>
      <c r="O162" s="39"/>
    </row>
    <row r="163" spans="1:15" ht="18" customHeight="1" x14ac:dyDescent="0.35">
      <c r="A163" s="80" t="s">
        <v>190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191</v>
      </c>
      <c r="O163" s="43">
        <f>IFERROR(O149+O162,"")</f>
        <v>0</v>
      </c>
    </row>
    <row r="164" spans="1:15" ht="15" customHeight="1" x14ac:dyDescent="0.3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3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5">
      <c r="A176" s="77" t="s">
        <v>187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188</v>
      </c>
      <c r="O176" s="39"/>
    </row>
    <row r="177" spans="1:15" ht="15" customHeight="1" x14ac:dyDescent="0.3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5">
      <c r="A189" s="77" t="s">
        <v>189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188</v>
      </c>
      <c r="O189" s="39"/>
    </row>
    <row r="190" spans="1:15" ht="18" customHeight="1" x14ac:dyDescent="0.35">
      <c r="A190" s="80" t="s">
        <v>190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191</v>
      </c>
      <c r="O190" s="43">
        <f>IFERROR(O176+O189,"")</f>
        <v>0</v>
      </c>
    </row>
    <row r="191" spans="1:15" ht="15" customHeight="1" x14ac:dyDescent="0.3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5">
      <c r="A203" s="77" t="s">
        <v>187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188</v>
      </c>
      <c r="O203" s="45"/>
    </row>
    <row r="204" spans="1:15" ht="15" customHeight="1" x14ac:dyDescent="0.3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 x14ac:dyDescent="0.3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 x14ac:dyDescent="0.3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 x14ac:dyDescent="0.3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 x14ac:dyDescent="0.3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 x14ac:dyDescent="0.3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 x14ac:dyDescent="0.3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3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3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3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3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3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35">
      <c r="A216" s="77" t="s">
        <v>189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188</v>
      </c>
      <c r="O216" s="45"/>
    </row>
    <row r="217" spans="1:15" ht="18" customHeight="1" x14ac:dyDescent="0.35">
      <c r="A217" s="80" t="s">
        <v>190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191</v>
      </c>
      <c r="O217" s="48">
        <f>IFERROR(O203+O216,"")</f>
        <v>0</v>
      </c>
    </row>
    <row r="218" spans="1:15" ht="15" customHeight="1" x14ac:dyDescent="0.3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 x14ac:dyDescent="0.3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 x14ac:dyDescent="0.3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 x14ac:dyDescent="0.3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 x14ac:dyDescent="0.3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 x14ac:dyDescent="0.3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 x14ac:dyDescent="0.3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 x14ac:dyDescent="0.3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 x14ac:dyDescent="0.3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3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3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3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35">
      <c r="A230" s="77" t="s">
        <v>187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188</v>
      </c>
      <c r="O230" s="39"/>
    </row>
    <row r="231" spans="1:15" ht="15" customHeight="1" x14ac:dyDescent="0.3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 x14ac:dyDescent="0.3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 x14ac:dyDescent="0.3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 x14ac:dyDescent="0.3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 x14ac:dyDescent="0.3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 x14ac:dyDescent="0.3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 x14ac:dyDescent="0.3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3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3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3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3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3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35">
      <c r="A243" s="77" t="s">
        <v>189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188</v>
      </c>
      <c r="O243" s="39"/>
    </row>
    <row r="244" spans="1:15" ht="18" customHeight="1" x14ac:dyDescent="0.35">
      <c r="A244" s="80" t="s">
        <v>190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191</v>
      </c>
      <c r="O244" s="48">
        <f>IFERROR(O230+O243,"")</f>
        <v>0</v>
      </c>
    </row>
    <row r="245" spans="1:15" ht="15" customHeight="1" x14ac:dyDescent="0.3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 x14ac:dyDescent="0.3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 x14ac:dyDescent="0.3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 x14ac:dyDescent="0.3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 x14ac:dyDescent="0.3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3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3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3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3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3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3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3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35">
      <c r="A257" s="77" t="s">
        <v>187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188</v>
      </c>
      <c r="O257" s="39"/>
    </row>
    <row r="258" spans="1:15" ht="15" customHeight="1" x14ac:dyDescent="0.3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 x14ac:dyDescent="0.3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 x14ac:dyDescent="0.3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3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3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3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3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3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3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3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3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3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35">
      <c r="A270" s="77" t="s">
        <v>189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188</v>
      </c>
      <c r="O270" s="39"/>
    </row>
    <row r="271" spans="1:15" ht="18" customHeight="1" x14ac:dyDescent="0.35">
      <c r="A271" s="80" t="s">
        <v>190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191</v>
      </c>
      <c r="O271" s="48">
        <f>IFERROR(O257+O270,"")</f>
        <v>0</v>
      </c>
    </row>
    <row r="272" spans="1:15" ht="15" customHeight="1" x14ac:dyDescent="0.3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 x14ac:dyDescent="0.3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 x14ac:dyDescent="0.3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 x14ac:dyDescent="0.3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3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3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3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3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3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3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3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3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35">
      <c r="A284" s="77" t="s">
        <v>187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188</v>
      </c>
      <c r="O284" s="39"/>
    </row>
    <row r="285" spans="1:15" ht="15" customHeight="1" x14ac:dyDescent="0.3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 x14ac:dyDescent="0.3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 x14ac:dyDescent="0.3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 x14ac:dyDescent="0.3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 x14ac:dyDescent="0.3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 x14ac:dyDescent="0.3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 x14ac:dyDescent="0.3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 x14ac:dyDescent="0.3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3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3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3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3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35">
      <c r="A297" s="77" t="s">
        <v>189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188</v>
      </c>
      <c r="O297" s="39"/>
    </row>
    <row r="298" spans="1:15" ht="18" customHeight="1" x14ac:dyDescent="0.35">
      <c r="A298" s="80" t="s">
        <v>190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191</v>
      </c>
      <c r="O298" s="48">
        <f>IFERROR(O284+O297,"")</f>
        <v>0</v>
      </c>
    </row>
    <row r="299" spans="1:15" ht="15" customHeight="1" x14ac:dyDescent="0.3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 x14ac:dyDescent="0.3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 x14ac:dyDescent="0.3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 x14ac:dyDescent="0.3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 x14ac:dyDescent="0.3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 x14ac:dyDescent="0.3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3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3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3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3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3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3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35">
      <c r="A311" s="77" t="s">
        <v>187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188</v>
      </c>
      <c r="O311" s="39"/>
    </row>
    <row r="312" spans="1:15" ht="15" customHeight="1" x14ac:dyDescent="0.3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 x14ac:dyDescent="0.3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 x14ac:dyDescent="0.3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 x14ac:dyDescent="0.3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 x14ac:dyDescent="0.3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 x14ac:dyDescent="0.3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 x14ac:dyDescent="0.3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 x14ac:dyDescent="0.3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 x14ac:dyDescent="0.3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 x14ac:dyDescent="0.3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3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3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35">
      <c r="A324" s="77" t="s">
        <v>189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188</v>
      </c>
      <c r="O324" s="39"/>
    </row>
    <row r="325" spans="1:15" ht="18" customHeight="1" x14ac:dyDescent="0.35">
      <c r="A325" s="80" t="s">
        <v>190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191</v>
      </c>
      <c r="O325" s="48">
        <f>IFERROR(O311+O324,"")</f>
        <v>0</v>
      </c>
    </row>
    <row r="326" spans="1:15" ht="15" customHeight="1" x14ac:dyDescent="0.3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 x14ac:dyDescent="0.3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 x14ac:dyDescent="0.3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 x14ac:dyDescent="0.3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 x14ac:dyDescent="0.3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 x14ac:dyDescent="0.3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 x14ac:dyDescent="0.3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 x14ac:dyDescent="0.3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 x14ac:dyDescent="0.3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 x14ac:dyDescent="0.3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 x14ac:dyDescent="0.3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 x14ac:dyDescent="0.3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 x14ac:dyDescent="0.35">
      <c r="A338" s="77" t="s">
        <v>187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188</v>
      </c>
      <c r="O338" s="39"/>
    </row>
    <row r="339" spans="1:15" ht="15" customHeight="1" x14ac:dyDescent="0.3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3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3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3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3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3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3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3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3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3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3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3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35">
      <c r="A351" s="77" t="s">
        <v>189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188</v>
      </c>
      <c r="O351" s="39"/>
    </row>
    <row r="352" spans="1:15" ht="18" customHeight="1" x14ac:dyDescent="0.35">
      <c r="A352" s="80" t="s">
        <v>190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191</v>
      </c>
      <c r="O352" s="48">
        <f>IFERROR(O338+O351,"")</f>
        <v>0</v>
      </c>
    </row>
    <row r="353" spans="1:15" ht="15" customHeight="1" x14ac:dyDescent="0.3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3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3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3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3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3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3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3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3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3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3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3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35">
      <c r="A365" s="77" t="s">
        <v>187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188</v>
      </c>
      <c r="O365" s="39"/>
    </row>
    <row r="366" spans="1:15" ht="15" customHeight="1" x14ac:dyDescent="0.3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3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3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3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3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3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3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3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3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3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3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3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35">
      <c r="A378" s="77" t="s">
        <v>189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188</v>
      </c>
      <c r="O378" s="39"/>
    </row>
    <row r="379" spans="1:15" ht="18" customHeight="1" x14ac:dyDescent="0.35">
      <c r="A379" s="80" t="s">
        <v>190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191</v>
      </c>
      <c r="O379" s="48">
        <f>IFERROR(O365+O378,"")</f>
        <v>0</v>
      </c>
    </row>
    <row r="380" spans="1:15" ht="15" customHeight="1" x14ac:dyDescent="0.3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3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3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3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3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3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3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3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3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3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3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3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35">
      <c r="A392" s="77" t="s">
        <v>187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188</v>
      </c>
      <c r="O392" s="39"/>
    </row>
    <row r="393" spans="1:15" ht="15" customHeight="1" x14ac:dyDescent="0.3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3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3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3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3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3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3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3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3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3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3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3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35">
      <c r="A405" s="77" t="s">
        <v>189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188</v>
      </c>
      <c r="O405" s="39"/>
    </row>
    <row r="406" spans="1:15" ht="18" customHeight="1" x14ac:dyDescent="0.35">
      <c r="A406" s="80" t="s">
        <v>190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191</v>
      </c>
      <c r="O406" s="48">
        <f>IFERROR(O392+O405,"")</f>
        <v>0</v>
      </c>
    </row>
    <row r="407" spans="1:15" ht="15" customHeight="1" x14ac:dyDescent="0.3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3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3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3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3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3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3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3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3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3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3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3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35">
      <c r="A419" s="77" t="s">
        <v>187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188</v>
      </c>
      <c r="O419" s="39"/>
    </row>
    <row r="420" spans="1:15" ht="15" customHeight="1" x14ac:dyDescent="0.3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3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3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3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3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3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3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3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3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3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3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3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35">
      <c r="A432" s="77" t="s">
        <v>189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188</v>
      </c>
      <c r="O432" s="39"/>
    </row>
    <row r="433" spans="1:17" ht="18" customHeight="1" x14ac:dyDescent="0.35">
      <c r="A433" s="80" t="s">
        <v>190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191</v>
      </c>
      <c r="O433" s="48">
        <f>IFERROR(O419+O432,"")</f>
        <v>0</v>
      </c>
    </row>
    <row r="434" spans="1:17" ht="15" customHeight="1" x14ac:dyDescent="0.3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3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3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3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3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3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3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3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3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3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3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3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35">
      <c r="A446" s="77" t="s">
        <v>187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188</v>
      </c>
      <c r="O446" s="39"/>
    </row>
    <row r="447" spans="1:17" ht="15" customHeight="1" x14ac:dyDescent="0.3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3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3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3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3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3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3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3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3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3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3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3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35">
      <c r="A459" s="77" t="s">
        <v>189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188</v>
      </c>
      <c r="O459" s="39"/>
    </row>
    <row r="460" spans="1:15" ht="18" customHeight="1" x14ac:dyDescent="0.35">
      <c r="A460" s="80" t="s">
        <v>190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191</v>
      </c>
      <c r="O460" s="48">
        <f>IFERROR(O446+O459,"")</f>
        <v>0</v>
      </c>
    </row>
    <row r="461" spans="1:15" ht="15" customHeight="1" x14ac:dyDescent="0.3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3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3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3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3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3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3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3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3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3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3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3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35">
      <c r="A473" s="77" t="s">
        <v>187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188</v>
      </c>
      <c r="O473" s="39"/>
    </row>
    <row r="474" spans="1:15" ht="15" customHeight="1" x14ac:dyDescent="0.3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3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3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3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3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3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3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3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3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3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3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3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35">
      <c r="A486" s="77" t="s">
        <v>189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188</v>
      </c>
      <c r="O486" s="39"/>
    </row>
    <row r="487" spans="1:15" ht="18" customHeight="1" x14ac:dyDescent="0.35">
      <c r="A487" s="80" t="s">
        <v>190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191</v>
      </c>
      <c r="O487" s="48">
        <f>IFERROR(O473+O486,"")</f>
        <v>0</v>
      </c>
    </row>
    <row r="488" spans="1:15" ht="15" customHeight="1" x14ac:dyDescent="0.3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35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35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35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35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35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35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35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35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35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35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35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35">
      <c r="A500" s="77" t="s">
        <v>187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188</v>
      </c>
      <c r="O500" s="39"/>
    </row>
    <row r="501" spans="1:15" ht="15" customHeight="1" x14ac:dyDescent="0.3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3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3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3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3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3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3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3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3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3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3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3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35">
      <c r="A513" s="77" t="s">
        <v>189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188</v>
      </c>
      <c r="O513" s="39"/>
    </row>
    <row r="514" spans="1:15" ht="18" customHeight="1" x14ac:dyDescent="0.35">
      <c r="A514" s="80" t="s">
        <v>190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191</v>
      </c>
      <c r="O514" s="48">
        <f>IFERROR(O500+O513,"")</f>
        <v>0</v>
      </c>
    </row>
    <row r="515" spans="1:15" ht="15" customHeight="1" x14ac:dyDescent="0.3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3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3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3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3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3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3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3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3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3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3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3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35">
      <c r="A527" s="77" t="s">
        <v>187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188</v>
      </c>
      <c r="O527" s="39"/>
    </row>
    <row r="528" spans="1:15" ht="15" customHeight="1" x14ac:dyDescent="0.3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3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3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3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3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3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3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3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3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3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3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3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35">
      <c r="A540" s="77" t="s">
        <v>189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188</v>
      </c>
      <c r="O540" s="39"/>
    </row>
    <row r="541" spans="1:15" ht="18" customHeight="1" x14ac:dyDescent="0.35">
      <c r="A541" s="80" t="s">
        <v>190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191</v>
      </c>
      <c r="O541" s="48">
        <f>IFERROR(O527+O540,"")</f>
        <v>0</v>
      </c>
    </row>
    <row r="542" spans="1:15" ht="15" customHeight="1" x14ac:dyDescent="0.3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3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3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3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3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3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3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3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3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3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3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3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35">
      <c r="A554" s="77" t="s">
        <v>187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188</v>
      </c>
      <c r="O554" s="39"/>
    </row>
    <row r="555" spans="1:15" ht="15" customHeight="1" x14ac:dyDescent="0.3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 x14ac:dyDescent="0.3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 x14ac:dyDescent="0.3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 x14ac:dyDescent="0.3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 x14ac:dyDescent="0.3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 x14ac:dyDescent="0.3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 x14ac:dyDescent="0.3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 x14ac:dyDescent="0.3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 x14ac:dyDescent="0.3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 x14ac:dyDescent="0.3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 x14ac:dyDescent="0.3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 x14ac:dyDescent="0.3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 x14ac:dyDescent="0.35">
      <c r="A567" s="77" t="s">
        <v>189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188</v>
      </c>
      <c r="O567" s="39"/>
    </row>
    <row r="568" spans="1:15" ht="18" customHeight="1" x14ac:dyDescent="0.35">
      <c r="A568" s="80" t="s">
        <v>190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191</v>
      </c>
      <c r="O568" s="48">
        <f>IFERROR(O554+O567,"")</f>
        <v>0</v>
      </c>
    </row>
    <row r="569" spans="1:15" ht="15" customHeight="1" x14ac:dyDescent="0.3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3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3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3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3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3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3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3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3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3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3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3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35">
      <c r="A581" s="77" t="s">
        <v>187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188</v>
      </c>
      <c r="O581" s="39"/>
    </row>
    <row r="582" spans="1:15" ht="15" customHeight="1" x14ac:dyDescent="0.3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3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3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3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3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3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3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3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3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3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3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3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35">
      <c r="A594" s="77" t="s">
        <v>189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188</v>
      </c>
      <c r="O594" s="39"/>
    </row>
    <row r="595" spans="1:15" ht="18" customHeight="1" x14ac:dyDescent="0.35">
      <c r="A595" s="80" t="s">
        <v>190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191</v>
      </c>
      <c r="O595" s="48">
        <f>IFERROR(O581+O594,"")</f>
        <v>0</v>
      </c>
    </row>
    <row r="596" spans="1:15" ht="15" customHeight="1" x14ac:dyDescent="0.3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3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3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3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3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3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3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3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3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3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3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3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35">
      <c r="A608" s="77" t="s">
        <v>187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188</v>
      </c>
      <c r="O608" s="39"/>
    </row>
    <row r="609" spans="1:15" ht="15" customHeight="1" x14ac:dyDescent="0.3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3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3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3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3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3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3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3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3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3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3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3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35">
      <c r="A621" s="77" t="s">
        <v>189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188</v>
      </c>
      <c r="O621" s="39"/>
    </row>
    <row r="622" spans="1:15" ht="18" customHeight="1" x14ac:dyDescent="0.35">
      <c r="A622" s="80" t="s">
        <v>190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191</v>
      </c>
      <c r="O622" s="48">
        <f>IFERROR(O608+O621,"")</f>
        <v>0</v>
      </c>
    </row>
    <row r="623" spans="1:15" ht="15" customHeight="1" x14ac:dyDescent="0.3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3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3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3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3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3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3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3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3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3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3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3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35">
      <c r="A635" s="77" t="s">
        <v>187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188</v>
      </c>
      <c r="O635" s="39"/>
    </row>
    <row r="636" spans="1:15" ht="15" customHeight="1" x14ac:dyDescent="0.3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3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3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3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3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3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3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3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3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3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3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3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35">
      <c r="A648" s="77" t="s">
        <v>189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188</v>
      </c>
      <c r="O648" s="39"/>
    </row>
    <row r="649" spans="1:15" ht="18" customHeight="1" x14ac:dyDescent="0.35">
      <c r="A649" s="80" t="s">
        <v>190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191</v>
      </c>
      <c r="O649" s="48">
        <f>IFERROR(O635+O648,"")</f>
        <v>0</v>
      </c>
    </row>
    <row r="650" spans="1:15" ht="15" customHeight="1" x14ac:dyDescent="0.3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3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3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3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3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3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3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3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3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3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3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3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35">
      <c r="A662" s="77" t="s">
        <v>187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188</v>
      </c>
      <c r="O662" s="39"/>
    </row>
    <row r="663" spans="1:15" ht="15" customHeight="1" x14ac:dyDescent="0.3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3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3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3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3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3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3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3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3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3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3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3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35">
      <c r="A675" s="77" t="s">
        <v>189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188</v>
      </c>
      <c r="O675" s="39"/>
    </row>
    <row r="676" spans="1:15" ht="18" customHeight="1" x14ac:dyDescent="0.35">
      <c r="A676" s="80" t="s">
        <v>190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191</v>
      </c>
      <c r="O676" s="48">
        <f>IFERROR(O662+O675,"")</f>
        <v>0</v>
      </c>
    </row>
    <row r="677" spans="1:15" ht="15" customHeight="1" x14ac:dyDescent="0.3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3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3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3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3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3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3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3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3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3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3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3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35">
      <c r="A689" s="77" t="s">
        <v>187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188</v>
      </c>
      <c r="O689" s="39"/>
    </row>
    <row r="690" spans="1:15" ht="15" customHeight="1" x14ac:dyDescent="0.3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3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3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3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3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3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3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3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3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3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3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3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35">
      <c r="A702" s="77" t="s">
        <v>189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188</v>
      </c>
      <c r="O702" s="39"/>
    </row>
    <row r="703" spans="1:15" ht="18" customHeight="1" x14ac:dyDescent="0.35">
      <c r="A703" s="80" t="s">
        <v>190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191</v>
      </c>
      <c r="O703" s="48">
        <f>IFERROR(O689+O702,"")</f>
        <v>0</v>
      </c>
    </row>
    <row r="704" spans="1:15" ht="15" customHeight="1" x14ac:dyDescent="0.3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3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3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3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3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3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3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3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3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3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3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3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35">
      <c r="A716" s="77" t="s">
        <v>187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188</v>
      </c>
      <c r="O716" s="39"/>
    </row>
    <row r="717" spans="1:15" ht="15" customHeight="1" x14ac:dyDescent="0.3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3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3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3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3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3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3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3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3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3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3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3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35">
      <c r="A729" s="77" t="s">
        <v>189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188</v>
      </c>
      <c r="O729" s="39"/>
    </row>
    <row r="730" spans="1:15" ht="18" customHeight="1" x14ac:dyDescent="0.35">
      <c r="A730" s="80" t="s">
        <v>190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191</v>
      </c>
      <c r="O730" s="48">
        <f>IFERROR(O716+O729,"")</f>
        <v>0</v>
      </c>
    </row>
    <row r="731" spans="1:15" ht="15" customHeight="1" x14ac:dyDescent="0.3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3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3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3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3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3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3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3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3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3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3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3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35">
      <c r="A743" s="77" t="s">
        <v>187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188</v>
      </c>
      <c r="O743" s="39"/>
    </row>
    <row r="744" spans="1:15" ht="15" customHeight="1" x14ac:dyDescent="0.3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3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3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3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3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3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3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3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3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3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3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3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35">
      <c r="A756" s="77" t="s">
        <v>189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188</v>
      </c>
      <c r="O756" s="39"/>
    </row>
    <row r="757" spans="1:15" ht="18" customHeight="1" x14ac:dyDescent="0.35">
      <c r="A757" s="80" t="s">
        <v>190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191</v>
      </c>
      <c r="O757" s="48">
        <f>IFERROR(O743+O756,"")</f>
        <v>0</v>
      </c>
    </row>
    <row r="758" spans="1:15" ht="15" customHeight="1" x14ac:dyDescent="0.3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3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3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3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3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3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3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3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3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3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3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3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35">
      <c r="A770" s="77" t="s">
        <v>187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188</v>
      </c>
      <c r="O770" s="39"/>
    </row>
    <row r="771" spans="1:15" ht="15" customHeight="1" x14ac:dyDescent="0.3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3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3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3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3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3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3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3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3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3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3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3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35">
      <c r="A783" s="77" t="s">
        <v>189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188</v>
      </c>
      <c r="O783" s="39"/>
    </row>
    <row r="784" spans="1:15" ht="18" customHeight="1" x14ac:dyDescent="0.35">
      <c r="A784" s="80" t="s">
        <v>190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191</v>
      </c>
      <c r="O784" s="48">
        <f>IFERROR(O770+O783,"")</f>
        <v>0</v>
      </c>
    </row>
    <row r="785" spans="1:15" ht="15" customHeight="1" x14ac:dyDescent="0.3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3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3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3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3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3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3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3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3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3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3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3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35">
      <c r="A797" s="77" t="s">
        <v>187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188</v>
      </c>
      <c r="O797" s="39"/>
    </row>
    <row r="798" spans="1:15" ht="15" customHeight="1" x14ac:dyDescent="0.3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3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3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3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3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3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3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3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3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3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3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3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35">
      <c r="A810" s="77" t="s">
        <v>189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188</v>
      </c>
      <c r="O810" s="39"/>
    </row>
    <row r="811" spans="1:15" ht="18" customHeight="1" x14ac:dyDescent="0.35">
      <c r="A811" s="80" t="s">
        <v>190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2026-07-01T13:04:19Z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