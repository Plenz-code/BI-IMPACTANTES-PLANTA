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354" documentId="8_{AF585B22-221D-4780-BB9C-493D365A6A02}" xr6:coauthVersionLast="47" xr6:coauthVersionMax="47" xr10:uidLastSave="{5BB697E4-E9A3-4962-BDFF-F3EE19D83FF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<sst xmlns="http://schemas.openxmlformats.org/spreadsheetml/2006/main" count="5716" uniqueCount="310">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</sst>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28" activePane="bottomLeft" state="frozen"/>
      <selection pane="bottomLeft" activeCell="F340" sqref="F34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/>
      <c r="M340" s="30">
        <f t="shared" ca="1" si="76"/>
        <v>5.977326389256632E-2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11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0.1382454861147886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316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0.23616215278145525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37"/>
      <c r="L351" s="37"/>
      <c r="M351" s="38">
        <f ca="1">IFERROR(SUM(M339:M350),"")</f>
        <v>5.5555555555555358E-3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257</v>
      </c>
      <c r="G352" s="40">
        <f>G338+G351</f>
        <v>1089</v>
      </c>
      <c r="H352" s="41"/>
      <c r="I352" s="41"/>
      <c r="J352" s="41"/>
      <c r="K352" s="41"/>
      <c r="L352" s="41"/>
      <c r="M352" s="42">
        <f ca="1">IFERROR(M338+M351,"")</f>
        <v>7.5000000000000011E-2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9" zoomScale="50" zoomScaleNormal="50" workbookViewId="0">
      <selection activeCell="F342" sqref="F3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38</v>
      </c>
      <c r="G351" s="36">
        <f>SUM(G339:G350)</f>
        <v>159.60000000000002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78</v>
      </c>
      <c r="G352" s="40">
        <f>G338+G351</f>
        <v>327.60000000000002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15" activePane="bottomLeft" state="frozen"/>
      <selection pane="bottomLeft" activeCell="J345" sqref="J3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0.73130104166921228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0.93060659722476791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1.2979677083358789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/>
      <c r="G343" s="34" t="str">
        <f t="shared" si="75"/>
        <v/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/>
      <c r="G344" s="28" t="str">
        <f t="shared" si="75"/>
        <v/>
      </c>
      <c r="H344" s="26" t="s">
        <v>20</v>
      </c>
      <c r="I344" s="26" t="s">
        <v>153</v>
      </c>
      <c r="J344" s="26" t="s">
        <v>74</v>
      </c>
      <c r="K344" s="29" t="s">
        <v>309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/>
      <c r="G345" s="34" t="str">
        <f t="shared" si="75"/>
        <v/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/>
      <c r="M345" s="35">
        <f t="shared" ca="1" si="76"/>
        <v>7.4548611155478284E-4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60</v>
      </c>
      <c r="G351" s="36">
        <f>SUM(G339:G350)</f>
        <v>252</v>
      </c>
      <c r="H351" s="37"/>
      <c r="I351" s="37"/>
      <c r="J351" s="37"/>
      <c r="K351" s="61"/>
      <c r="L351" s="61"/>
      <c r="M351" s="38">
        <f ca="1">IFERROR(SUM(M339:M350),"")</f>
        <v>4.2412152778221412E-2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243</v>
      </c>
      <c r="G352" s="40">
        <f>G338+G351</f>
        <v>1032.5999999999999</v>
      </c>
      <c r="H352" s="41"/>
      <c r="I352" s="41"/>
      <c r="J352" s="41"/>
      <c r="K352" s="63"/>
      <c r="L352" s="63"/>
      <c r="M352" s="42">
        <f ca="1">IFERROR(M338+M351,"")</f>
        <v>0.15143993055599914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2026-07-14T03:32:14Z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