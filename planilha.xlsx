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99" documentId="8_{AF585B22-221D-4780-BB9C-493D365A6A02}" xr6:coauthVersionLast="47" xr6:coauthVersionMax="47" xr10:uidLastSave="{BDE60694-FE3E-41EF-A990-BED89A46F67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<sst xmlns="http://schemas.openxmlformats.org/spreadsheetml/2006/main" count="5306" uniqueCount="301">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</sst>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2.3062847219989635E-2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2.3062847219989635E-2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0.17375729166443404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2.3062847219989635E-2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2.3062847219989635E-2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0.12236840277554507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L316" sqref="L3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0.57028506944334367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0.7695906249988993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1.1369517361100103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8</v>
      </c>
      <c r="G312" s="28">
        <f t="shared" ref="G312:G323" si="69">IF(F312="","",IF(E312="PC 17",F312*4.2,IF(E312="PC 19",F312*5,"")))</f>
        <v>40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</v>
      </c>
      <c r="G324" s="36">
        <f>SUM(G312:G323)</f>
        <v>40</v>
      </c>
      <c r="H324" s="37"/>
      <c r="I324" s="37"/>
      <c r="J324" s="37"/>
      <c r="K324" s="61"/>
      <c r="L324" s="61"/>
      <c r="M324" s="38">
        <f ca="1">IFERROR(SUM(M312:M323),"")</f>
        <v>2.6388888888888795E-2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</v>
      </c>
      <c r="G325" s="40">
        <f>G311+G324</f>
        <v>166</v>
      </c>
      <c r="H325" s="41"/>
      <c r="I325" s="41"/>
      <c r="J325" s="41"/>
      <c r="K325" s="63"/>
      <c r="L325" s="63"/>
      <c r="M325" s="42">
        <f ca="1">IFERROR(M311+M324,"")</f>
        <v>0.43958333333333333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