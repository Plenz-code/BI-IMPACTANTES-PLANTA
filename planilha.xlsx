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36" documentId="8_{C51EB6CB-002B-4D6B-B68F-DDEBDB4460C0}" xr6:coauthVersionLast="47" xr6:coauthVersionMax="47" xr10:uidLastSave="{97F33874-75F6-4EAE-AC87-A982D3BECA0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<sst xmlns="http://schemas.openxmlformats.org/spreadsheetml/2006/main" count="5652" uniqueCount="337">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</sst>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4" sqref="F30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194</v>
      </c>
      <c r="G311" s="90">
        <f>SUM(G299:G310)</f>
        <v>970</v>
      </c>
      <c r="H311" s="37"/>
      <c r="I311" s="37"/>
      <c r="J311" s="37"/>
      <c r="K311" s="37"/>
      <c r="L311" s="37"/>
      <c r="M311" s="38">
        <f ca="1">IFERROR(SUM(M299:M310),"")</f>
        <v>1.1111111111111127E-2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194</v>
      </c>
      <c r="G325" s="40">
        <f>G311+G324</f>
        <v>970</v>
      </c>
      <c r="H325" s="41"/>
      <c r="I325" s="41"/>
      <c r="J325" s="41"/>
      <c r="K325" s="41"/>
      <c r="L325" s="41"/>
      <c r="M325" s="42">
        <f ca="1">IFERROR(M311+M324,"")</f>
        <v>1.1111111111111127E-2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81" activePane="bottomLeft" state="frozen"/>
      <selection pane="bottomLeft" activeCell="I301" sqref="I30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0.40542789351457031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0.54431678240345915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0.62903900462568152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81</v>
      </c>
      <c r="G311" s="36">
        <f>SUM(G299:G310)</f>
        <v>340.20000000000005</v>
      </c>
      <c r="H311" s="37"/>
      <c r="I311" s="37"/>
      <c r="J311" s="37"/>
      <c r="K311" s="37"/>
      <c r="L311" s="37"/>
      <c r="M311" s="38">
        <f ca="1">IFERROR(SUM(M299:M310),"")</f>
        <v>2.3611111111111138E-2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81</v>
      </c>
      <c r="G325" s="40">
        <f>G311+G324</f>
        <v>340.20000000000005</v>
      </c>
      <c r="H325" s="41"/>
      <c r="I325" s="41"/>
      <c r="J325" s="41"/>
      <c r="K325" s="41"/>
      <c r="L325" s="41"/>
      <c r="M325" s="42">
        <f ca="1">IFERROR(M311+M324,"")</f>
        <v>2.3611111111111138E-2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04" sqref="F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0.33251122685032897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0.39431678240588452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0.4554278935169957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/>
      <c r="M300" s="30">
        <f t="shared" ca="1" si="67"/>
        <v>6.8622337959823199E-2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58</v>
      </c>
      <c r="G311" s="36">
        <f>SUM(G299:G310)</f>
        <v>243.60000000000002</v>
      </c>
      <c r="H311" s="37"/>
      <c r="I311" s="37"/>
      <c r="J311" s="37"/>
      <c r="K311" s="37"/>
      <c r="L311" s="37"/>
      <c r="M311" s="38">
        <f ca="1">IFERROR(SUM(M299:M310),"")</f>
        <v>7.2094560182045409E-2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58</v>
      </c>
      <c r="G325" s="40">
        <f>G311+G324</f>
        <v>243.60000000000002</v>
      </c>
      <c r="H325" s="41"/>
      <c r="I325" s="41"/>
      <c r="J325" s="41"/>
      <c r="K325" s="41"/>
      <c r="L325" s="41"/>
      <c r="M325" s="42">
        <f ca="1">IFERROR(M311+M324,"")</f>
        <v>7.2094560182045409E-2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2" activePane="bottomLeft" state="frozen"/>
      <selection pane="bottomLeft" activeCell="F303" sqref="F30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93</v>
      </c>
      <c r="G311" s="36">
        <f>SUM(G299:G310)</f>
        <v>390.6</v>
      </c>
      <c r="H311" s="37"/>
      <c r="I311" s="37"/>
      <c r="J311" s="37"/>
      <c r="K311" s="61"/>
      <c r="L311" s="61"/>
      <c r="M311" s="38">
        <f ca="1">IFERROR(SUM(M299:M310),"")</f>
        <v>1.5972222222222221E-2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93</v>
      </c>
      <c r="G325" s="40">
        <f>G311+G324</f>
        <v>390.6</v>
      </c>
      <c r="H325" s="41"/>
      <c r="I325" s="41"/>
      <c r="J325" s="41"/>
      <c r="K325" s="63"/>
      <c r="L325" s="63"/>
      <c r="M325" s="42">
        <f ca="1">IFERROR(M311+M324,"")</f>
        <v>1.5972222222222221E-2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2026-08-12T16:39:19Z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