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79" documentId="13_ncr:1_{A6DBCFB4-28D9-4249-9038-216934055CA6}" xr6:coauthVersionLast="47" xr6:coauthVersionMax="47" xr10:uidLastSave="{2BA6E8A3-AAF9-467B-807B-4DB2FA640573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<sst xmlns="http://schemas.openxmlformats.org/spreadsheetml/2006/main" count="9920" uniqueCount="426">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</sst>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2" activePane="bottomLeft" state="frozen"/>
      <selection pane="bottomLeft" activeCell="F592" sqref="F592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3.472222222222221E-2</v>
      </c>
      <c r="N594" s="2" t="s">
        <v>263</v>
      </c>
      <c r="O594" s="74"/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0.11180555555555549</v>
      </c>
      <c r="N595" s="1" t="s">
        <v>266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O588" sqref="O588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304</v>
      </c>
      <c r="I1" s="86" t="s">
        <v>22</v>
      </c>
      <c r="J1" s="86" t="s">
        <v>305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9.4903240737039596E-2</v>
      </c>
      <c r="R53" s="80" t="s">
        <v>314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0.23379212962592733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0.31851435184815013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316</v>
      </c>
      <c r="Q96" s="66" t="str">
        <f t="shared" ref="Q96:Q107" ca="1" si="22">IFERROR(IF(O96="","",IF(P96="",MOD(NOW()-O96,1),IF(P96&gt;=O96,P96-O96,P96+1-O96))),"")</f>
        <v/>
      </c>
      <c r="R96" s="80" t="s">
        <v>317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346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347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348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349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/>
      <c r="M587" s="70"/>
      <c r="N587" s="70"/>
      <c r="O587" s="65">
        <v>0.21527777777777779</v>
      </c>
      <c r="P587" s="65"/>
      <c r="Q587" s="71">
        <f t="shared" ca="1" si="152"/>
        <v>1.1532407370395958E-3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16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80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390.80000000000007</v>
      </c>
      <c r="L594" s="72"/>
      <c r="M594" s="72"/>
      <c r="N594" s="72"/>
      <c r="O594" s="72"/>
      <c r="P594" s="72"/>
      <c r="Q594" s="73">
        <f ca="1">IFERROR(SUM(Q582:Q593),"")</f>
        <v>0.1337921296259286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139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596.60000000000014</v>
      </c>
      <c r="L595" s="76"/>
      <c r="M595" s="76"/>
      <c r="N595" s="76"/>
      <c r="O595" s="76"/>
      <c r="P595" s="76"/>
      <c r="Q595" s="77">
        <f ca="1">IFERROR(Q581+Q594,"")</f>
        <v>0.53795879629259524</v>
      </c>
      <c r="R595" s="1" t="s">
        <v>266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N584" sqref="N584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304</v>
      </c>
      <c r="I1" s="86" t="s">
        <v>22</v>
      </c>
      <c r="J1" s="86" t="s">
        <v>305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363</v>
      </c>
      <c r="Q222" s="66" t="str">
        <f t="shared" ca="1" si="49"/>
        <v/>
      </c>
      <c r="R222" s="63" t="s">
        <v>364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315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315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378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350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315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373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47"/>
        <v>0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47"/>
        <v>0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70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294.00000000000006</v>
      </c>
      <c r="L594" s="72"/>
      <c r="M594" s="72"/>
      <c r="N594" s="72"/>
      <c r="O594" s="72"/>
      <c r="P594" s="72"/>
      <c r="Q594" s="73">
        <f ca="1">IFERROR(SUM(Q582:Q593),"")</f>
        <v>0.10138888888888897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233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987.40000000000009</v>
      </c>
      <c r="L595" s="76"/>
      <c r="M595" s="76"/>
      <c r="N595" s="76"/>
      <c r="O595" s="76"/>
      <c r="P595" s="76"/>
      <c r="Q595" s="77">
        <f ca="1">IFERROR(Q581+Q594,"")</f>
        <v>0.25763888888888897</v>
      </c>
      <c r="R595" s="1" t="s">
        <v>266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567" activePane="bottomLeft" state="frozen"/>
      <selection pane="bottomLeft" activeCell="N588" sqref="N588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304</v>
      </c>
      <c r="I1" s="86" t="s">
        <v>22</v>
      </c>
      <c r="J1" s="86" t="s">
        <v>305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414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415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416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417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418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419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420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421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422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405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406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423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424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425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372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/>
      <c r="Q588" s="66">
        <f t="shared" ca="1" si="152"/>
        <v>1.8476851837476715E-3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131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550.19999999999993</v>
      </c>
      <c r="L594" s="72"/>
      <c r="M594" s="72"/>
      <c r="N594" s="72"/>
      <c r="O594" s="134"/>
      <c r="P594" s="134"/>
      <c r="Q594" s="73">
        <f ca="1">IFERROR(SUM(Q582:Q593),"")</f>
        <v>8.5181018517080931E-2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333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1414.6</v>
      </c>
      <c r="L595" s="76"/>
      <c r="M595" s="76"/>
      <c r="N595" s="76"/>
      <c r="O595" s="135"/>
      <c r="P595" s="135"/>
      <c r="Q595" s="77">
        <f ca="1">IFERROR(Q581+Q594,"")</f>
        <v>0.21920879629485879</v>
      </c>
      <c r="R595" s="1" t="s">
        <v>266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2026-08-23T09:12:04Z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